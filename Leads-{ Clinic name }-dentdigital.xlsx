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" sheetId="1" r:id="rId5"/>
    <sheet state="visible" name="Historisk data" sheetId="2" r:id="rId6"/>
    <sheet state="visible" name="Tannbleking - Oppsalg US" sheetId="3" r:id="rId7"/>
    <sheet state="visible" name="Totalt US 2026" sheetId="4" r:id="rId8"/>
    <sheet state="visible" name="Totalt US 2025" sheetId="5" r:id="rId9"/>
    <sheet state="visible" name="Input" sheetId="6" r:id="rId10"/>
  </sheets>
  <definedNames/>
  <calcPr/>
</workbook>
</file>

<file path=xl/sharedStrings.xml><?xml version="1.0" encoding="utf-8"?>
<sst xmlns="http://schemas.openxmlformats.org/spreadsheetml/2006/main" count="9349" uniqueCount="4101">
  <si>
    <t>.</t>
  </si>
  <si>
    <t>æ</t>
  </si>
  <si>
    <t>Navn</t>
  </si>
  <si>
    <t>E-post</t>
  </si>
  <si>
    <t>Telefon</t>
  </si>
  <si>
    <t>Ønsket dato og tid for time</t>
  </si>
  <si>
    <t>Tannbleking?</t>
  </si>
  <si>
    <t>Status</t>
  </si>
  <si>
    <t>Antall kontaktpunkt</t>
  </si>
  <si>
    <t>Kommentar</t>
  </si>
  <si>
    <t>Leave this blank</t>
  </si>
  <si>
    <t>Source</t>
  </si>
  <si>
    <t>Ad Name</t>
  </si>
  <si>
    <t>Ad ID</t>
  </si>
  <si>
    <t>Label</t>
  </si>
  <si>
    <t>Count</t>
  </si>
  <si>
    <t>gclid</t>
  </si>
  <si>
    <t>gbraid</t>
  </si>
  <si>
    <t>wbraid</t>
  </si>
  <si>
    <t>hashed_email</t>
  </si>
  <si>
    <t>timestamp</t>
  </si>
  <si>
    <t>fclid</t>
  </si>
  <si>
    <t>http refferrer</t>
  </si>
  <si>
    <t>permalink url</t>
  </si>
  <si>
    <t>post url</t>
  </si>
  <si>
    <t>meta age range</t>
  </si>
  <si>
    <t>meta gender</t>
  </si>
  <si>
    <t>meta placement</t>
  </si>
  <si>
    <t>meta device</t>
  </si>
  <si>
    <t>meta ad format</t>
  </si>
  <si>
    <t>google keyword</t>
  </si>
  <si>
    <t>google device</t>
  </si>
  <si>
    <t xml:space="preserve">google location </t>
  </si>
  <si>
    <t>google network</t>
  </si>
  <si>
    <t>google placement</t>
  </si>
  <si>
    <t>g ad group name</t>
  </si>
  <si>
    <t>g creative id</t>
  </si>
  <si>
    <t>OCT Uploaded</t>
  </si>
  <si>
    <t>Conversion Value</t>
  </si>
  <si>
    <t>21:02</t>
  </si>
  <si>
    <t>ahmed</t>
  </si>
  <si>
    <t>ahmedmulla99@hotmail.com</t>
  </si>
  <si>
    <t>August</t>
  </si>
  <si>
    <t>Ikke fått kontakt</t>
  </si>
  <si>
    <t>#1</t>
  </si>
  <si>
    <t>00:06</t>
  </si>
  <si>
    <t>Simon Solhem</t>
  </si>
  <si>
    <t>sfsolheim@gmail.com</t>
  </si>
  <si>
    <t>Fredag 3. juli kl. 14-15 eller uke 31</t>
  </si>
  <si>
    <t>Nei</t>
  </si>
  <si>
    <t>Booket til time</t>
  </si>
  <si>
    <t>08:09</t>
  </si>
  <si>
    <t xml:space="preserve">Susana P M Pinto </t>
  </si>
  <si>
    <t>suepinto@outlook.com</t>
  </si>
  <si>
    <t>Mandag 6.juli kl 9.00</t>
  </si>
  <si>
    <t>12:01</t>
  </si>
  <si>
    <t xml:space="preserve">Awa Sosseh </t>
  </si>
  <si>
    <t>yorbeh@gmail.com</t>
  </si>
  <si>
    <t>462 24 758</t>
  </si>
  <si>
    <t>16:49</t>
  </si>
  <si>
    <t xml:space="preserve">Johan Norin </t>
  </si>
  <si>
    <t>johan.norin@hotmail.com</t>
  </si>
  <si>
    <t xml:space="preserve">Tirdag 9 juli på morgonen </t>
  </si>
  <si>
    <t>18:30</t>
  </si>
  <si>
    <t>Daray</t>
  </si>
  <si>
    <t>darayahmed@hotmail.com</t>
  </si>
  <si>
    <t>Juni kl 21</t>
  </si>
  <si>
    <t>Ja</t>
  </si>
  <si>
    <t>00:33</t>
  </si>
  <si>
    <t>Hai Ng</t>
  </si>
  <si>
    <t>balong_74@hotmail.com</t>
  </si>
  <si>
    <t>Fredag 03.07.2026</t>
  </si>
  <si>
    <t>#3</t>
  </si>
  <si>
    <t>22:58</t>
  </si>
  <si>
    <t>Fabian Castro</t>
  </si>
  <si>
    <t>fcastro989@yahoo.com</t>
  </si>
  <si>
    <t>Torsdag 14:00</t>
  </si>
  <si>
    <t>Usikker</t>
  </si>
  <si>
    <t>17:36</t>
  </si>
  <si>
    <t xml:space="preserve">Jeanett </t>
  </si>
  <si>
    <t>bjerkejeanettproff@gmail.com</t>
  </si>
  <si>
    <t>15 juli</t>
  </si>
  <si>
    <t>22:39</t>
  </si>
  <si>
    <t>Waleed Abdullah Elmi Abtidon</t>
  </si>
  <si>
    <t>waleedabdala@hotmail.com</t>
  </si>
  <si>
    <t>Mandag 13.juli mellom 10-16</t>
  </si>
  <si>
    <t>15:58</t>
  </si>
  <si>
    <t xml:space="preserve">Nina Gundersen </t>
  </si>
  <si>
    <t>nina@fjellbo.net</t>
  </si>
  <si>
    <t>Fredag kl. 10.00</t>
  </si>
  <si>
    <t>Ikke interessert</t>
  </si>
  <si>
    <t>Har benyttet seg av tidligere</t>
  </si>
  <si>
    <t>18:21</t>
  </si>
  <si>
    <t>Aina Johansen</t>
  </si>
  <si>
    <t>ainajohansen@hotmail.com</t>
  </si>
  <si>
    <t>13:43</t>
  </si>
  <si>
    <t xml:space="preserve">Steffan Satkunananthan </t>
  </si>
  <si>
    <t>steffan-sivaji@hotmail.com</t>
  </si>
  <si>
    <t>Torsdag 9.juli. Tid: Når som helst</t>
  </si>
  <si>
    <t>16:42</t>
  </si>
  <si>
    <t xml:space="preserve">Gilbert Catana </t>
  </si>
  <si>
    <t>gilcat3000@yahoo.no</t>
  </si>
  <si>
    <t xml:space="preserve">22 juli </t>
  </si>
  <si>
    <t>19:32</t>
  </si>
  <si>
    <t>Mohammad Hussein</t>
  </si>
  <si>
    <t>momi89@hotmail.com</t>
  </si>
  <si>
    <t>tirdag kl. 14:00</t>
  </si>
  <si>
    <t>#2</t>
  </si>
  <si>
    <t>04:41</t>
  </si>
  <si>
    <t>Shiva Mohammadi</t>
  </si>
  <si>
    <t>shiva.1998@hotmail.com</t>
  </si>
  <si>
    <t>Fredag 11. Juli etter kl 12</t>
  </si>
  <si>
    <t>12:28</t>
  </si>
  <si>
    <t>Vinnie Huser</t>
  </si>
  <si>
    <t>vinniehuser@hotmail.com</t>
  </si>
  <si>
    <t>21. juli ca kl 12</t>
  </si>
  <si>
    <t>16:21</t>
  </si>
  <si>
    <t>Sami Mohamed Abdi</t>
  </si>
  <si>
    <t>sabdi8514@gmail.com</t>
  </si>
  <si>
    <t>Mandag 13. Juli kl 13:45</t>
  </si>
  <si>
    <t>20:04</t>
  </si>
  <si>
    <t xml:space="preserve">Vaida Timinskaite </t>
  </si>
  <si>
    <t>vatimin@gmail.com</t>
  </si>
  <si>
    <t>05:47</t>
  </si>
  <si>
    <t>Zere Abraha Hiyabu</t>
  </si>
  <si>
    <t>zhiyabu@gmail.com</t>
  </si>
  <si>
    <t>onsdag 01.10.25</t>
  </si>
  <si>
    <t>Ønsker ikke bleking</t>
  </si>
  <si>
    <t>meta</t>
  </si>
  <si>
    <t>CV2010</t>
  </si>
  <si>
    <t>10204b9133fdf0919149fb4ad082c5f6014f66394f5c7529498d4b9df5786bcc</t>
  </si>
  <si>
    <t>2025-10-01T03:47:02+00:00</t>
  </si>
  <si>
    <t>{post_referrer}</t>
  </si>
  <si>
    <t>https://tannskjema.no</t>
  </si>
  <si>
    <t>https://tannskjema.no/groruddalen-tannlegesenter</t>
  </si>
  <si>
    <t>Facebook_Mobile_Feed</t>
  </si>
  <si>
    <t>06:26</t>
  </si>
  <si>
    <t>Malyun Mume</t>
  </si>
  <si>
    <t>saboontu88@hotmail.com</t>
  </si>
  <si>
    <t>01.10.25</t>
  </si>
  <si>
    <t>#4</t>
  </si>
  <si>
    <t>Nr er ikke i bruk</t>
  </si>
  <si>
    <t>fbe909a6de5153e0bb9ca9b4fbfb0cc667b799ecf4210e24673ef49aa4b276fa</t>
  </si>
  <si>
    <t>2025-10-01T04:26:16+00:00</t>
  </si>
  <si>
    <t>Facebook_Mobile_Reels</t>
  </si>
  <si>
    <t>06:46</t>
  </si>
  <si>
    <t>Luiza Magdalena Przymenska</t>
  </si>
  <si>
    <t>lizetka@poczta.fm</t>
  </si>
  <si>
    <t>07.10.2025</t>
  </si>
  <si>
    <t>74823fe411dee222006a4f5a9010cb0d66756060bbb1285402a874a9ae58f395</t>
  </si>
  <si>
    <t>2025-10-01T04:46:42+00:00</t>
  </si>
  <si>
    <t>Facebook_Stories</t>
  </si>
  <si>
    <t>07:07</t>
  </si>
  <si>
    <t>Maybel Sisor</t>
  </si>
  <si>
    <t>may_lan26@yahoo.com</t>
  </si>
  <si>
    <t>1.oktober</t>
  </si>
  <si>
    <t>f4c6c39e6a9eff8dbc4c310c7d8e68d801385da58274f7711f2218a7c1569687</t>
  </si>
  <si>
    <t>229b8f66fb55a5edaf99ba63f409b65283bf4e50f4c8bcac5f4319582f82cd60</t>
  </si>
  <si>
    <t>2025-10-01T05:07:27+00:00</t>
  </si>
  <si>
    <t>07:13</t>
  </si>
  <si>
    <t>James Nguyen</t>
  </si>
  <si>
    <t>jamescong3@hotmail.com</t>
  </si>
  <si>
    <t>07.10.2025 eller 09.10.2025</t>
  </si>
  <si>
    <t>Telefonsvarer, fått kontakt men ønsker ikke likevel, vil dra til lillestrøm tannlege</t>
  </si>
  <si>
    <t>40867c3899105e31b4193a6ac73feab8d518b579d09cc6998ad8698516ee4535</t>
  </si>
  <si>
    <t>aeed86e644ed101dcbf0e21cf721e894aeb1961066f9fc3f5da9e40ac3b89bb2</t>
  </si>
  <si>
    <t>2025-10-01T05:13:29+00:00</t>
  </si>
  <si>
    <t>08:06</t>
  </si>
  <si>
    <t>Claudio Solano Josefina</t>
  </si>
  <si>
    <t>josefina-solano@hitmail.com</t>
  </si>
  <si>
    <t>14.10.25</t>
  </si>
  <si>
    <t>3e9f39b15150d71f0ca07ef0671ea78d325467a788d9e6d8f291fb7018c8a8bc</t>
  </si>
  <si>
    <t>0a7595682192f46d2d5922f24e5f506a8f556dcbbbb201222526ed75d3373282</t>
  </si>
  <si>
    <t>2025-10-02T06:06:27+00:00</t>
  </si>
  <si>
    <t>08:47</t>
  </si>
  <si>
    <t>Dipak Shrestha</t>
  </si>
  <si>
    <t>just.dipak123@gmail.com</t>
  </si>
  <si>
    <t>Ja idag</t>
  </si>
  <si>
    <t>CV9802</t>
  </si>
  <si>
    <t>9c74615fae98eedd34e251256ffc3799ef3095519f25d953d8d98c079d1abc3c</t>
  </si>
  <si>
    <t>13c91de035e87d9623b6ffcd1c2afcf2dddc39d84cf56314ffc703512cdc45b8</t>
  </si>
  <si>
    <t>2025-10-02T06:47:23+00:00</t>
  </si>
  <si>
    <t>08:53</t>
  </si>
  <si>
    <t>Mirtha Ledy De León Núñez</t>
  </si>
  <si>
    <t>kattydeleon25@gmail.com</t>
  </si>
  <si>
    <t>18.1</t>
  </si>
  <si>
    <t>7232be2f02ab55f140cc40f412686339659d8c375f0ae29c6f32ef050a3ae044</t>
  </si>
  <si>
    <t>26e8e64e9e6d30cd9df91a2eba7862286bd422694ddcb1d935975dd1f82e6813</t>
  </si>
  <si>
    <t>2025-10-02T06:53:07+00:00</t>
  </si>
  <si>
    <t>08:54</t>
  </si>
  <si>
    <t>Randy Calapini Raynon</t>
  </si>
  <si>
    <t>pok.pok_ako08@yahoo.com</t>
  </si>
  <si>
    <t>Telefonsvarer - Ringer, men ingen svar</t>
  </si>
  <si>
    <t>173657510a54f01b219918479b9ac6a3e50c44a33d384a898647a63d14394776</t>
  </si>
  <si>
    <t>37d96664ef0248a653e1e08c9e3f5f26c2544db423a0b63ea03c4c8ffdf07568</t>
  </si>
  <si>
    <t>2025-10-02T06:54:05+00:00</t>
  </si>
  <si>
    <t>11:34</t>
  </si>
  <si>
    <t>Sana Balal</t>
  </si>
  <si>
    <t>sanabalal24@gmail.com</t>
  </si>
  <si>
    <t>Neste uke mellom 10 og 12 på dagen</t>
  </si>
  <si>
    <t>669bf853f69a6227ab158b7addec0099313e90e221dbc03ebf6bfe48c34e04ae</t>
  </si>
  <si>
    <t>9fe1c69066345b75af26e0ed86ca90d8b59b9568b4ad37797747a4628a686f67</t>
  </si>
  <si>
    <t>2025-10-02T09:34:05+00:00</t>
  </si>
  <si>
    <t>08:27</t>
  </si>
  <si>
    <t>Djamel Allam</t>
  </si>
  <si>
    <t>eddineallam@hotmail.com</t>
  </si>
  <si>
    <t>Lørdag kl 12h</t>
  </si>
  <si>
    <t>6147fae89bd011a5b0858903b6f8f2827363f32a3746bfc7f1bbf01b5f50dd51</t>
  </si>
  <si>
    <t>51d78c67682bb926834c4ea912bfb7659624006ca996baefc4bf65413adea2db</t>
  </si>
  <si>
    <t>2025-10-03T06:27:08+00:00</t>
  </si>
  <si>
    <t>01:22</t>
  </si>
  <si>
    <t>Kijare</t>
  </si>
  <si>
    <t>frangu_k@hotmail.com</t>
  </si>
  <si>
    <t>07.10.25</t>
  </si>
  <si>
    <t>449b2d267c70f56a3b907117c30ed1affb24fb6b9d7ae65f2238a497a1e468af</t>
  </si>
  <si>
    <t>1316d76069592906e57a4184152cb93558794817a9f89bfcbcaae2b8a012c867</t>
  </si>
  <si>
    <t>2025-10-03T23:22:25+00:00</t>
  </si>
  <si>
    <t>06:44</t>
  </si>
  <si>
    <t>Titti Bjørk</t>
  </si>
  <si>
    <t>titti1366@gmail.com</t>
  </si>
  <si>
    <t>4.4654161774654E+17</t>
  </si>
  <si>
    <t>19.1</t>
  </si>
  <si>
    <t>Nr stemmer ikke, sendt mail venter på svar.</t>
  </si>
  <si>
    <t>b6ff9b901ccde8f154d3c4d250c8b2e66a500df2b17adf500c3c02aaed6218a2</t>
  </si>
  <si>
    <t>0994ee2cda8b4688bb329bc8a2988ffcbc6955294ac3d8b2ec0dede142d2b39f</t>
  </si>
  <si>
    <t>2025-10-04T04:44:55+00:00</t>
  </si>
  <si>
    <t>11:55</t>
  </si>
  <si>
    <t>Kristine Møkleby</t>
  </si>
  <si>
    <t>kristinemokleby@gmail.com</t>
  </si>
  <si>
    <t>9 oktober</t>
  </si>
  <si>
    <t xml:space="preserve">Tok ikke opp tlf, mobil var avskrudd på forsøk 3. </t>
  </si>
  <si>
    <t>CV2014</t>
  </si>
  <si>
    <t>1604aece86b249182ae76e567fa050135562c38ce2f1f87e682449cf0826f3a4</t>
  </si>
  <si>
    <t>d870a174a60d85d7223fb047bc4f64adf3d991ba8a59d0b1e5c18983a2bd6e29</t>
  </si>
  <si>
    <t>2025-10-04T09:55:17+00:00</t>
  </si>
  <si>
    <t>11:44</t>
  </si>
  <si>
    <t>tender lay</t>
  </si>
  <si>
    <t>tenderlay@yahoo.no</t>
  </si>
  <si>
    <t>Lørdag</t>
  </si>
  <si>
    <t>CV2015</t>
  </si>
  <si>
    <t>9087880331edb524202c12623f2ca38292c370c01a7bfdca9369221594c936fb</t>
  </si>
  <si>
    <t>0b00ceeced404ded4b0b678355dce1cb9d19a10c94bf069712f5d42909070558</t>
  </si>
  <si>
    <t>2025-10-05T09:44:30+00:00</t>
  </si>
  <si>
    <t>02:26</t>
  </si>
  <si>
    <t>Yonas Haylom</t>
  </si>
  <si>
    <t>adibaro@hotmail.com</t>
  </si>
  <si>
    <t>Tirsdag</t>
  </si>
  <si>
    <t>Ringt 06.10.2025 kl 08:35</t>
  </si>
  <si>
    <t>b326bf18851133c2a0deb8c73f553171ebc4fa805ff67012de1a9d8c46b7be64</t>
  </si>
  <si>
    <t>03f568c9d68679ed15c89c63ff0ca46090d42a4a45a015e3c9abb489de362149</t>
  </si>
  <si>
    <t>2025-10-06T00:26:58+00:00</t>
  </si>
  <si>
    <t>06:45</t>
  </si>
  <si>
    <t>Katherine Lumban</t>
  </si>
  <si>
    <t>jaykatlumban@yahoo.com</t>
  </si>
  <si>
    <t>13.1</t>
  </si>
  <si>
    <t>Ringt 06.10.2025 kl 08:30</t>
  </si>
  <si>
    <t>29cea2e9870be91e64854cf15b02ff29bf122a79e3e594e38b08fbea4ba54ba6</t>
  </si>
  <si>
    <t>2123053718293ffcbb5d0f6525222adedf2556e3a7908e804c51df8f80e670e4</t>
  </si>
  <si>
    <t>2025-10-06T04:46:01+00:00</t>
  </si>
  <si>
    <t>07:56</t>
  </si>
  <si>
    <t>Zaghum Abbas</t>
  </si>
  <si>
    <t>abbaszaghum6@gmail.com</t>
  </si>
  <si>
    <t>7/10/2025/.      Time. 17:30</t>
  </si>
  <si>
    <t>fbb03b7cda497b17df5853c54a889057c83c2638f8ec7b4d4722e4d17594363e</t>
  </si>
  <si>
    <t>66e678b142ec9429e89ef664407a38484dcddcbd107c29686c9e6610e50f3cb5</t>
  </si>
  <si>
    <t>2025-10-06T05:56:19+00:00</t>
  </si>
  <si>
    <t>13:20</t>
  </si>
  <si>
    <t>Jocelyn Aban Ibanez</t>
  </si>
  <si>
    <t>boss_ibanez@hotmail.com</t>
  </si>
  <si>
    <t>08.oktober.2025</t>
  </si>
  <si>
    <t>23b9cafca9c97a9f3aff2f5108a9634b4eaebc58e089b0d89e87501c2a1040a0</t>
  </si>
  <si>
    <t>ddd1bf808779506f476d0d0d6ed156890ae5544b242379dda0daeec2d155f0bd</t>
  </si>
  <si>
    <t>2025-10-06T11:20:10+00:00</t>
  </si>
  <si>
    <t>11:06</t>
  </si>
  <si>
    <t>Sugirtha Baskaran</t>
  </si>
  <si>
    <t>sugirt3003@gmail.com</t>
  </si>
  <si>
    <t>14/16 oktober</t>
  </si>
  <si>
    <t>5ddf661511c15d54d6a04158a6cd1a62c7f5d031769dd4e08b0f279288a30927</t>
  </si>
  <si>
    <t>f862a2f3424f83c572b70a2f8e6db6a72f62175b837b108beb499525f240af58</t>
  </si>
  <si>
    <t>2025-10-07T09:06:24+00:00</t>
  </si>
  <si>
    <t>Instagram_Reels</t>
  </si>
  <si>
    <t>21:56</t>
  </si>
  <si>
    <t>abdullahi yusif</t>
  </si>
  <si>
    <t>ayhir@hotmail.com</t>
  </si>
  <si>
    <t>10.1025</t>
  </si>
  <si>
    <t>b6d61b56b6a080336e01903c6a06395c244f571206fc476536f65b45b6ad95b4</t>
  </si>
  <si>
    <t>f7edd8e6347ff6ca660168499f62434b40bf154c611ab05b9e2b41d7fef3d0c6</t>
  </si>
  <si>
    <t>2025-10-07T19:56:31+00:00</t>
  </si>
  <si>
    <t>06:18</t>
  </si>
  <si>
    <t>Samuel Gomes</t>
  </si>
  <si>
    <t>samuelgomes1984norge@gmail.com</t>
  </si>
  <si>
    <t>10/10/2025 14:30</t>
  </si>
  <si>
    <t>3f5c96b3a8e66d37f12e1b9407b0088d0e03df3148f4ff3ef25c9b2b924acfd5</t>
  </si>
  <si>
    <t>70dd11c81bd869423d0f8cf4b86e36935f45e2d9215f32338f189ab9e449438e</t>
  </si>
  <si>
    <t>2025-10-08T04:18:03+00:00</t>
  </si>
  <si>
    <t>11:46</t>
  </si>
  <si>
    <t>Vezir Veziri</t>
  </si>
  <si>
    <t>vezir_jajovski@hotmail.com</t>
  </si>
  <si>
    <t>14 okt.</t>
  </si>
  <si>
    <t>Pasienten ringte opp selv og satte opp time</t>
  </si>
  <si>
    <t>CV2016</t>
  </si>
  <si>
    <t>4589237f0094fe9ca290b9628effd959add39254ead17b753fbfa79531bd64c8</t>
  </si>
  <si>
    <t>eb98084531b9a7a8c770ad282dbe04b41aaa24d50b06f8e0131ec17402606121</t>
  </si>
  <si>
    <t>2025-10-08T09:46:11+00:00</t>
  </si>
  <si>
    <t>15:29</t>
  </si>
  <si>
    <t>Ali Haider</t>
  </si>
  <si>
    <t>ali.haider.a1@hotmail.com</t>
  </si>
  <si>
    <t>10 oktober kl 12</t>
  </si>
  <si>
    <t>68c9d3d9cac43cf835d46527b85b3ada7ecc707fc1a4110cdb18ea246769d551</t>
  </si>
  <si>
    <t>83a0f0ff2ccde6739fdff979669da83592e4ffb1d737ee6b371de2bbfbe6dcc0</t>
  </si>
  <si>
    <t>2025-10-08T13:29:49+00:00</t>
  </si>
  <si>
    <t>01:59</t>
  </si>
  <si>
    <t>Sajjad Ahmad</t>
  </si>
  <si>
    <t>sajjad.ahmad333@gmail.com</t>
  </si>
  <si>
    <t>13/10 mandag etter kl 13</t>
  </si>
  <si>
    <t>71a12ce70b298f7f2f012c2844e53148ebc44052963e63342b409babcc7e48b1</t>
  </si>
  <si>
    <t>f9b2d0a6b7cf6be8d236fc2b6e9aca178d493e8bb52560e5ee1645fb8782079d</t>
  </si>
  <si>
    <t>2025-10-08T23:59:09+00:00</t>
  </si>
  <si>
    <t>09:41</t>
  </si>
  <si>
    <t>Enise Akdeniz</t>
  </si>
  <si>
    <t>enise.akdeniz@yahoo.com</t>
  </si>
  <si>
    <t>Mandager eller torsdager kl 18-19</t>
  </si>
  <si>
    <t>#5</t>
  </si>
  <si>
    <t>Sendt mail</t>
  </si>
  <si>
    <t>0e289ebcd936320574f16b2881d4bf836614a804abe7429bff35dd7a50c031fb</t>
  </si>
  <si>
    <t>12052f6660187b1f7f057665021b20978e10051c058636e85ec9caf5d2d49fa4</t>
  </si>
  <si>
    <t>2025-10-09T07:41:43+00:00</t>
  </si>
  <si>
    <t>10:40</t>
  </si>
  <si>
    <t>Mohammed EL Messaouri</t>
  </si>
  <si>
    <t>moha_el93@hotmail.com</t>
  </si>
  <si>
    <t>Uke dager på kvelden eller helg når som helst</t>
  </si>
  <si>
    <t>Har bestilt time to ganger, ikke møtt begge gangene.</t>
  </si>
  <si>
    <t>03a0a62b7d964597ef7783a62b6b711d29bc3530f7076752d24880b853b20fe1</t>
  </si>
  <si>
    <t>8bc74441c6fba8ee57b0b1f2eb807b19019943dc539bc2e7742b8433151e0b40</t>
  </si>
  <si>
    <t>2025-10-09T08:40:29+00:00</t>
  </si>
  <si>
    <t>00:58</t>
  </si>
  <si>
    <t>Razia hashemi</t>
  </si>
  <si>
    <t>razia.barakatullah@gmail.com</t>
  </si>
  <si>
    <t>Ønsker tirsdag 14 oktober</t>
  </si>
  <si>
    <t xml:space="preserve"> </t>
  </si>
  <si>
    <t>29a5a128a9c7a8e2a3ef7a739931700c1a75c3ba45c6b24118baf7b87d35e35e</t>
  </si>
  <si>
    <t>97272c75e7d1949d3c43ea1d16dd5af84518c1efa43d09ce800fdba549afe312</t>
  </si>
  <si>
    <t>2025-10-09T22:58:15+00:00</t>
  </si>
  <si>
    <t>12:40</t>
  </si>
  <si>
    <t>Tine Pedersen</t>
  </si>
  <si>
    <t>tinep86@hotmail.com</t>
  </si>
  <si>
    <t>torsdag 16.10.2025</t>
  </si>
  <si>
    <t>fb</t>
  </si>
  <si>
    <t>d751e9c126b7d2a7e1497bcf30f3483d2cb53b896a0420157aa23da5769b1f3e</t>
  </si>
  <si>
    <t>cae54722fd2045b4da071bafa83dc1cd9a4ea61fe42a71a89ac0428078e80dae</t>
  </si>
  <si>
    <t>2025-10-10T10:40:19+00:00</t>
  </si>
  <si>
    <t>15:33</t>
  </si>
  <si>
    <t>Hedieh Saidi</t>
  </si>
  <si>
    <t>hedieh84@icloud.com</t>
  </si>
  <si>
    <t>28</t>
  </si>
  <si>
    <t>Satt opp time og avbestilt</t>
  </si>
  <si>
    <t>2b85c1e34fa756e7ebc6c1f61597cbd848743eaf3e63304c16fdd76ed875a67e</t>
  </si>
  <si>
    <t>10007de4ecb555f0f5b4b094339c5eb3c3f30fb2fc65dd922df8d36dfb0e1615</t>
  </si>
  <si>
    <t>2025-10-11T13:33:50+00:00</t>
  </si>
  <si>
    <t>16:36</t>
  </si>
  <si>
    <t>Henriette Aud Harriett Bjørke</t>
  </si>
  <si>
    <t>ahbjor@gmail.com</t>
  </si>
  <si>
    <t>Ringte og sa hun ikke var interessert likevel</t>
  </si>
  <si>
    <t>fdcb64163cec6356e4713788df2c29e4ee31655bf5b96e8b423438d644eec94b</t>
  </si>
  <si>
    <t>89c8aeb05e08a5dbf047f7ea62f1d3e8e12187dfbf07b687164aab74a28b2c07</t>
  </si>
  <si>
    <t>2025-10-11T14:36:10+00:00</t>
  </si>
  <si>
    <t>20:58</t>
  </si>
  <si>
    <t>Rasul Golam</t>
  </si>
  <si>
    <t>norge_22@icloud.com</t>
  </si>
  <si>
    <t>15.10.25</t>
  </si>
  <si>
    <t>0038d84b139a83e16e72512471622e5fd2210a1de00770cdd981e4118a41422a</t>
  </si>
  <si>
    <t>0cf3c9f81969be630331674f1d8d66da07562fd74d698750298fdd6969f6ea94</t>
  </si>
  <si>
    <t>2025-10-11T18:58:55+00:00</t>
  </si>
  <si>
    <t>00:43</t>
  </si>
  <si>
    <t>Ismail Traore</t>
  </si>
  <si>
    <t>ismail.traore@barrum.kommune.no</t>
  </si>
  <si>
    <t>Lørdag 18.10.25 kl 12</t>
  </si>
  <si>
    <t>Rett til telefonsvarer, ingen svar på forsøk 3, sier han ringer tilbake på forsø 4</t>
  </si>
  <si>
    <t>7e256eebc74c169c2cb203d778d596e46fc6a7ff77d2a050d369a3e467fbec93</t>
  </si>
  <si>
    <t>975529ac4d301ec12820e5dd255c24cd0c2201f8252de157bf2ea095f826548c</t>
  </si>
  <si>
    <t>2025-10-11T22:43:49+00:00</t>
  </si>
  <si>
    <t>02:04</t>
  </si>
  <si>
    <t>Nazia Sultana</t>
  </si>
  <si>
    <t>nsa_83@hotmail.com</t>
  </si>
  <si>
    <t>20 oktober</t>
  </si>
  <si>
    <t>72e4065b7ed8ab427572b80eed796cabc59037920b299cfc655435868c9b5b7a</t>
  </si>
  <si>
    <t>67b4a2a4d5bf1f952570eed5042328dd1f1d296b7e4c08e483cfd1d015840dc3</t>
  </si>
  <si>
    <t>2025-10-12T00:04:16+00:00</t>
  </si>
  <si>
    <t>12:17</t>
  </si>
  <si>
    <t>Amer Ali Alam</t>
  </si>
  <si>
    <t>amer_89@hotmail.no</t>
  </si>
  <si>
    <t>Idag?</t>
  </si>
  <si>
    <t>Pasienten ringte inn slev og fikk time</t>
  </si>
  <si>
    <t>4c641ac42c5e55ea43d8fa7184247d6f4c5173e040d9032e0a62beadba330dc8</t>
  </si>
  <si>
    <t>0ffa1ab66da3fc7744a772969760e476998a4af8a4fbaeec934b9781ed8cbed4</t>
  </si>
  <si>
    <t>2025-10-13T10:17:34+00:00</t>
  </si>
  <si>
    <t>13:13</t>
  </si>
  <si>
    <t>Shaiza Sakhi</t>
  </si>
  <si>
    <t>shaiza_sakhi91@hotmail.com</t>
  </si>
  <si>
    <t>03.11.2025</t>
  </si>
  <si>
    <t>33feab9d73450db995481232d8d87112f1454ae1094d950fc930dffcadee4057</t>
  </si>
  <si>
    <t>70ecd6fa1c3b6ca7e45f66d8d2fd3fcea4625301470df6bfc462bc9369f51447</t>
  </si>
  <si>
    <t>2025-10-13T11:13:41+00:00</t>
  </si>
  <si>
    <t>13:38</t>
  </si>
  <si>
    <t>Josefina Claudio  Solano</t>
  </si>
  <si>
    <t>josefina-solano@hotmail.com</t>
  </si>
  <si>
    <t>14.10/2025</t>
  </si>
  <si>
    <t>Har vært hos tannlegen</t>
  </si>
  <si>
    <t>614d6ba320f70614db6cdd9180c74173e7d6c7b0c7d910607eb0cc5d1a36c653</t>
  </si>
  <si>
    <t>2025-10-13T11:38:18+00:00</t>
  </si>
  <si>
    <t>09:59</t>
  </si>
  <si>
    <t>Magnus Hansten</t>
  </si>
  <si>
    <t>hansten07@gmail.com</t>
  </si>
  <si>
    <t>lørdag, 18 oktober</t>
  </si>
  <si>
    <t>a1f33c014a6ea489030940f26c3b4b6ffbd9245ecd0c780b579ddba9edc4e095</t>
  </si>
  <si>
    <t>1419e344d1d0b42a31a49779601df15c6646e0dc640f8b7179acd8042a4b7014</t>
  </si>
  <si>
    <t>2025-10-14T07:59:10+00:00</t>
  </si>
  <si>
    <t>Andrea Holtekjølen</t>
  </si>
  <si>
    <t>andreaholte@hotmail.no</t>
  </si>
  <si>
    <t>28.10.25</t>
  </si>
  <si>
    <t>c5784ed2300d32ccf243cdd431c61110a5870b3572451a631a7d8e37733cc912</t>
  </si>
  <si>
    <t>e826f85cc4f6f65436e9bee2c09c35795a651de96e6f7e6cf8ed001b346606e3</t>
  </si>
  <si>
    <t>2025-10-14T10:40:03+00:00</t>
  </si>
  <si>
    <t>Facebook_Desktop_Feed</t>
  </si>
  <si>
    <t>12:49</t>
  </si>
  <si>
    <t>Irene Håheim</t>
  </si>
  <si>
    <t>irenehaheim@hotmail.com</t>
  </si>
  <si>
    <t>30. oktober</t>
  </si>
  <si>
    <t>1be1ac47f995292cf3ddc275d6fd85a0550fa9f0989c3c023fe9eea3db5ef720</t>
  </si>
  <si>
    <t>0727bcee74beac6e37e878962b59b7c33524e825b87a05628764831e2de5d0a1</t>
  </si>
  <si>
    <t>2025-10-14T10:49:37+00:00</t>
  </si>
  <si>
    <t>Esmer  øzbek</t>
  </si>
  <si>
    <t>esma20@msn.com</t>
  </si>
  <si>
    <t>Sammen</t>
  </si>
  <si>
    <t>771e0734bc2b9fdccada5a5abb995f6a4e7b6fa6d2e69df748e9a20e7897dcd3</t>
  </si>
  <si>
    <t>8c577a5cafcb57c7ff4e03a0ebd17829e5d10fba1552bdefcfe7ec06cdb4829b</t>
  </si>
  <si>
    <t>2025-10-15T06:27:37+00:00</t>
  </si>
  <si>
    <t>11:52</t>
  </si>
  <si>
    <t>Chaimae Haddaoui</t>
  </si>
  <si>
    <t>chaimae.had@hotmail.com</t>
  </si>
  <si>
    <t>Lørdag eller søndag fra og med kl. 15.00</t>
  </si>
  <si>
    <t>Ingen svar på telefon.</t>
  </si>
  <si>
    <t>443075ac028e46b297033f4e662c519159410c164b9be4fb9f476d35809e56cc</t>
  </si>
  <si>
    <t>d5847c96b9140468b53e39255969b218386eaa76fe3d34504bcf51d4e109f390</t>
  </si>
  <si>
    <t>2025-10-15T09:52:56+00:00</t>
  </si>
  <si>
    <t>03:20</t>
  </si>
  <si>
    <t>Elin Bårhus</t>
  </si>
  <si>
    <t>mandala62@iclod.com</t>
  </si>
  <si>
    <t>februar 20</t>
  </si>
  <si>
    <t>f3e062357d4e2fa377e8c71a41155a1d149761a7c939dbdac1750d26e08d884d</t>
  </si>
  <si>
    <t>e88d616b264e007993d321d422ff3d6c56b4b6719d3e071399b6bb5f3d415933</t>
  </si>
  <si>
    <t>2025-10-16T01:20:45+00:00</t>
  </si>
  <si>
    <t>07:27</t>
  </si>
  <si>
    <t>Krisgel Bolleser</t>
  </si>
  <si>
    <t>kcochbolleser@yahoo.com</t>
  </si>
  <si>
    <t>17/10/25 09:00</t>
  </si>
  <si>
    <t>Ringt for å sette opp time, går rett til mobilsvar/ blir lagt på</t>
  </si>
  <si>
    <t>CV2012</t>
  </si>
  <si>
    <t>7c4270a9ed34687d055854f30f5bd18eafd15ec33ba5c793800c0d608ba0fb09</t>
  </si>
  <si>
    <t>48cb7652497e98baa3e6c8a47482bf254858fdcb38754844586f8ebb73e79341</t>
  </si>
  <si>
    <t>2025-10-16T05:27:33+00:00</t>
  </si>
  <si>
    <t>09:17</t>
  </si>
  <si>
    <t>Mette Granli</t>
  </si>
  <si>
    <t>mette.granli59@gmail.com</t>
  </si>
  <si>
    <t>23/10</t>
  </si>
  <si>
    <t>f059c94e5f0c5f6151a3ce8b5ae5abeeed345515891c37a2f02be19e3de5f889</t>
  </si>
  <si>
    <t>e1ffeeffce5bd0bf4e33eb265936e27e6124c44cc121caa439584eb3084da0ce</t>
  </si>
  <si>
    <t>2025-10-16T07:17:12+00:00</t>
  </si>
  <si>
    <t>04:53</t>
  </si>
  <si>
    <t>Marcos Elijah Carreno Fernandez</t>
  </si>
  <si>
    <t>marcos99.mf@gmail.com</t>
  </si>
  <si>
    <t>19.10.25</t>
  </si>
  <si>
    <t>a107e47fd15598ffaeb37715c9bd3a383a092109a168128039868597453a316b</t>
  </si>
  <si>
    <t>05504fdb791065dd90b4a87f4d502c59310d185df31a3600a88d91dffe7446a4</t>
  </si>
  <si>
    <t>2025-10-17T02:53:47+00:00</t>
  </si>
  <si>
    <t>11:24</t>
  </si>
  <si>
    <t>Edip Secici</t>
  </si>
  <si>
    <t>edip.secici@hotmail.com</t>
  </si>
  <si>
    <t>23 10 2025</t>
  </si>
  <si>
    <t>CV9801</t>
  </si>
  <si>
    <t>18de252a3973f26151741d6022e9b2771f908133da78b3ef24e8bf001572a451</t>
  </si>
  <si>
    <t>78016654caf5c595c5284853e48836ccd013e0b87746880b3442a866c72b4884</t>
  </si>
  <si>
    <t>2025-10-17T09:24:01+00:00</t>
  </si>
  <si>
    <t>10:09</t>
  </si>
  <si>
    <t>Anne-Bett jacobsen</t>
  </si>
  <si>
    <t>annebettja@hotmail.com</t>
  </si>
  <si>
    <t>24.10.2025 kl 16</t>
  </si>
  <si>
    <t>Ringt pasienten for å sette opp time, går rett til mobilsvar</t>
  </si>
  <si>
    <t>777f575ed411263601c54f53880813f83547e54df6843f100c2c8033488470e1</t>
  </si>
  <si>
    <t>a4af8c0f2d5675340524d024eafbb67f81a52ef17daec8e307a54cb34dc3fb2a</t>
  </si>
  <si>
    <t>2025-10-18T08:09:02+00:00</t>
  </si>
  <si>
    <t>10:14</t>
  </si>
  <si>
    <t>Bengt Feragen</t>
  </si>
  <si>
    <t>bpferagen@gmail.com</t>
  </si>
  <si>
    <t>Fredag   31.10  kl 13.45</t>
  </si>
  <si>
    <t>Prøvd å ringe, nummeret er ikke i bruk</t>
  </si>
  <si>
    <t>fbb690f9e72f149b4c8eef6b5646b2942e26bf0ba4ededcf03f1b0327289431d</t>
  </si>
  <si>
    <t>d721f43fbe7a29707dd5d90dbd31855533bf30b78cacac7eefb6257e35feaf05</t>
  </si>
  <si>
    <t>2025-10-18T08:14:22+00:00</t>
  </si>
  <si>
    <t>10:29</t>
  </si>
  <si>
    <t>Maren Solvang</t>
  </si>
  <si>
    <t>maren_solvang@hotmail.com</t>
  </si>
  <si>
    <t>8 11 2025</t>
  </si>
  <si>
    <t>Skulle ringe opp for å sette opp time selv, var skikkelig usikker på når hun hadde tid pga barn.</t>
  </si>
  <si>
    <t>CP5144</t>
  </si>
  <si>
    <t>e1c431232c4e5d56b14dcd607b6b5cf43e85fccd5b0c9a4fda6fb5acad931b01</t>
  </si>
  <si>
    <t>0fdcf35a4044c8735eb9826825372a77c4c2b550c27f764a735695fe22ffe8b5</t>
  </si>
  <si>
    <t>2025-10-18T08:29:32+00:00</t>
  </si>
  <si>
    <t>09:28</t>
  </si>
  <si>
    <t>Forozan Omed</t>
  </si>
  <si>
    <t>fkargar786@gmail.com</t>
  </si>
  <si>
    <t>247 oktober klokken 11:00</t>
  </si>
  <si>
    <t>9c6d3d26d43fbbc06388b215f162ba45b7523fc70466a78ac06abc5658ccf5a7</t>
  </si>
  <si>
    <t>71aa8cfb6fa1b5752caaa3ad7539d3b3213dbef54fb4b1db6f7b51b75baea4a1</t>
  </si>
  <si>
    <t>2025-10-19T07:28:24+00:00</t>
  </si>
  <si>
    <t>12:07</t>
  </si>
  <si>
    <t>Rozhan kamal Mohammed</t>
  </si>
  <si>
    <t>rozhankamal@yahoo.com</t>
  </si>
  <si>
    <t>45956</t>
  </si>
  <si>
    <t>a850049745b4efbf1c874f3a014c20580520a4ade78b6c8e4f4d023d7f9c2dd5</t>
  </si>
  <si>
    <t>4e5eea5a177ed377507228af5d2d25f9db17da3348adc04539169702e3ffac7f</t>
  </si>
  <si>
    <t>2025-10-19T10:07:58+00:00</t>
  </si>
  <si>
    <t>15:37</t>
  </si>
  <si>
    <t>Farhiya Elmi</t>
  </si>
  <si>
    <t>farhiya.elmi5@gmail.com</t>
  </si>
  <si>
    <t>Torsdag 23/10-25 kl 19</t>
  </si>
  <si>
    <t>8f924b90bd6f2e66eec14062bec0d09dcd57dcb7798511064788d3986432c0d5</t>
  </si>
  <si>
    <t>a746497421ff00b017fd4f35037d2ea7d673975cad910adb1f3adc1cea3559f6</t>
  </si>
  <si>
    <t>2025-10-19T13:37:54+00:00</t>
  </si>
  <si>
    <t>16:25</t>
  </si>
  <si>
    <t>Fayaz ahmed</t>
  </si>
  <si>
    <t>ahmedfayazch@gmail.com</t>
  </si>
  <si>
    <t>23/10/2025 kl etter 12.00</t>
  </si>
  <si>
    <t>Mobilsvar</t>
  </si>
  <si>
    <t>40b2030f57eb99495269c4b01a73cca26b50a60134b955aecff708cc617b41f0</t>
  </si>
  <si>
    <t>a7c5b0cf01b6136d1c2821b3f06501ef1c2a9316d95b8ff4aaa9aa011ff48d3b</t>
  </si>
  <si>
    <t>2025-10-19T14:25:18+00:00</t>
  </si>
  <si>
    <t>17:53</t>
  </si>
  <si>
    <t>Maria Aadland</t>
  </si>
  <si>
    <t>maria_sivertsen@hotmail.com</t>
  </si>
  <si>
    <t>aef47746c78c640e33a52714aadc7b341bf697a03b4bd9dcb5094725ef74c86e</t>
  </si>
  <si>
    <t>7b58778442203ba6e405fec394c0d4a281c0fb6e0772d61015559e7ce2534807</t>
  </si>
  <si>
    <t>2025-10-19T15:53:40+00:00</t>
  </si>
  <si>
    <t>18:00</t>
  </si>
  <si>
    <t>Jonatan Aadland</t>
  </si>
  <si>
    <t>jona_aad@hotmail.com</t>
  </si>
  <si>
    <t>20. eller 21.  oktober</t>
  </si>
  <si>
    <t>295c8d8456a8dc6031af87101625590b51a5fda52a786b6bb4238179ae88cff1</t>
  </si>
  <si>
    <t>4570482b2fa46f49975c4006ebb742ada694b3ceda350a895506349709ccde33</t>
  </si>
  <si>
    <t>2025-10-19T16:00:24+00:00</t>
  </si>
  <si>
    <t>05:21</t>
  </si>
  <si>
    <t>Adam Ali Abusharkh</t>
  </si>
  <si>
    <t>adam.ali.abusharkh@gmail.com</t>
  </si>
  <si>
    <t>Når det passer dere</t>
  </si>
  <si>
    <t>d3d02c0e4fc4467f47b2e64d58c84f0d18bd65bb09921b1c2758d37785b2b868</t>
  </si>
  <si>
    <t>39bc5f544c20c65eaa2ae9275d1bef2b5b265c5d18431901cd83f75582bec594</t>
  </si>
  <si>
    <t>2025-10-20T03:21:13+00:00</t>
  </si>
  <si>
    <t>Juneed Zafar</t>
  </si>
  <si>
    <t>juneed@gmail.com</t>
  </si>
  <si>
    <t>45952</t>
  </si>
  <si>
    <t>91845fe256503912dbee985d01c44ec484571f972dfd3ba9e8072dc5633ba2d5</t>
  </si>
  <si>
    <t>96eed13a30e4b06ca7e6598cbadc09f3c829a3468a00d47aabce68eef4ccb5cd</t>
  </si>
  <si>
    <t>2025-10-21T14:36:25+00:00</t>
  </si>
  <si>
    <t>20:44</t>
  </si>
  <si>
    <t>Merethe Hansen</t>
  </si>
  <si>
    <t>merethehans1@hotmail.com</t>
  </si>
  <si>
    <t>Torsdag 23/10, 24/10,29/10, etter 16:00</t>
  </si>
  <si>
    <t>de56a2709d54bd707b4cf24f01abe8ef8bd2bfc6ceb5fbaac3b818775ef0ed3c</t>
  </si>
  <si>
    <t>effb970a10926cceaeacfd85c5623b3296a51166a80ba157a3aa55cc79f3a07c</t>
  </si>
  <si>
    <t>2025-10-21T18:44:23+00:00</t>
  </si>
  <si>
    <t>21:34</t>
  </si>
  <si>
    <t>silvana nylund</t>
  </si>
  <si>
    <t>silvananylund@gmail.com</t>
  </si>
  <si>
    <t>Fort som mulig</t>
  </si>
  <si>
    <t>Fant et sted nærmere seg selv</t>
  </si>
  <si>
    <t>37d0e37fe1e56db8c13188308f271040c08a516e21ce5c891b631fbb61ba9798</t>
  </si>
  <si>
    <t>4d860ed8de8c5a302899b59e9571a56ffa926d7d6d6dc465747af12b2bd83c21</t>
  </si>
  <si>
    <t>2025-10-21T19:34:35+00:00</t>
  </si>
  <si>
    <t>12:27</t>
  </si>
  <si>
    <t>Haroon Kaakal</t>
  </si>
  <si>
    <t>haroon2014hk@gmail.com</t>
  </si>
  <si>
    <t>26</t>
  </si>
  <si>
    <t>7d4f6aa72501848c1adc0288d01f7f1914bed5eda5797a3da63619de9f3ac6ff</t>
  </si>
  <si>
    <t>2c99a803b767e5b10a70d3c73c484bbb9e48a0e669f08069736c6c13d2924d14</t>
  </si>
  <si>
    <t>2025-10-22T10:27:12+00:00</t>
  </si>
  <si>
    <t>14:29</t>
  </si>
  <si>
    <t>Rose Larsen</t>
  </si>
  <si>
    <t>njokurecha@yahoo.no</t>
  </si>
  <si>
    <t>45959</t>
  </si>
  <si>
    <t>7162ef39bdfa6f9a8a4228abc712a8e34e6fb4801ab4ad9ee085650da6b0eb56</t>
  </si>
  <si>
    <t>050fb92490df5a19ce5afee364ecb8afd14b41f4eae68352b79d8eafd0bc19f9</t>
  </si>
  <si>
    <t>2025-10-22T12:29:59+00:00</t>
  </si>
  <si>
    <t>18:40</t>
  </si>
  <si>
    <t>Bnar Bker</t>
  </si>
  <si>
    <t>lawand_8@hotmail.com</t>
  </si>
  <si>
    <t>I morgen</t>
  </si>
  <si>
    <t>Ønsket time men så kom hun på at hun skal være bortreist, ringer tilbake selv dersom hun skulle vært interessert</t>
  </si>
  <si>
    <t>5e8b7023b98636d21a3e4db107caf891163c780601888d22981d13d30c4f458c</t>
  </si>
  <si>
    <t>2658b58053261a1da5162eff133fc0c344b7179b9b4fffc9176d3685191a527c</t>
  </si>
  <si>
    <t>2025-10-22T16:40:57+00:00</t>
  </si>
  <si>
    <t>12:31</t>
  </si>
  <si>
    <t>Zainab</t>
  </si>
  <si>
    <t>zainab288@hotmail.com</t>
  </si>
  <si>
    <t>Onsdag   29 oktober kl 10. 00</t>
  </si>
  <si>
    <t>750218b55ec675fbd35637f96adc3932d7f26fb688b2b1d6161553be6633d335</t>
  </si>
  <si>
    <t>060c1ce2f652e3e8894c3ae76ff57575d3f63e1ddb848bb8b257fa471d1e17c9</t>
  </si>
  <si>
    <t>2025-10-23T10:31:43+00:00</t>
  </si>
  <si>
    <t>21:18</t>
  </si>
  <si>
    <t>Zia Moradi</t>
  </si>
  <si>
    <t>zia.moradi91@gmail.com</t>
  </si>
  <si>
    <t>45957</t>
  </si>
  <si>
    <t>Ring opp for å sette opp time</t>
  </si>
  <si>
    <t>2f4f13255a3fd8a3dd64618443279a3dc03382b5cfb78702ab5fee48fa475186</t>
  </si>
  <si>
    <t>192698dcbe08933b65af15374de6a7525f891910c9fdca55088d0eafa06f8feb</t>
  </si>
  <si>
    <t>2025-10-23T19:18:24+00:00</t>
  </si>
  <si>
    <t>23:50</t>
  </si>
  <si>
    <t>Zaii Velzar</t>
  </si>
  <si>
    <t>zaiivelzar@gmail.com</t>
  </si>
  <si>
    <t>Mandag klokken 15</t>
  </si>
  <si>
    <t>977ce4507e47878183f501ef5919abc8826cde1a19d7fa27f4dbadeb2b3574b5</t>
  </si>
  <si>
    <t>ab7787a32173c9c54ef729c3d0f47aa16e0babcd4d9ea6ca970f555197ec5a52</t>
  </si>
  <si>
    <t>2025-10-23T21:50:03+00:00</t>
  </si>
  <si>
    <t>23:55</t>
  </si>
  <si>
    <t>Matteo Smajlovic</t>
  </si>
  <si>
    <t>matteosmajlovic@gmail.com</t>
  </si>
  <si>
    <t>Mandag klokken 16</t>
  </si>
  <si>
    <t>f30be29a4146396bab18f18d8d1d3352f923d3ea30974ae145f20fa399d6c6a4</t>
  </si>
  <si>
    <t>5e4a63b658c4f8612fcaae9885fa0ccae856523c2226252c8eb24f6e819849bf</t>
  </si>
  <si>
    <t>2025-10-23T21:55:22+00:00</t>
  </si>
  <si>
    <t>00:48</t>
  </si>
  <si>
    <t>Siham mezian</t>
  </si>
  <si>
    <t>sihammezian@gmail.com</t>
  </si>
  <si>
    <t>45955</t>
  </si>
  <si>
    <t>Ønsket å ringe tilbake selv for å sette opp time</t>
  </si>
  <si>
    <t>8d17b1bee8c0e0408b6b0d89f1329682033ff37cdd8ba08cc340db8a4977fde1</t>
  </si>
  <si>
    <t>7936f3b8bbbe787b119ef4e11a582b3c70565279896f3cefb9d13e233240ff6b</t>
  </si>
  <si>
    <t>2025-10-23T22:49:00+00:00</t>
  </si>
  <si>
    <t>16:14</t>
  </si>
  <si>
    <t>Celine Eriksen</t>
  </si>
  <si>
    <t>eriksenmao@gmail.com</t>
  </si>
  <si>
    <t>15.11.2025</t>
  </si>
  <si>
    <t>c1522faa722738a6028893f05b9ae092b6dcf710860866a673c02f07309511ad</t>
  </si>
  <si>
    <t>2f0d7bf5e4f2f2aa47f5c286ce341862de48b1a2b9f539ec7f176a137dd4707d</t>
  </si>
  <si>
    <t>2025-10-24T14:14:49+00:00</t>
  </si>
  <si>
    <t>17:18</t>
  </si>
  <si>
    <t>Sibel</t>
  </si>
  <si>
    <t>sibella_1987@hotmail.com</t>
  </si>
  <si>
    <t>22/11/2025</t>
  </si>
  <si>
    <t>dab798d123aba5cabfd8a6e02c81facac0d2b0f60cce0cc0e4727d7c3ef70705</t>
  </si>
  <si>
    <t>e2bba909c39639ac0f6bf0de6b7e880e0d6492d6a9b4686b442ea0ed1a8bf35e</t>
  </si>
  <si>
    <t>2025-10-24T15:18:49+00:00</t>
  </si>
  <si>
    <t>09:53</t>
  </si>
  <si>
    <t>Kim André Vannebo</t>
  </si>
  <si>
    <t>kavannebo@gmail.com</t>
  </si>
  <si>
    <t>31.10.2025 08.30</t>
  </si>
  <si>
    <t>7f38a1acb7dac878376128532b3d22af3aa10a006e9575e5e42aeb4ac2beebfb</t>
  </si>
  <si>
    <t>cd76585808870e7feb6d6cc657b4ed66e66fdfcc3c53df861b93d323edd19df4</t>
  </si>
  <si>
    <t>2025-10-25T07:53:10+00:00</t>
  </si>
  <si>
    <t>10:01</t>
  </si>
  <si>
    <t>Karin Larsson</t>
  </si>
  <si>
    <t>tigerkarin12@gmail.com</t>
  </si>
  <si>
    <t>En uke dag etter kl 18.00</t>
  </si>
  <si>
    <t>e92c91b1ae7e02536a3c31182f684a5f6f32cdf7ab01b61b1abe6283ea4b29bc</t>
  </si>
  <si>
    <t>8bb6192e37ecd37ec28ce72970a30f8b2d6eabfe75df30f102e72dac1b65b603</t>
  </si>
  <si>
    <t>2025-10-25T08:01:35+00:00</t>
  </si>
  <si>
    <t>12:05</t>
  </si>
  <si>
    <t>Frid-Nelly Løkås Løkås</t>
  </si>
  <si>
    <t>fridlokas47@gmail.com</t>
  </si>
  <si>
    <t>29/10</t>
  </si>
  <si>
    <t>c4a9c0a9a340672ae3c1c8fe6783d253f1daba18ee9400d37edd62b84754691c</t>
  </si>
  <si>
    <t>2b0b85d5d518e235ff4dce3572aa66d5862e2670ada67984db4766219cf7cf4d</t>
  </si>
  <si>
    <t>2025-10-25T10:05:04+00:00</t>
  </si>
  <si>
    <t>06:10</t>
  </si>
  <si>
    <t>Babu Thiruchelvam</t>
  </si>
  <si>
    <t>tbabu300@gmail.com</t>
  </si>
  <si>
    <t>31/10/2025</t>
  </si>
  <si>
    <t>Følg opp</t>
  </si>
  <si>
    <t>Pasienten ønsket å ringe tilbake selv, skulle sette opp time for noen andre</t>
  </si>
  <si>
    <t>7aed09672b1d87d5176a0158a9633a0b99d8d2ec0672b14c00a1c8836c73de26</t>
  </si>
  <si>
    <t>edadff6034b48e987b6b27e18c68794f9c54f024638e517d8a3e23d1b98c2d74</t>
  </si>
  <si>
    <t>2025-10-26T05:10:08+00:00</t>
  </si>
  <si>
    <t>07:02</t>
  </si>
  <si>
    <t>Simon Solheim</t>
  </si>
  <si>
    <t>Lørdag 1. nov.</t>
  </si>
  <si>
    <t>Går rett til mobilsvar</t>
  </si>
  <si>
    <t>fba5600621c1a83464cb88f1da1e8e0c659956762aa6ec1ac276fbae99aaf695</t>
  </si>
  <si>
    <t>90a0f341b6389f23ae420c6eb2b8eb35075943e07d533a19b1dc2ac332c19b91</t>
  </si>
  <si>
    <t>2025-10-26T06:02:46+00:00</t>
  </si>
  <si>
    <t>08:19</t>
  </si>
  <si>
    <t>Watan</t>
  </si>
  <si>
    <t>watan-29177kareemi@outlook.com</t>
  </si>
  <si>
    <t>Lørdag  14</t>
  </si>
  <si>
    <t>Ønsker å ringe opp tilbake selv</t>
  </si>
  <si>
    <t>6f04edfbecbad164b6e3814300046df92c19c729b4b179cd79e61d2194bdc176</t>
  </si>
  <si>
    <t>35735ab41461b4ebee58ee7b9ae81d41f5ba3b6e7bbbe176e97b37eb319a8448</t>
  </si>
  <si>
    <t>2025-10-26T07:19:43+00:00</t>
  </si>
  <si>
    <t>08:30</t>
  </si>
  <si>
    <t>Janusz</t>
  </si>
  <si>
    <t>januszmilosek@gmail.com</t>
  </si>
  <si>
    <t>Jeg ønsker en time for meg og min kone den 28., 30. og 31. For min kone i løpet av dagen, og for meg etter kl. 17.</t>
  </si>
  <si>
    <t>Sier de ikke er interessert, ringt 26.10.2025 kl 12:45</t>
  </si>
  <si>
    <t>0c1d77982d372c3008238756eb9ecace9bf1f1dd4d6b13ab9bd5112c537b6d08</t>
  </si>
  <si>
    <t>b1d6f45833054fe43943e03c89e0a557248e605787e1a0553e5d8561968dd96f</t>
  </si>
  <si>
    <t>2025-10-26T07:30:50+00:00</t>
  </si>
  <si>
    <t>00:31</t>
  </si>
  <si>
    <t>Liza Kjølberg</t>
  </si>
  <si>
    <t>lizakjol@online.no</t>
  </si>
  <si>
    <t>31.1</t>
  </si>
  <si>
    <t>Ønsker å gå til sin egen tannlege</t>
  </si>
  <si>
    <t>CV9159</t>
  </si>
  <si>
    <t>9f265aaca6cde80656b34fc9ea790537269ec2ea2b288dc6f1bb35b6b83a9867</t>
  </si>
  <si>
    <t>9a713525e896c1a53562cb3fecdd626bb25842cc9417d6b26786ddf8d48e4d83</t>
  </si>
  <si>
    <t>2025-10-26T23:31:04+00:00</t>
  </si>
  <si>
    <t>11:05</t>
  </si>
  <si>
    <t>Mats</t>
  </si>
  <si>
    <t>matsmisje0@gmail.com</t>
  </si>
  <si>
    <t>Så fort som mulig</t>
  </si>
  <si>
    <t>3976be2a1dc3f531d3ed399fc10a4c9a06162a1574ff76ee9979c2be74dd25f5</t>
  </si>
  <si>
    <t>70663d5294694aee21a07c822fb5e01c5889da06fd8d1cfc525d73b574a7aa97</t>
  </si>
  <si>
    <t>2025-10-28T10:05:27+00:00</t>
  </si>
  <si>
    <t>Rusul Al-Abbasi</t>
  </si>
  <si>
    <t>rusul.alabbasi@gmail.com</t>
  </si>
  <si>
    <t>30.10.25</t>
  </si>
  <si>
    <t>Ønsket å ringe opp tilbake selv, trenger barnepass</t>
  </si>
  <si>
    <t>81e914da30fbcc7320157334f259bcaf2e335bc7539ddda2158365b1cd4355d4</t>
  </si>
  <si>
    <t>00f3b8135ba12e15c284495f350840b59f2a31e175191ba72c65532eaefedeff</t>
  </si>
  <si>
    <t>2025-10-28T10:06:01+00:00</t>
  </si>
  <si>
    <t>11:32</t>
  </si>
  <si>
    <t>munawar Hussain</t>
  </si>
  <si>
    <t>hussain.munawar0212@gmail.com</t>
  </si>
  <si>
    <t>29.10.2025</t>
  </si>
  <si>
    <t>CV2013</t>
  </si>
  <si>
    <t>d048bab0aba831947bea4ca6340e5ad58569bd50495707574e6d392b0110691f</t>
  </si>
  <si>
    <t>57afa55298c8eb13e0cdfc432a3b4f57326712414a72bc11a84b6ef47b2c654c</t>
  </si>
  <si>
    <t>2025-10-28T10:32:24+00:00</t>
  </si>
  <si>
    <t>Erik skræi</t>
  </si>
  <si>
    <t>Borterik123@gmail.com</t>
  </si>
  <si>
    <t>31.10.2025 kl 16.00</t>
  </si>
  <si>
    <t>0baa5ab7eb8004976de5cce56978db01aa69f7e1802510a76d7718a01f6838ea</t>
  </si>
  <si>
    <t>566975f734c3c60488bf5c8627ed6324ccad31105e29a8829e03f25b4b40b8e2</t>
  </si>
  <si>
    <t>2025-10-28T16:18:31+00:00</t>
  </si>
  <si>
    <t>00:09</t>
  </si>
  <si>
    <t>Heja Ahmed</t>
  </si>
  <si>
    <t>heja099@gmail.com</t>
  </si>
  <si>
    <t>29.10.25</t>
  </si>
  <si>
    <t>Rett til telefonsvar</t>
  </si>
  <si>
    <t>3276e27d51d7a81303886956401f92d2f38f53cbf88bd8b96f5a206a333e2725</t>
  </si>
  <si>
    <t>d7db546e831aa06d6a1296dcac8b80f5d1359c40aea08b7d8f2be2f009e0f0f5</t>
  </si>
  <si>
    <t>2025-10-28T23:09:30+00:00</t>
  </si>
  <si>
    <t>06:04</t>
  </si>
  <si>
    <t>Sami Meliqi</t>
  </si>
  <si>
    <t>sami.meliqi@gmail.cim</t>
  </si>
  <si>
    <t>11.11.2025</t>
  </si>
  <si>
    <t>0b6a1b451cec1073f800b64cef2ba3e55c40815c919d42245ddc9a7f6dfa587f</t>
  </si>
  <si>
    <t>c4f85a430fb74506a369550f4f6b5a63326e7acbc856b46da8e3ac944bb53803</t>
  </si>
  <si>
    <t>2025-10-29T05:04:02+00:00</t>
  </si>
  <si>
    <t>08:34</t>
  </si>
  <si>
    <t>Miranda Dalberg</t>
  </si>
  <si>
    <t>mirandadalberg@gmail.com</t>
  </si>
  <si>
    <t>24.11.2025</t>
  </si>
  <si>
    <t>daa0d7664d6bdfd5f841ce607b44cf488ce58ea0dbdbb6a752ce9a60b8ec2862</t>
  </si>
  <si>
    <t>65252e135e0e518afcbbd134b5c4e2b7374c9a553b8540b511622a9a20837625</t>
  </si>
  <si>
    <t>2025-10-30T07:34:25+00:00</t>
  </si>
  <si>
    <t>08:52</t>
  </si>
  <si>
    <t>Tahira Butt</t>
  </si>
  <si>
    <t>tahirab1012@hotmail.com</t>
  </si>
  <si>
    <t>31.10.25</t>
  </si>
  <si>
    <t>106056c899158059e646e44730f0f41abd4615eb13093d29cbaee1608bc2111d</t>
  </si>
  <si>
    <t>f607c7ce2071c4a06e831529157cb68e9285c81d86c3e69015c4db6eb20b483c</t>
  </si>
  <si>
    <t>2025-10-30T07:52:29+00:00</t>
  </si>
  <si>
    <t>09:34</t>
  </si>
  <si>
    <t>Nishanthiny Alagendram</t>
  </si>
  <si>
    <t>nishanthiny87@hotmail.com</t>
  </si>
  <si>
    <t>31.10.2025</t>
  </si>
  <si>
    <t>819703eefbc85a8790df0e463c9d5e3c5da38dfb5311e9333b3a06d33c000d03</t>
  </si>
  <si>
    <t>6d660703ae10f6663e6364f07615bd867dd9d36c0f1cb69109d9e2a22e985257</t>
  </si>
  <si>
    <t>2025-10-30T08:34:12+00:00</t>
  </si>
  <si>
    <t>09:23</t>
  </si>
  <si>
    <t>Marija Markovska</t>
  </si>
  <si>
    <t>marija.markovska@online.no</t>
  </si>
  <si>
    <t>25 november</t>
  </si>
  <si>
    <t>a2b8135afde99838e6c95bee023a484ddc207212c9d35568b1f51cb669457989</t>
  </si>
  <si>
    <t>f96f58969b397d4d33803d57002878af9264ab07b41229d93d68e410ac6ce90d</t>
  </si>
  <si>
    <t>2025-11-03T08:23:23+00:00</t>
  </si>
  <si>
    <t>18:33</t>
  </si>
  <si>
    <t>Kenan Ali</t>
  </si>
  <si>
    <t>kinan554@Yahoo.com</t>
  </si>
  <si>
    <t>11.11.2026</t>
  </si>
  <si>
    <t>faeea0d1e06a07ce443a8543301f0caea8c49672720956304d2763d4c977be23</t>
  </si>
  <si>
    <t>71b8c0384b13b92d270a97e36bab74c4f74bb38a25c27b303f62f529a1da24c4</t>
  </si>
  <si>
    <t>2025-11-03T17:33:25+00:00</t>
  </si>
  <si>
    <t>18:54</t>
  </si>
  <si>
    <t>Daniel Feyisa</t>
  </si>
  <si>
    <t>dan2005@live.com</t>
  </si>
  <si>
    <t>5. Nov</t>
  </si>
  <si>
    <t>dabb55ad12a68a73ebd703d1b7c55cbb9b3acef56ab27e3ca3f534c7975fe88c</t>
  </si>
  <si>
    <t>2ea004235f0ada4bf3ddcca99a97ace4c2ac6af70467ad12256eaa06ab0b9dad</t>
  </si>
  <si>
    <t>2025-11-03T17:54:09+00:00</t>
  </si>
  <si>
    <t>18:55</t>
  </si>
  <si>
    <t>Ida Stenersen</t>
  </si>
  <si>
    <t>idastenersen@hotmail.com</t>
  </si>
  <si>
    <t>11.11.25</t>
  </si>
  <si>
    <t>Har fått bedre tilbud et annet sted</t>
  </si>
  <si>
    <t>CV2011</t>
  </si>
  <si>
    <t>159292c74821f982a69c895689aff21da6c5d3f781e491b7cfd75d9e4d0b4e14</t>
  </si>
  <si>
    <t>8f3acd7dd836f4cfca3f72f609ad7130df57ff3b12cd03cb6015fa54b00a3aef</t>
  </si>
  <si>
    <t>2025-11-03T17:55:49+00:00</t>
  </si>
  <si>
    <t>05:58</t>
  </si>
  <si>
    <t>Øystein Jeremiassen</t>
  </si>
  <si>
    <t>oystein.jeremiassen@gmail.com</t>
  </si>
  <si>
    <t>15.11</t>
  </si>
  <si>
    <t>0107d8228e5eacd7f6a9114b4451d0701eedbbfbe3e9521ad2db7ff44872c815</t>
  </si>
  <si>
    <t>0e9c49c4811b7a6680c00be761e2991ccac8486ed21eeab6a527955b6d036af9</t>
  </si>
  <si>
    <t>2025-11-04T04:58:32+00:00</t>
  </si>
  <si>
    <t>19:33</t>
  </si>
  <si>
    <t>Kobrom Ihdego</t>
  </si>
  <si>
    <t>kobrom@hotmail.com</t>
  </si>
  <si>
    <t>9.11.25 kl.12.00</t>
  </si>
  <si>
    <t>0a963b3d4c7b0076a182d592b4314dd6391b9cf9caa4cfb6c1ecd344a1758d20</t>
  </si>
  <si>
    <t>31ffc6d5f2262f0007eb87f161dfe475cf693d9bcade7979b7cfb36ea371a43b</t>
  </si>
  <si>
    <t>2025-11-04T18:33:56+00:00</t>
  </si>
  <si>
    <t>20:33</t>
  </si>
  <si>
    <t>Fredag</t>
  </si>
  <si>
    <t>2025-11-04T19:33:33+00:00</t>
  </si>
  <si>
    <t>10:59</t>
  </si>
  <si>
    <t>Kristine</t>
  </si>
  <si>
    <t>kristine-th@hebb.no</t>
  </si>
  <si>
    <t>18.November</t>
  </si>
  <si>
    <t>2867a06bd20199ede33de25d7af3e110812ceff7bd2266e816f72523e02e43d0</t>
  </si>
  <si>
    <t>e8231b645c8fee3ccade6d2d9bc989b065f0f174ffcee86fdc5d98bf8affb8e6</t>
  </si>
  <si>
    <t>2025-11-05T09:59:51+00:00</t>
  </si>
  <si>
    <t>21:16</t>
  </si>
  <si>
    <t>Suthakaran Kanesu</t>
  </si>
  <si>
    <t>Kanesusuthakaran@gmail.com</t>
  </si>
  <si>
    <t>63842b89898ba50e7aa858f304c7a960cbc79439046da4598254c9bec501e347</t>
  </si>
  <si>
    <t>4fe564f9d5f3bf1d753f1136d1efc3d273be57b053cb8c379158f6fdf7b42368</t>
  </si>
  <si>
    <t>2025-11-05T20:16:31+00:00</t>
  </si>
  <si>
    <t>11:14</t>
  </si>
  <si>
    <t>Khuram khalil</t>
  </si>
  <si>
    <t>khuram.kk@hotmail.com</t>
  </si>
  <si>
    <t>18.11.2025</t>
  </si>
  <si>
    <t>Ønsket å snakke med kona først, ringer opp igjen</t>
  </si>
  <si>
    <t>5648f4e34438c05ec49ac3aa496eb290c1684d67dad25954513b2df008c3fe26</t>
  </si>
  <si>
    <t>071e6cc2a6e33c63ba0ba23a8bc118094b8192c78ab432d4494a2e63eae3907e</t>
  </si>
  <si>
    <t>2025-11-06T10:14:51+00:00</t>
  </si>
  <si>
    <t>12:25</t>
  </si>
  <si>
    <t>Stella Angelo</t>
  </si>
  <si>
    <t>nakomale@hotmail.com</t>
  </si>
  <si>
    <t>28.11.2025</t>
  </si>
  <si>
    <t>218c2dd3ccf0905b21f3d9bbfe87cb28b9e2a869e3b585bc8466c87fe4f0ff3b</t>
  </si>
  <si>
    <t>99838831af21fe9217b6d60b67db4b0266cfd785fd036385be11f3bf9a245585</t>
  </si>
  <si>
    <t>2025-11-06T11:25:51+00:00</t>
  </si>
  <si>
    <t>17:39</t>
  </si>
  <si>
    <t>Terje Svevad</t>
  </si>
  <si>
    <t>terjesvevad59@gmail.com</t>
  </si>
  <si>
    <t>12/11 2024</t>
  </si>
  <si>
    <t>f0cb76830468abee57ebf10dc41f8a9470f5856a6afa229c6482f4a8dbb1586a</t>
  </si>
  <si>
    <t>911a606198d9caac07a8ed813275f3f2a2153a5bedf7b75c2ec428b236d3f945</t>
  </si>
  <si>
    <t>2025-11-06T16:39:39+00:00</t>
  </si>
  <si>
    <t>22:02</t>
  </si>
  <si>
    <t>Linda Liffner</t>
  </si>
  <si>
    <t>liffner_linda@hotmail.com</t>
  </si>
  <si>
    <t>13/11</t>
  </si>
  <si>
    <t>a0e2d6cd10092f4d5853a7185ae9d781696c169f2eae2c96b432433b25f7dd5b</t>
  </si>
  <si>
    <t>0f3373b95632626b5282c908c2a335fd2ec3913c88384377d2df1b1488cf69ca</t>
  </si>
  <si>
    <t>2025-11-07T21:02:19+00:00</t>
  </si>
  <si>
    <t>23:31</t>
  </si>
  <si>
    <t>Heiko Sepp</t>
  </si>
  <si>
    <t>seppheiko@gmail.com</t>
  </si>
  <si>
    <t>12.11.2025</t>
  </si>
  <si>
    <t>0039f2546a20d6b123900230f7bb5c0cf402c155e6cbe641cfba10881856c884</t>
  </si>
  <si>
    <t>5ef6a940849e17f248edfd2d6a19a11db36ba80e28146a8b8343ce7f259a1c2a</t>
  </si>
  <si>
    <t>2025-11-07T22:31:57+00:00</t>
  </si>
  <si>
    <t>00:07</t>
  </si>
  <si>
    <t>Emirhan Nedzhib</t>
  </si>
  <si>
    <t>emirhandemirel585@gmail.com</t>
  </si>
  <si>
    <t>Alna</t>
  </si>
  <si>
    <t>6a25c85fd75172f80b9f9fe2b49acec53a0012b3752e690c03558ccffdddbf01</t>
  </si>
  <si>
    <t>a31d8c809df1bd7032ec85d41074c76445f09888eec88bbeb7454be4f378e941</t>
  </si>
  <si>
    <t>2025-11-07T23:07:58+00:00</t>
  </si>
  <si>
    <t>00:24</t>
  </si>
  <si>
    <t>Haben tewelde</t>
  </si>
  <si>
    <t>habeko99@gmail.com</t>
  </si>
  <si>
    <t>19.11.2025</t>
  </si>
  <si>
    <t>660df20d06e3d68b2c9c7db0f60bf401d8fe2e22535bbab90b16906651a1e10c</t>
  </si>
  <si>
    <t>8cd7ee561f4c668a388ef30df42c527fa480c69fb5aadd7a0411cf535ec66467</t>
  </si>
  <si>
    <t>2025-11-07T23:24:19+00:00</t>
  </si>
  <si>
    <t>20:25</t>
  </si>
  <si>
    <t>MARTA Duda</t>
  </si>
  <si>
    <t>martaduda36@wp.pl</t>
  </si>
  <si>
    <t>09.11.2025</t>
  </si>
  <si>
    <t>86b1393b35434993d5523018c8f5ad5f08cd2bc6ae5f5610d5413157e85b5e64</t>
  </si>
  <si>
    <t>0d4bde1ee12d30755dfd447175400868c708328236a5630e46d5715d21dd021c</t>
  </si>
  <si>
    <t>2025-11-08T19:25:16+00:00</t>
  </si>
  <si>
    <t>21:59</t>
  </si>
  <si>
    <t>Sena Gutama</t>
  </si>
  <si>
    <t>senagutama@gmail.com</t>
  </si>
  <si>
    <t>12.02.2026</t>
  </si>
  <si>
    <t>3266dcb82ca5b4824336f8d78d60d245339fae87ebea43614f8454fcec453e00</t>
  </si>
  <si>
    <t>d887c93aa0bd8f5c2c608fb4de1869f4995987a989d8192c6ae9bc850fdf5b63</t>
  </si>
  <si>
    <t>2025-11-08T20:59:18+00:00</t>
  </si>
  <si>
    <t>20:40</t>
  </si>
  <si>
    <t>Hanne Yvette Panotes</t>
  </si>
  <si>
    <t>hanne_yvette@hotmail.com</t>
  </si>
  <si>
    <t>12.11.25</t>
  </si>
  <si>
    <t>30ccc60e72340aac8a2e6d3bfb2b45a3f2fca564282f0d2720330d7cf8f8279b</t>
  </si>
  <si>
    <t>22cccc509ed71afe07ee2f5ebbda80d67b94964c5ec63574bfd1c3a17dc8998f</t>
  </si>
  <si>
    <t>2025-11-09T19:40:33+00:00</t>
  </si>
  <si>
    <t>22:28</t>
  </si>
  <si>
    <t>Rosanna Castillo</t>
  </si>
  <si>
    <t>randous_23@yahoo.com</t>
  </si>
  <si>
    <t>11.11 kl.16:30</t>
  </si>
  <si>
    <t>e73d273dcd324f41da26dd6b9d98aa7415ae3223b306d8b6e7029c683ce2d388</t>
  </si>
  <si>
    <t>54050f86dcaf4ea4c93159df5e5ce401faa24a2099ca42a88c035bea1ece54b3</t>
  </si>
  <si>
    <t>2025-11-09T21:28:00+00:00</t>
  </si>
  <si>
    <t>02:18</t>
  </si>
  <si>
    <t>Vadushan Vasanthan</t>
  </si>
  <si>
    <t>vadu@hotmail.no</t>
  </si>
  <si>
    <t>4af1a853d7d2e55dc259cf23c3d14025c66de2b0fe829ac4e54ae5579c6f6fb6</t>
  </si>
  <si>
    <t>eea5e22846cf0379597d8ec83c45a7bb58e1cab1b56a8f25154fc6a1af5c206b</t>
  </si>
  <si>
    <t>2025-11-10T01:18:58+00:00</t>
  </si>
  <si>
    <t>18:52</t>
  </si>
  <si>
    <t>Katarzyna Janeczek</t>
  </si>
  <si>
    <t>katarzyna.razim@gmail.com</t>
  </si>
  <si>
    <t>Onsdag 15:00</t>
  </si>
  <si>
    <t>CP5161 img=tartar3&amp;h1=tartar1&amp;subh1=flow2</t>
  </si>
  <si>
    <t>a22701f084a0ee24c344c470c6ae4efafd0f1467ec9b2ccfe35a4407d888ce53</t>
  </si>
  <si>
    <t>637e2099e010e971b3c06daa2928333058b5e8ae80fc0e604e66ad56408da070</t>
  </si>
  <si>
    <t>2025-11-10T17:52:57+00:00</t>
  </si>
  <si>
    <t>23:29</t>
  </si>
  <si>
    <t>Paeraw Hadad</t>
  </si>
  <si>
    <t>paerawhadad@hotmail.com</t>
  </si>
  <si>
    <t>19/11 kl 17-20</t>
  </si>
  <si>
    <t>1e42b2b0ab2a5b8f698725651369936918b7da235e6e0e7849da735c9896bc3d</t>
  </si>
  <si>
    <t>a96f4740088424f99df2b81b8cb9be0cbd41c680946900830c981be805545e4e</t>
  </si>
  <si>
    <t>2025-11-10T22:29:21+00:00</t>
  </si>
  <si>
    <t>01:10</t>
  </si>
  <si>
    <t>Beate Kinstad</t>
  </si>
  <si>
    <t>b.kinstad@hotmail.com</t>
  </si>
  <si>
    <t>12/11-25</t>
  </si>
  <si>
    <t>b4726248a24ecd1430174dd76399547c8e8054f0a0c63f0e8bb6ff51cc6cc412</t>
  </si>
  <si>
    <t>1a38ef23f6f9b8fc4f038b183bde29d8ff2fe0a3c5bd9920ac7ad80de7322501</t>
  </si>
  <si>
    <t>2025-11-11T00:10:37+00:00</t>
  </si>
  <si>
    <t>10:10</t>
  </si>
  <si>
    <t>Jatinder kaur</t>
  </si>
  <si>
    <t>anmol2009@live.no</t>
  </si>
  <si>
    <t>13 November</t>
  </si>
  <si>
    <t>CV2014 h1=loca1&amp;subh1=visit2</t>
  </si>
  <si>
    <t>2faf95b293142a37b371d20537d414035ed163e830edbd2e233df804f9153f63</t>
  </si>
  <si>
    <t>7545b04d3237d87b2acdd01a2eabb5eb5d4d51f32471cf363270e495eba5e668</t>
  </si>
  <si>
    <t>2025-11-11T09:10:09+00:00</t>
  </si>
  <si>
    <t>14:55</t>
  </si>
  <si>
    <t>Umar</t>
  </si>
  <si>
    <t>umarbutt367@yahoo.com</t>
  </si>
  <si>
    <t>Mot slutten av november Fks 30.nov kl14</t>
  </si>
  <si>
    <t>2162cd31480c89210e37d72b5427a8e700d98d7317514cfbf713f5aa2c313dfe</t>
  </si>
  <si>
    <t>be1e13d00db1807be098463d562e38914203a06565bafe8229964faee813c7e9</t>
  </si>
  <si>
    <t>2025-11-11T13:55:48+00:00</t>
  </si>
  <si>
    <t>02:15</t>
  </si>
  <si>
    <t>Melat</t>
  </si>
  <si>
    <t>hermen2017@yahoo.com</t>
  </si>
  <si>
    <t>17.11.25</t>
  </si>
  <si>
    <t>3ee4b9d2cb69ca1925c210e448d0a76273a442ae82e5680a82ad6cc67ac6e7ef</t>
  </si>
  <si>
    <t>537893f5e15e7e287b965ea17fc6b5563a4d1aee0ab5fddd59e2b1b9a5a86b82</t>
  </si>
  <si>
    <t>2025-11-12T01:15:39+00:00</t>
  </si>
  <si>
    <t>07:22</t>
  </si>
  <si>
    <t>Mamy sanyang</t>
  </si>
  <si>
    <t>miss_mami88@hotmail.com</t>
  </si>
  <si>
    <t>Mamy</t>
  </si>
  <si>
    <t>Ønsker å ringe opp selv. Ole Tom: Bare ring opp etter noen dager om personen ikke ringer selv;),</t>
  </si>
  <si>
    <t>d909dacb02f9f87be88c8370c0869b11217cf2dbfbb647cbd4d99a0703ea9d9d</t>
  </si>
  <si>
    <t>31d9fb34b1b6dd79fea744218ad2613a0916b6b1c4deaf0b58f46acb5bc9d2af</t>
  </si>
  <si>
    <t>2025-11-12T06:22:51+00:00</t>
  </si>
  <si>
    <t>11:56</t>
  </si>
  <si>
    <t>Johany moreno</t>
  </si>
  <si>
    <t>monteplata243@hotmail.com</t>
  </si>
  <si>
    <t>2.12.25. Kl. 13.00</t>
  </si>
  <si>
    <t>676b1b07456abb3aae17d72d0303976bf4683b3f8fb34913d9617a65f630c244</t>
  </si>
  <si>
    <t>a52be18b91403e50031fa41e650c58a953bff71b4745ef962247136eaa0c275d</t>
  </si>
  <si>
    <t>2025-11-12T10:56:17+00:00</t>
  </si>
  <si>
    <t>16:58</t>
  </si>
  <si>
    <t>Tomas Edvardsen</t>
  </si>
  <si>
    <t>edvardsentomas@gmail.com</t>
  </si>
  <si>
    <t>17/11.25 etter kl 11:00</t>
  </si>
  <si>
    <t>b38617f6ffd96fda3e30ce069f4cd52e3c8fcc88076816f7a5a694960fbb545f</t>
  </si>
  <si>
    <t>b9ee20fa84831fb5252817d21e3bcc925bb67abcd7acb5da0f8572fafa810e33</t>
  </si>
  <si>
    <t>2025-11-12T15:58:46+00:00</t>
  </si>
  <si>
    <t>07:18</t>
  </si>
  <si>
    <t>Saia Ismail</t>
  </si>
  <si>
    <t>saiaismail0111@gmail.com</t>
  </si>
  <si>
    <t>3141eae8ca588d1940c0a8fcb071c1b48c4a6bda5820a498034f219b3898db17</t>
  </si>
  <si>
    <t>6ab2895fc2a47107da032fe01802832c2cd257bb5cae20564dbcbc2b09860aef</t>
  </si>
  <si>
    <t>2025-11-13T06:18:12+00:00</t>
  </si>
  <si>
    <t>09:56</t>
  </si>
  <si>
    <t>Winnie Namulwana</t>
  </si>
  <si>
    <t>isha_marong@hotmail.com</t>
  </si>
  <si>
    <t>Lørdag kl 15</t>
  </si>
  <si>
    <t>90d64a71741512eff6341243d1b5858585c527bb482a9b76952fab3a72f4b216</t>
  </si>
  <si>
    <t>a1cd5baf76e5397b38b5d071af6a6de840702c97ba54e30b4715143f5b22561a</t>
  </si>
  <si>
    <t>2025-11-13T08:56:23+00:00</t>
  </si>
  <si>
    <t>21:03</t>
  </si>
  <si>
    <t>Mary Joy Øverby</t>
  </si>
  <si>
    <t>maryjoymalones@rocketmail.com</t>
  </si>
  <si>
    <t>Søndag 11:00</t>
  </si>
  <si>
    <t>CV9802 img=tartar3&amp;h1=flow4&amp;subh1=flow2</t>
  </si>
  <si>
    <t>ed190d9b4f13487f2cad89071367d7c4813a435bdb6a5348f13ff319c0266180</t>
  </si>
  <si>
    <t>5eb76abc7b8416e969cc1dc419dd6058e1ee0d0fad5d77cf9f036c6294776437</t>
  </si>
  <si>
    <t>2025-11-14T20:03:48+00:00</t>
  </si>
  <si>
    <t>02:09</t>
  </si>
  <si>
    <t>Linda Tinglev</t>
  </si>
  <si>
    <t>linda@tinglev.no</t>
  </si>
  <si>
    <t>28/11 kl 13.00</t>
  </si>
  <si>
    <t>CV2011 h1=loca1&amp;subh1=visit2</t>
  </si>
  <si>
    <t>6b373d9daaa79dedb5b3714270620fc69ea457c65eb191a76b221b7552b3d254</t>
  </si>
  <si>
    <t>a2b64317fbcbb2fd58975ef86d96db2900582b6ccdcc7d74bbbf89d231bd4614</t>
  </si>
  <si>
    <t>2025-11-15T01:09:40+00:00</t>
  </si>
  <si>
    <t>05:00</t>
  </si>
  <si>
    <t>Tesfaalem Ghirmay</t>
  </si>
  <si>
    <t>ghirmay80@hotmail.com</t>
  </si>
  <si>
    <t>7ac2b54fc26e3a0c4bf4ada567e41ede8710f70d8437b7478600db2b2a305eac</t>
  </si>
  <si>
    <t>dcf0594713e648b6e4d4b0ece7c5bbd9faba2aa69dae79ddab56f69ad7362154</t>
  </si>
  <si>
    <t>2025-11-15T04:00:45+00:00</t>
  </si>
  <si>
    <t>07:19</t>
  </si>
  <si>
    <t>Jørgen Hagebakken</t>
  </si>
  <si>
    <t>mr.hagebakken@gmail.com</t>
  </si>
  <si>
    <t>Kl.8 en dag</t>
  </si>
  <si>
    <t>Sendt sms/mail</t>
  </si>
  <si>
    <t>aa0f33e510a568e905fad3898b9ae2873de6576f6f262c9470397b0ea239307c</t>
  </si>
  <si>
    <t>c20323c156bda1285c89f966dbe4eb406d70de2d2988f9ffbc7c2b36c6456948</t>
  </si>
  <si>
    <t>2025-11-15T06:19:49+00:00</t>
  </si>
  <si>
    <t>07:45</t>
  </si>
  <si>
    <t>Agnieszka Miklas</t>
  </si>
  <si>
    <t>amiklas@interia.pl</t>
  </si>
  <si>
    <t>a4e73ef0f4a6cffd16839a413449e3754f869f0d85a17204c1f1473d0bb4fe06</t>
  </si>
  <si>
    <t>aa253aec5ca4025d1f41a74cabd76f285a1d9a30fd48a81456fd6b84ad45a36d</t>
  </si>
  <si>
    <t>2025-11-15T06:45:20+00:00</t>
  </si>
  <si>
    <t>12:47</t>
  </si>
  <si>
    <t>Atif Nazir Gondal</t>
  </si>
  <si>
    <t>aatifnazirgondal@gmail.com</t>
  </si>
  <si>
    <t>20 November 2025</t>
  </si>
  <si>
    <t>CV2016 h1=loca1&amp;subh1=visit2</t>
  </si>
  <si>
    <t>44a87bdb52708d23cf869c1b0fbea2b5c72c79d7d1ad1a28b07220bcb8c7997f</t>
  </si>
  <si>
    <t>105523769495f517bf51c627f1558d2453751f6a785d72dd29a8310e04071f22</t>
  </si>
  <si>
    <t>2025-11-16T11:47:10+00:00</t>
  </si>
  <si>
    <t>13:07</t>
  </si>
  <si>
    <t>Siv Marie Hjertmoen</t>
  </si>
  <si>
    <t>sivenersen@gmail.com</t>
  </si>
  <si>
    <t>NO</t>
  </si>
  <si>
    <t>27 november</t>
  </si>
  <si>
    <t>Har ikke nr, sendt mail med forslag til time</t>
  </si>
  <si>
    <t>23794d91c53ae875c8e247d72561e35d9d06ee07c70c9e0dbcc977a6d161504a</t>
  </si>
  <si>
    <t>b463521e374a668da4c16a33db200fee000fa6df0d212092fb9e2baf60746f16</t>
  </si>
  <si>
    <t>2025-11-16T12:07:22+00:00</t>
  </si>
  <si>
    <t>18:18</t>
  </si>
  <si>
    <t>Fhilvic Smeby</t>
  </si>
  <si>
    <t>fhilvic_smeby@outlook.com</t>
  </si>
  <si>
    <t>22.11.25</t>
  </si>
  <si>
    <t>Ringer tilbake med når det passer</t>
  </si>
  <si>
    <t>010af9483a23625b04d2560c16864873daca517cfa80e6391e7519dd453e54e7</t>
  </si>
  <si>
    <t>0c2bca77e3284f97be2b83eb5e8ad30fb46e9af8d5eabdaacb3c45ea3ab6127c</t>
  </si>
  <si>
    <t>2025-11-16T17:18:51+00:00</t>
  </si>
  <si>
    <t>18:22</t>
  </si>
  <si>
    <t>Snayt Berhe</t>
  </si>
  <si>
    <t>snithabteab56@gmail.com</t>
  </si>
  <si>
    <t>17.11.2025</t>
  </si>
  <si>
    <t>80353d60f6ec2f07e01f5e129316054bc41d0599f5564db7b512da99d4347080</t>
  </si>
  <si>
    <t>a2bc4fc8d66004fb3f9cee35a8aac95b5ed0ad3b60c227df31a4bdf2d7171e75</t>
  </si>
  <si>
    <t>2025-11-16T17:22:27+00:00</t>
  </si>
  <si>
    <t>05:27</t>
  </si>
  <si>
    <t>Sadiyo Osman</t>
  </si>
  <si>
    <t>sacdiyo128@hotmail.com</t>
  </si>
  <si>
    <t>Søndag 23/11</t>
  </si>
  <si>
    <t>0c62604dcc4b278544a6c79b57a3ad8acb5eae11df9c881fbdebecd61d7e864b</t>
  </si>
  <si>
    <t>de454b0e948fee606519aeabc803d5c532739a135aed0187e4c67cedfbd322e5</t>
  </si>
  <si>
    <t>2025-11-17T04:27:43+00:00</t>
  </si>
  <si>
    <t>18:13</t>
  </si>
  <si>
    <t>Vegard Kjørsvik Kristiansen</t>
  </si>
  <si>
    <t>vesta009@osloskolen.no</t>
  </si>
  <si>
    <t>21.11, 26.11 (før kl 10), 24.11 (10.15-12) eller 25.11 (10.15-12)</t>
  </si>
  <si>
    <t>e9a482d610784769d635893eeda01db61d121214c3f9cb47b023f31ff68891d8</t>
  </si>
  <si>
    <t>d6e0f0bb4628802f79c049856aa0fd907df61107edb1f8b0b52201a3d9ae84ee</t>
  </si>
  <si>
    <t>2025-11-17T17:13:40+00:00</t>
  </si>
  <si>
    <t>06:11</t>
  </si>
  <si>
    <t>Zacaria Maazouzi</t>
  </si>
  <si>
    <t>maazouzi_zacaria1@hotmail.com</t>
  </si>
  <si>
    <t>Helst i dag eller i morgen</t>
  </si>
  <si>
    <t>8e0692a9e63ce5c27fcd1c6d611911766a9f2d3e3aa656f500941988156fcf9e</t>
  </si>
  <si>
    <t>c2063333a915cd180f8b665f0a8f28ee9b0b98f0d171140523b4a37c15c1ceb2</t>
  </si>
  <si>
    <t>2025-11-18T05:11:42+00:00</t>
  </si>
  <si>
    <t>07:49</t>
  </si>
  <si>
    <t>Abdurahman Hassan</t>
  </si>
  <si>
    <t>abduhassan0599@gmail.com</t>
  </si>
  <si>
    <t>24.11.25</t>
  </si>
  <si>
    <t>CV2010 h1=loca1&amp;subh1=visit2</t>
  </si>
  <si>
    <t>1cd3b3ab4c6a6014af061ff84bf9f59fdbf44735178a3eedd55ec9c88668f38c</t>
  </si>
  <si>
    <t>a85d1057099cf5622c2fa095956df9cf8f14404b5b9ce88b4bff1fcdd3b12e65</t>
  </si>
  <si>
    <t>2025-11-18T06:49:31+00:00</t>
  </si>
  <si>
    <t>03:48</t>
  </si>
  <si>
    <t>Hafsa Aden</t>
  </si>
  <si>
    <t>hafsa97@live.no</t>
  </si>
  <si>
    <t>12/1</t>
  </si>
  <si>
    <t>Ringte pasienten for å sette opp time, trodde at det kostet 400kr for høsttilbud og skulle ringe tilbake selv.</t>
  </si>
  <si>
    <t>caf8967b51dd3d16415abfb47ff2bccfc72b723552c3ab9882d995bfd92c458c</t>
  </si>
  <si>
    <t>45c1763e9fe1416e41d9b4298bce667633c28bb62b53f69ad98d76e5360983f6</t>
  </si>
  <si>
    <t>2025-11-19T02:48:31+00:00</t>
  </si>
  <si>
    <t>17:12</t>
  </si>
  <si>
    <t>Sugirtha jeiharan</t>
  </si>
  <si>
    <t>sugirtha99@hotmail.com</t>
  </si>
  <si>
    <t>21.09.2025 eller27.09</t>
  </si>
  <si>
    <t>e9d345d9bd80998c0ba2e66829b09cb24476f9a0fc0625778c85b8fe51c54046</t>
  </si>
  <si>
    <t>e449a5dc97db44a9b060f59465d63c645b0f99bf7386b439c2dbd5b2ccdee0ef</t>
  </si>
  <si>
    <t>2025-11-19T16:12:19+00:00</t>
  </si>
  <si>
    <t>19:47</t>
  </si>
  <si>
    <t>Ratheepan Krishnasamymudali</t>
  </si>
  <si>
    <t>ratheepan3004@gmail.com</t>
  </si>
  <si>
    <t>03/12</t>
  </si>
  <si>
    <t>46e29b29bfd9859fe32d961c4e9b56908aed7683f0850b26807752e2c68989d2</t>
  </si>
  <si>
    <t>f621b547da6d345d8687319766366753a7f292540b9b1f5ef48f482f228df40f</t>
  </si>
  <si>
    <t>2025-11-19T18:47:37+00:00</t>
  </si>
  <si>
    <t>06:12</t>
  </si>
  <si>
    <t>Isabell Nguyen</t>
  </si>
  <si>
    <t>isabellng1910@gmail.com</t>
  </si>
  <si>
    <t>Alle dager etter kl.15</t>
  </si>
  <si>
    <t>7434b8aa9d2214294a4209e6a818671ff0400365d84b646c22d3a8add0222d80</t>
  </si>
  <si>
    <t>0a4a7b4e30e47c0e30960ff2c96f1400cff3f361fc4fc680302733caac39ef36</t>
  </si>
  <si>
    <t>2025-11-20T05:12:52+00:00</t>
  </si>
  <si>
    <t>Facebook_Instream_Video</t>
  </si>
  <si>
    <t>08:58</t>
  </si>
  <si>
    <t>Shawline Ema</t>
  </si>
  <si>
    <t>shawline44ema@gmail.com</t>
  </si>
  <si>
    <t>26/11/2025, 11 am</t>
  </si>
  <si>
    <t>0b4677b520ab062adc1f56dc3b5d87bfbe694708a82cc4040710a46fb4c89560</t>
  </si>
  <si>
    <t>69bbd76635bf6d5e5668759f29939862833b368cfd5dd1f593fb2c60cac2b3bf</t>
  </si>
  <si>
    <t>2025-11-20T07:58:25+00:00</t>
  </si>
  <si>
    <t>09:08</t>
  </si>
  <si>
    <t>Kethliya</t>
  </si>
  <si>
    <t>kethliya98@hotmail.com</t>
  </si>
  <si>
    <t>99f482521c9314ab7880b3847d40d094dafdf9506378d611c2ed1fae52fe1357</t>
  </si>
  <si>
    <t>4b4641a10ed2e35109808f881dddd4d17d762ac76d111d2617f7596f3ae0b344</t>
  </si>
  <si>
    <t>2025-11-20T08:08:47+00:00</t>
  </si>
  <si>
    <t>10:43</t>
  </si>
  <si>
    <t>Mari Amani</t>
  </si>
  <si>
    <t>mmgl18@yahoo.com</t>
  </si>
  <si>
    <t>19.12.2025</t>
  </si>
  <si>
    <t>589a93e207cd03c4625823d506621b27e2bbc79cbe9c46210bbf89ec2b24e893</t>
  </si>
  <si>
    <t>ebfbeb6ebcebd1d9e121ad56944ff7fa324daa3b45956febe9c76152b14a5160</t>
  </si>
  <si>
    <t>2025-11-20T09:43:23+00:00</t>
  </si>
  <si>
    <t>02:52</t>
  </si>
  <si>
    <t>Ruqiyo Jama</t>
  </si>
  <si>
    <t>aaliyah4004@hotmail.com</t>
  </si>
  <si>
    <t>26/11</t>
  </si>
  <si>
    <t>d517aef85a067cbced11e241bc313d4645989b8bd529a9ce151663fec867bb72</t>
  </si>
  <si>
    <t>4b95c428c5678c8e8570e3343e56baba8fe761a8e8e726283c24d6a3bfe76914</t>
  </si>
  <si>
    <t>2025-11-21T01:52:14+00:00</t>
  </si>
  <si>
    <t>Nevedda Sivakumar</t>
  </si>
  <si>
    <t>nevedda96@gmail.com</t>
  </si>
  <si>
    <t>28.11.25</t>
  </si>
  <si>
    <t>8a28c5ccf8ae0514b1d15424432f0a18b4e19dbc700806e08c5fff470a02780d</t>
  </si>
  <si>
    <t>64da82772c7fed1ec5ad29764f0ad3f6d2a9a6a01b156b4875045a44f16820b6</t>
  </si>
  <si>
    <t>2025-11-21T07:34:05+00:00</t>
  </si>
  <si>
    <t>Fadime ciftcioglu</t>
  </si>
  <si>
    <t>fadimepolat69@icloud.com</t>
  </si>
  <si>
    <t>25.11.25</t>
  </si>
  <si>
    <t>CV9801 img=tartar3&amp;h1=flow4&amp;subh1=flow2</t>
  </si>
  <si>
    <t>11041a6d62c2ff6cbca6be084c723ae54df99b63a2c1205b398f27d93c7884ce</t>
  </si>
  <si>
    <t>a55a708064b7b1eb1edf1fb291aedd3bca41fcc6df2c230031f4b3f414e32ca5</t>
  </si>
  <si>
    <t>2025-11-21T07:52:57+00:00</t>
  </si>
  <si>
    <t>13:23</t>
  </si>
  <si>
    <t>Emma Stolt</t>
  </si>
  <si>
    <t>stolt.emma@hotmail.com</t>
  </si>
  <si>
    <t>24-28 november</t>
  </si>
  <si>
    <t>b4b89698b37d8a0f2004260900c5f15f3d70c9ac2839ad8d0ac84505cc58d8be</t>
  </si>
  <si>
    <t>900f6a403e06c251a05be1b759e9f95e6868ab6e5f334d0ac46caeb50b5c8939</t>
  </si>
  <si>
    <t>2025-11-21T12:23:53+00:00</t>
  </si>
  <si>
    <t>16:53</t>
  </si>
  <si>
    <t>Mona Øderud</t>
  </si>
  <si>
    <t>monaoderud1@gmail.com</t>
  </si>
  <si>
    <t>6892c4e8d68ac8b58a5f2c49de72f768244324846e31e96c7ce94230340f0b17</t>
  </si>
  <si>
    <t>2672bac6d203b9243761abcc19e80a2866734e7f7c7938cc630a09d6aff05ce1</t>
  </si>
  <si>
    <t>2025-11-21T15:53:07+00:00</t>
  </si>
  <si>
    <t>20:07</t>
  </si>
  <si>
    <t>Tom Johansen</t>
  </si>
  <si>
    <t>johansen.tom@outlook.com</t>
  </si>
  <si>
    <t>25.11</t>
  </si>
  <si>
    <t>Ingen svar</t>
  </si>
  <si>
    <t>c4b77df6bbccc176f1a7543cba0c40e5595c731e4fdb25df88a8381fef3217cd</t>
  </si>
  <si>
    <t>e66f67de148c6b528f0a4e72da6c9aa29a7c975230619504dc5394a4c1d0df04</t>
  </si>
  <si>
    <t>2025-11-23T19:07:15+00:00</t>
  </si>
  <si>
    <t>Gulfam</t>
  </si>
  <si>
    <t>norway0786@hotmail.com</t>
  </si>
  <si>
    <t>Onsdagen etter 16.00</t>
  </si>
  <si>
    <t>CV9130 img=tartar3&amp;h1=tartar1&amp;subh1=flow2</t>
  </si>
  <si>
    <t>15fd7d0b07f0d2a960264ec215ba0a0acac66f3c6bbdb5e38b0397c39f4ba195</t>
  </si>
  <si>
    <t>508300ec2d59c30fe1fb291b7992263aea4a61a4e9ec386d75c73e063033f6ea</t>
  </si>
  <si>
    <t>2025-11-23T20:16:04+00:00</t>
  </si>
  <si>
    <t>22:38</t>
  </si>
  <si>
    <t>André Fayen</t>
  </si>
  <si>
    <t>andrefayen@gmsil.com</t>
  </si>
  <si>
    <t>12.12.25</t>
  </si>
  <si>
    <t>6c95c61df97fae0de830f4a18c68f189717d957d7a6304cf9a2319f92fd7dbfd</t>
  </si>
  <si>
    <t>8713c546bcb0a7deb67aa6b1ddb11e5d6bce745bbc1a25b89c56c2d14bab7d5d</t>
  </si>
  <si>
    <t>2025-11-23T21:38:03+00:00</t>
  </si>
  <si>
    <t>06:53</t>
  </si>
  <si>
    <t>Anne Marie Østhus</t>
  </si>
  <si>
    <t>post@ressurssenteret.no</t>
  </si>
  <si>
    <t>02.03.26</t>
  </si>
  <si>
    <t>c424c02aa6315f94d8ad861a84e8930eda719349cb9834afd5a362e3cfd8152c</t>
  </si>
  <si>
    <t>308b592b7c780e9411d46ff86557a7756f8e6525253b484a5947e8ce08c1e2f1</t>
  </si>
  <si>
    <t>2025-11-24T05:53:47+00:00</t>
  </si>
  <si>
    <t>07:32</t>
  </si>
  <si>
    <t>Addis Gossaye Waktoli</t>
  </si>
  <si>
    <t>addi_go@yahoo.com</t>
  </si>
  <si>
    <t>fredag (1 Dec 2025) kl. 11</t>
  </si>
  <si>
    <t>87055012399959b80c5deebd4f33e2718846d62c04562619c825f6b41cdccc45</t>
  </si>
  <si>
    <t>9c4fe1f1eb698e2a5cb56121827f92fbecb9a40e6aa0a8703c4963eb4d5f1f5a</t>
  </si>
  <si>
    <t>2025-11-24T06:32:09+00:00</t>
  </si>
  <si>
    <t>07:37</t>
  </si>
  <si>
    <t>Suzan Adanom Kerose</t>
  </si>
  <si>
    <t>kerosesuzan@gmail.com</t>
  </si>
  <si>
    <t>mandag (1 dec 2025). kl 11:30</t>
  </si>
  <si>
    <t>a2fdce5fd7a67f91fc0451a9dbb6a619951e92115b663e2be57722aeb046b661</t>
  </si>
  <si>
    <t>e070eab943a95ace21df4d0a063f4da537bdcf9bd2a95140edb5edcc83f526d6</t>
  </si>
  <si>
    <t>2025-11-24T06:37:35+00:00</t>
  </si>
  <si>
    <t>10:47</t>
  </si>
  <si>
    <t>Mohammed Arif</t>
  </si>
  <si>
    <t>noman99@hotmail.com</t>
  </si>
  <si>
    <t>26.11 27.11 mellom 08.00-13.00</t>
  </si>
  <si>
    <t>43e10e652f3978445a9d1522640cd5b34fdb29ffa4aca3ce6a6986caf95d5d15</t>
  </si>
  <si>
    <t>6fd6b69f358d2feb2a8d458ae133117a5c12166eb1d86ea0dc401e8e7da98dcd</t>
  </si>
  <si>
    <t>2025-11-25T09:47:30+00:00</t>
  </si>
  <si>
    <t>21:00</t>
  </si>
  <si>
    <t>Reha Yilmaz</t>
  </si>
  <si>
    <t>reha10@hotmail.com</t>
  </si>
  <si>
    <t>28.11 kl.13.00</t>
  </si>
  <si>
    <t>5bdc2ccf82d1cba6c023f5ac615005da1e68aa13ecebea17f31cd8bf00ab3ef9</t>
  </si>
  <si>
    <t>89a530baf0a0f55aedd50e73daa67e2ff2ba3ba99a3b453918360d7ed54afe46</t>
  </si>
  <si>
    <t>2025-11-25T20:00:55+00:00</t>
  </si>
  <si>
    <t>22:52</t>
  </si>
  <si>
    <t>Rajshekhar Bhattacharya</t>
  </si>
  <si>
    <t>r277735@gmail.com</t>
  </si>
  <si>
    <t>27th nov</t>
  </si>
  <si>
    <t>56e827e673a37ca5c03871b9b1d04b1123b9d0d41dd31ca05a59aa2e0a5d0691</t>
  </si>
  <si>
    <t>5259d1c90ab1989090f8e58a3b289b6af1ae6eb1db9bdd24b9c549894bc559d9</t>
  </si>
  <si>
    <t>2025-11-26T21:52:35+00:00</t>
  </si>
  <si>
    <t>06:34</t>
  </si>
  <si>
    <t>MULBAH KPAIWOLO</t>
  </si>
  <si>
    <t>milkpaiwolo@icloud.com</t>
  </si>
  <si>
    <t>29/11/25</t>
  </si>
  <si>
    <t>56ecef1a54dcc8cd320d1326f554da404494e3d5266eb84c50eaab734dea3c75</t>
  </si>
  <si>
    <t>580ec5c93e6cde57917f3cdc12e755f256b6b9a242814656edbf593d6dd3c463</t>
  </si>
  <si>
    <t>2025-11-27T05:34:24+00:00</t>
  </si>
  <si>
    <t>08:15</t>
  </si>
  <si>
    <t>shayesteh khosravani</t>
  </si>
  <si>
    <t>shayan.2009@hotmail.com</t>
  </si>
  <si>
    <t>Søndag kl 14</t>
  </si>
  <si>
    <t>Sendt mail, nr ikke i bruk</t>
  </si>
  <si>
    <t>dd9a180ec55a175feff2bcee9defd8a2e550fc3542303ebc5a3381cae855245a</t>
  </si>
  <si>
    <t>e1191ddc54f79fc946cd2a78d6655e4e32a460834591b1b2afd3b748c307541a</t>
  </si>
  <si>
    <t>2025-11-27T07:15:31+00:00</t>
  </si>
  <si>
    <t>12:53</t>
  </si>
  <si>
    <t>Kuganeswsry</t>
  </si>
  <si>
    <t>majukuga@yahoo.com</t>
  </si>
  <si>
    <t>Lørdag  12:00</t>
  </si>
  <si>
    <t>CV9802 img=flow3&amp;subh1=flow2</t>
  </si>
  <si>
    <t>29b9fd2727ef5ee9672bbafd12fb3637a835adfffc907af598c8d05774c3003b</t>
  </si>
  <si>
    <t>fc660f6571146dca434411afcf1c189c0054d43e6f3cb33af0f8c4ae47fc3fbf</t>
  </si>
  <si>
    <t>2025-12-02T11:53:58+00:00</t>
  </si>
  <si>
    <t>17:24</t>
  </si>
  <si>
    <t>Ogbazghi Ghebremeskel Tesfamariam</t>
  </si>
  <si>
    <t>og_tesfitey@yahoo.com</t>
  </si>
  <si>
    <t>Torsdag kl. 17:30</t>
  </si>
  <si>
    <t>Ønsker ikke tannbleking, vet ikke hva det er. Feil bestilt</t>
  </si>
  <si>
    <t>d7a8da297ba7dd4462f7528cca2a23d4406eb3e702a6fa072168148114027d2c</t>
  </si>
  <si>
    <t>1cbc2d6a4949c5e9d7abe1e7fd2947e2d45cced8ce5ee5bffbcbcbc4e6582e76</t>
  </si>
  <si>
    <t>2025-12-02T16:24:14+00:00</t>
  </si>
  <si>
    <t>03:10</t>
  </si>
  <si>
    <t>Abdelali Baraze</t>
  </si>
  <si>
    <t>ali.baraze@gmail.com</t>
  </si>
  <si>
    <t>09/12/2025</t>
  </si>
  <si>
    <t>8716301def1f8d9e89b910bf326e7f2630215f9daf066ccf627133c42f2eb5c7</t>
  </si>
  <si>
    <t>a7756e5d64e848a1d5454de6aaea7c5ffb3645dad37147e72fcf68d391e3f40b</t>
  </si>
  <si>
    <t>2025-12-03T02:10:37+00:00</t>
  </si>
  <si>
    <t>Instagram_Feed</t>
  </si>
  <si>
    <t>09:30</t>
  </si>
  <si>
    <t>Ivon Sarawanan</t>
  </si>
  <si>
    <t>ivonsara@gmail.com</t>
  </si>
  <si>
    <t>04.12.2025</t>
  </si>
  <si>
    <t>CV9801 img=flow3&amp;subh1=flow2</t>
  </si>
  <si>
    <t>1278788a759bb3053ee69e335d17178110bd0b7dc92a8dc73522f77221b2d6e4</t>
  </si>
  <si>
    <t>dce2efc1ebec3759b65b7e703ed684bcb42ff15506051458cb1567b40e46ffa1</t>
  </si>
  <si>
    <t>2025-12-03T08:30:34+00:00</t>
  </si>
  <si>
    <t>15:27</t>
  </si>
  <si>
    <t>Jorun Mai Nyfløt</t>
  </si>
  <si>
    <t>jorun1805@gmail.com</t>
  </si>
  <si>
    <t>22.desember , hele dagen</t>
  </si>
  <si>
    <t>6ae227218233f655b48aa28c6e8b88a909cf0e74e7403b93229fa16a4b114b4e</t>
  </si>
  <si>
    <t>d8325a241fea2918e0b61b3b0848567b8ad3dc68180a53235e54e5a31196ff89</t>
  </si>
  <si>
    <t>2025-12-04T14:27:28+00:00</t>
  </si>
  <si>
    <t>16:48</t>
  </si>
  <si>
    <t>Gerilla Albadr</t>
  </si>
  <si>
    <t>gerilla.albadr@gmail.com</t>
  </si>
  <si>
    <t>9.12.25 kl 9:30</t>
  </si>
  <si>
    <t>CV2015 h1=loca1&amp;subh1=visit2</t>
  </si>
  <si>
    <t>e3a2a9772373dba95657b3bf537548cc3bb24f258b338adb11a27d81e780a0f9</t>
  </si>
  <si>
    <t>cd37fff6faa7be81b9e1df225aa74a1dffedd1cee8c1be90e06ef3cefb039655</t>
  </si>
  <si>
    <t>2025-12-04T15:49:03+00:00</t>
  </si>
  <si>
    <t>23:01</t>
  </si>
  <si>
    <t>Yosef Al-salihi</t>
  </si>
  <si>
    <t>yosef.tsalihi@gmail.com</t>
  </si>
  <si>
    <t>09.12.25</t>
  </si>
  <si>
    <t>Skal ringe opp igjen slev, ring tilbake hvis han ikke har ringt innen 15.12</t>
  </si>
  <si>
    <t>fa41c531be35d014b7f11bfb33c223b1166c6978a01d97d0a656e66eab7f530c</t>
  </si>
  <si>
    <t>8ee608e5eb908a123252c7acde1cb0ec413489a74e2f9c3bf41ddb6e76f0112f</t>
  </si>
  <si>
    <t>2025-12-04T22:01:54+00:00</t>
  </si>
  <si>
    <t>15:36</t>
  </si>
  <si>
    <t>10.12</t>
  </si>
  <si>
    <t>Ringer tilbake</t>
  </si>
  <si>
    <t>2025-12-05T14:36:06+00:00</t>
  </si>
  <si>
    <t>20:39</t>
  </si>
  <si>
    <t>Mahmoud Harmouch</t>
  </si>
  <si>
    <t>mahmoudharmouch1999@gmail.com</t>
  </si>
  <si>
    <t>Tirsdag kl 14:00</t>
  </si>
  <si>
    <t>b41c54a8412fa32c9921d9d3883b4b3147acdc8bd3e38188d374e11ff76b1622</t>
  </si>
  <si>
    <t>b90abf21f6b0f3839fb380301c428884d13d9947ff01f637ad4531e4bf9c26af</t>
  </si>
  <si>
    <t>2025-12-05T19:39:55+00:00</t>
  </si>
  <si>
    <t>20:50</t>
  </si>
  <si>
    <t>Yagyan Adhikari</t>
  </si>
  <si>
    <t>yagyanadhikari@gmail.com</t>
  </si>
  <si>
    <t>11/11/2025</t>
  </si>
  <si>
    <t>cd68856d520a100487e4b03b6854b388b7c7f0bd7a2844555e59bdef7a48d013</t>
  </si>
  <si>
    <t>36c9c507464a512506e6d354af21c65fa870d1c2f1ab661b7e8a105ce35d2a16</t>
  </si>
  <si>
    <t>2025-12-05T19:50:03+00:00</t>
  </si>
  <si>
    <t>01:43</t>
  </si>
  <si>
    <t>Amjed</t>
  </si>
  <si>
    <t>amjed.nihad@gmail.com</t>
  </si>
  <si>
    <t>10</t>
  </si>
  <si>
    <t>13acf07de688dba2b235a1df580d8813e575f7a68b730eeeeb42b4a98f2a7f1f</t>
  </si>
  <si>
    <t>dd0c616c3826748925c996244132151270a0373017576283629637adc2824ee8</t>
  </si>
  <si>
    <t>2025-12-06T00:43:48+00:00</t>
  </si>
  <si>
    <t>Ane Elisabeth Mikkelsen</t>
  </si>
  <si>
    <t>aneemik91@gmail.com</t>
  </si>
  <si>
    <t>11.-12. desember, dagtid</t>
  </si>
  <si>
    <t>1fee187495039cec517f92c4a38653f267efc854f491215405f26c5d2b9e0e7f</t>
  </si>
  <si>
    <t>36cb9779e91e2a2ccb6ee01164bdbe623b09fd974252c919f23f3548d17e8e39</t>
  </si>
  <si>
    <t>2025-12-06T11:53:17+00:00</t>
  </si>
  <si>
    <t>23:33</t>
  </si>
  <si>
    <t>Said ROstamiwand</t>
  </si>
  <si>
    <t>said_wand@hotmail.com</t>
  </si>
  <si>
    <t>10.12.25</t>
  </si>
  <si>
    <t>f437ccc1538d09d890360ab78529c4cdacee5433ce9a8816f5a2538efc87f33a</t>
  </si>
  <si>
    <t>ce75ff7d6f6f64262b3ac02e3fbf552f3a1e29aefd2319a699c849d52bada0da</t>
  </si>
  <si>
    <t>2025-12-06T22:33:20+00:00</t>
  </si>
  <si>
    <t>00:32</t>
  </si>
  <si>
    <t>Arthur V. Adalid</t>
  </si>
  <si>
    <t>arthlid@yahoo.com</t>
  </si>
  <si>
    <t>Tirsdag 09.12. 2025 kl.9:30</t>
  </si>
  <si>
    <t>8b4907f17a8ab7448782b9d8e6f1bcc9e154540c9449555b981ffd385e18c84b</t>
  </si>
  <si>
    <t>26032ca17caf954a6333ba1f9afab7c5e9843d81fea1aac45d43e0f1680193aa</t>
  </si>
  <si>
    <t>2025-12-06T23:32:56+00:00</t>
  </si>
  <si>
    <t>00:53</t>
  </si>
  <si>
    <t>Mohit singh rawat</t>
  </si>
  <si>
    <t>mohitsinghrawat2002@gmail.com</t>
  </si>
  <si>
    <t>20.12.2025</t>
  </si>
  <si>
    <t>d84344ab90059dde86b63085a96dc06664382a084c99ffec05217775ce0e7b01</t>
  </si>
  <si>
    <t>59eb893cd6051773d9e4d23a76caa562dca6a705cd84474b36fcdb3eda871174</t>
  </si>
  <si>
    <t>2025-12-06T23:53:16+00:00</t>
  </si>
  <si>
    <t>07:06</t>
  </si>
  <si>
    <t>Daniel Lucas Kavli-Antonsen</t>
  </si>
  <si>
    <t>daniel.antonsen@outlook.com</t>
  </si>
  <si>
    <t>22.12.25</t>
  </si>
  <si>
    <t>19a19f347420a141c46b7e81dbd6aba26f27cb1ecc2a254b210aa255de8bd452</t>
  </si>
  <si>
    <t>7479dd08160663769d49181846ec5e5db7f473556d15902787eb2e3c570f6115</t>
  </si>
  <si>
    <t>2025-12-07T06:06:38+00:00</t>
  </si>
  <si>
    <t>Allt etter kl 17.00 + tannblekingskinne og tannbleking</t>
  </si>
  <si>
    <t>2025-12-08T10:06:00+00:00</t>
  </si>
  <si>
    <t>14:13</t>
  </si>
  <si>
    <t>Ky Phantrong</t>
  </si>
  <si>
    <t>phantrongky087@gmail.com</t>
  </si>
  <si>
    <t>imorgen</t>
  </si>
  <si>
    <t>7d977450e6ca209b9d53c1b3633c5aea3431f6b8203ade27b826d403fd122913</t>
  </si>
  <si>
    <t>5164a8c76c002d986dfc6571f759a72cf36190dbca588e6730f74ac81a56dbbc</t>
  </si>
  <si>
    <t>2025-12-08T13:13:50+00:00</t>
  </si>
  <si>
    <t>16:23</t>
  </si>
  <si>
    <t>Helene Arnesen</t>
  </si>
  <si>
    <t>helenek72@gmail.com</t>
  </si>
  <si>
    <t>10.12.2025</t>
  </si>
  <si>
    <t>793c1220e9a183ece48751d4c30627ce335eaebd814855d6a792669003d3631b</t>
  </si>
  <si>
    <t>a34370fd0d56535113c1fc07d80893f2e24088869a4618d89bf8d856a05bca5c</t>
  </si>
  <si>
    <t>2025-12-08T15:23:15+00:00</t>
  </si>
  <si>
    <t>07:42</t>
  </si>
  <si>
    <t>Hanne Panotes</t>
  </si>
  <si>
    <t>15.12.2025</t>
  </si>
  <si>
    <t>7f5307eb00f8df13fc65c8075736d34472d807f034304821e2604e118de91b70</t>
  </si>
  <si>
    <t>2025-12-09T06:42:46+00:00</t>
  </si>
  <si>
    <t>10:07</t>
  </si>
  <si>
    <t>Helen Tkabo Mengstu</t>
  </si>
  <si>
    <t>helen_tkabo2000@yahoo.com</t>
  </si>
  <si>
    <t>Fredag kl. 15:00</t>
  </si>
  <si>
    <t>4f4d1d0aaebd439d8dbfd116239f558e811da4d094377371a7cee54f86c6d324</t>
  </si>
  <si>
    <t>5247731e7ee6f87b46ea5602396293906fba7acaa655d116b448550a79b086b0</t>
  </si>
  <si>
    <t>2025-12-09T09:07:45+00:00</t>
  </si>
  <si>
    <t>11:36</t>
  </si>
  <si>
    <t>Jose Luis</t>
  </si>
  <si>
    <t>ddg1158@gmail.com</t>
  </si>
  <si>
    <t>Fredag 19.12.2025</t>
  </si>
  <si>
    <t>bb3f1d632422d3ff26d31864fbe7d93916352e91f6cad479373b573536b09d04</t>
  </si>
  <si>
    <t>ca1a1dd57c938923573d7143df63ad38b3ec8f03b8cfd4d09cffb545c03d822b</t>
  </si>
  <si>
    <t>2025-12-09T10:36:45+00:00</t>
  </si>
  <si>
    <t>11:43</t>
  </si>
  <si>
    <t>Jessic Moreira</t>
  </si>
  <si>
    <t>paulafatima54@gmail.com</t>
  </si>
  <si>
    <t>Søndag 18:00</t>
  </si>
  <si>
    <t>c2031283b043f1b7323fbfc2522f12e92d2dd092d701bb5dfaae335e0c9a0d50</t>
  </si>
  <si>
    <t>605335d1045492092ba3f3871831644e2e36a7384a5a29e0187c2cdb7f4fe799</t>
  </si>
  <si>
    <t>2025-12-09T10:43:42+00:00</t>
  </si>
  <si>
    <t>12:03</t>
  </si>
  <si>
    <t>Raman Kaur Thind</t>
  </si>
  <si>
    <t>raman12340@hotmail.com</t>
  </si>
  <si>
    <t>29.12.2025 kl  eller i januar mnd</t>
  </si>
  <si>
    <t>d08fbd5ba93090ff0968c9f0bc46334a8580e5819107a6b7924be32b8c2db1d2</t>
  </si>
  <si>
    <t>42cb8a91edbbf9e12ddee02de44a72de7a035414af39e54c0dba7907933a4c9b</t>
  </si>
  <si>
    <t>2025-12-10T11:03:14+00:00</t>
  </si>
  <si>
    <t>16:24</t>
  </si>
  <si>
    <t>jeyakumar Sundarampillai</t>
  </si>
  <si>
    <t>jeyakumar.nor@gmail.com</t>
  </si>
  <si>
    <t>16.12.2025</t>
  </si>
  <si>
    <t>2c61450f2722fa3698d8c47061b0ade9212cfc89a606112ffbe53f3e6acc86ad</t>
  </si>
  <si>
    <t>5f9b78be82f5858e782e5d1c6a8c85bfb123ad9310892c9adc40eb60922518a9</t>
  </si>
  <si>
    <t>2025-12-10T15:24:41+00:00</t>
  </si>
  <si>
    <t>17:05</t>
  </si>
  <si>
    <t>Leticia  C. Varela</t>
  </si>
  <si>
    <t>leticiacvarela@gmail.com</t>
  </si>
  <si>
    <t>18.12.2025</t>
  </si>
  <si>
    <t>b223eccd26a61136ddcde027388f97fb06557011699acb309fe263611f8594ec</t>
  </si>
  <si>
    <t>2ab88f22dede1ddf6802c28c9cbb76738dd7cb8139a98e9c1b0b46c167b8a0e0</t>
  </si>
  <si>
    <t>2025-12-10T16:05:58+00:00</t>
  </si>
  <si>
    <t>03:26</t>
  </si>
  <si>
    <t>Shukri Mahamed</t>
  </si>
  <si>
    <t>shukri-nc@hotmail.com</t>
  </si>
  <si>
    <t>17.12.25</t>
  </si>
  <si>
    <t>c043179edaa039de01351550bf73d7d7b6020a4672c1c54ba62b6c4fb0e4952b</t>
  </si>
  <si>
    <t>e497950556861bf63f399a97de24e547696f64b22af7a51943384d8b4e9e3b33</t>
  </si>
  <si>
    <t>2025-12-11T02:27:00+00:00</t>
  </si>
  <si>
    <t>05:42</t>
  </si>
  <si>
    <t>Mehran</t>
  </si>
  <si>
    <t>y.mehran00@gmail.com</t>
  </si>
  <si>
    <t>Fredag 12-15</t>
  </si>
  <si>
    <t>03720dadd3d49e8d5a4d4d13556d369fd99c007db8fed1b50e8b1646f2367550</t>
  </si>
  <si>
    <t>be1dbd476e99fed0c9d13ebfb9a01162de61b798039c01a70e3efe7a30b88b38</t>
  </si>
  <si>
    <t>2025-12-11T04:42:14+00:00</t>
  </si>
  <si>
    <t>Gard Eivind Hoel</t>
  </si>
  <si>
    <t>gtg@live.no</t>
  </si>
  <si>
    <t>13.12.2025</t>
  </si>
  <si>
    <t>b88eca20e15f6ca6323761672569763f16c0ee3a2348016e75d3f128995f7f92</t>
  </si>
  <si>
    <t>baa533ee6e1beda8c67269c03ab6b1199957562933d214c8b6c6bdb17d265a63</t>
  </si>
  <si>
    <t>2025-12-11T06:45:12+00:00</t>
  </si>
  <si>
    <t>08:02</t>
  </si>
  <si>
    <t>Serine Blitzner</t>
  </si>
  <si>
    <t>serineblitzner@hotmail.com</t>
  </si>
  <si>
    <t>Kveldstid hverdag</t>
  </si>
  <si>
    <t>eeb211b7c22027d471b6429eb7d02eb1a6dc123237a0bb409d0feabb41dbea28</t>
  </si>
  <si>
    <t>6025417c51b6ffdfe4664413f4507edac6375fe1ee854d183b99862111b96fa7</t>
  </si>
  <si>
    <t>2025-12-11T07:02:57+00:00</t>
  </si>
  <si>
    <t>08:33</t>
  </si>
  <si>
    <t>Enayat Rahimi</t>
  </si>
  <si>
    <t>ZebA.rahimi@yahoo.com</t>
  </si>
  <si>
    <t>12.12.2005 .kl 17</t>
  </si>
  <si>
    <t>8060a7f0c3e70cd31a440910ab69b884701d9e975fb13be4d7ca5081d73069ae</t>
  </si>
  <si>
    <t>bc3de8e820e103f181fff3ba9a163c8beb89e5ce95f6668e33b4919bdfd890e6</t>
  </si>
  <si>
    <t>2025-12-11T07:33:04+00:00</t>
  </si>
  <si>
    <t>09:05</t>
  </si>
  <si>
    <t>Christoffer Smeby</t>
  </si>
  <si>
    <t>kongchris1@hotmail.com</t>
  </si>
  <si>
    <t>Uke 51.  Enten 16.12, 17.12 eller 19.12.  i normal arbeidstid</t>
  </si>
  <si>
    <t>42f5facd1a5218b18b22d61393c35e7884940c8bf3b942d6ebd811c87ddba3e7</t>
  </si>
  <si>
    <t>b249ce49508a98a6cf6cef1ab3634879527959c19954e731607335edd44a6d18</t>
  </si>
  <si>
    <t>2025-12-11T08:05:52+00:00</t>
  </si>
  <si>
    <t>Raja Ghalib Hussain</t>
  </si>
  <si>
    <t>hussainraja100@gmail.com</t>
  </si>
  <si>
    <t>19 oct</t>
  </si>
  <si>
    <t>Han ringer neste uke for å sette opp time, ønsker time rundt kl 17</t>
  </si>
  <si>
    <t>e64cfaf83bac9948be281a1924139f465d1e5907791d2b8cd8d1a1d100e9bc0b</t>
  </si>
  <si>
    <t>1e8ce2a2a633d03a2617e06fa76772f2210cdfc5891630708c8f15a3c911519b</t>
  </si>
  <si>
    <t>2025-12-13T21:52:59+00:00</t>
  </si>
  <si>
    <t>23:23</t>
  </si>
  <si>
    <t>Saadallah Alhaj Issa</t>
  </si>
  <si>
    <t>saadissa1986@yahoo.com</t>
  </si>
  <si>
    <t>Torsdag</t>
  </si>
  <si>
    <t>af939a4f020f1b907da99de6bef1be5e7ef25a1e3b3a9c20d4d65aec41de18c5</t>
  </si>
  <si>
    <t>315a081a52152a7abf47861156d8e7ae40172faca8b34c28a10559f21f399ea1</t>
  </si>
  <si>
    <t>2025-12-13T22:23:02+00:00</t>
  </si>
  <si>
    <t>Lise Sandsengen</t>
  </si>
  <si>
    <t>lise.johnsrud2@gmail.com</t>
  </si>
  <si>
    <t>16 Desember tid mellom kl 10 00 og kl 1400</t>
  </si>
  <si>
    <t>8c52e6f23e69cb9517541645ef857ed6f3c26d8176e92e5c3aa687e6b1c0d8bd</t>
  </si>
  <si>
    <t>25de6dd7f8e37bf7fba83665f6b2055bd342fd92aa176a3cf00779cbf61ffdbf</t>
  </si>
  <si>
    <t>2025-12-13T22:50:03+00:00</t>
  </si>
  <si>
    <t>00:12</t>
  </si>
  <si>
    <t>Rukiye Sagici</t>
  </si>
  <si>
    <t>rukiye16@gmail.com</t>
  </si>
  <si>
    <t>Helst en onsdag</t>
  </si>
  <si>
    <t>8fdc4e937af5a1a9994aed4ea1a095dbde392296099988079ff7eac3c0382610</t>
  </si>
  <si>
    <t>f547a9e55608b2c769b70cdda7292353771abb2fd7e6bd02a4eaaf9f40e13844</t>
  </si>
  <si>
    <t>2025-12-13T23:12:21+00:00</t>
  </si>
  <si>
    <t>00:29</t>
  </si>
  <si>
    <t>Karan Thambirajah</t>
  </si>
  <si>
    <t>thraa003@outlook.com</t>
  </si>
  <si>
    <t>Tilgjengelig alle datoer etter klokken 15</t>
  </si>
  <si>
    <t>80c02f074a138cd63d52494a20298dde8e7337d47a24c1d73c1ea9ef5baa077c</t>
  </si>
  <si>
    <t>784606e0fdb67cd04a36e9ce4534739c18cf877efb6a45f06335e1f7b078219e</t>
  </si>
  <si>
    <t>2025-12-13T23:29:56+00:00</t>
  </si>
  <si>
    <t>11:54</t>
  </si>
  <si>
    <t>Moslem Isak Al-Kofi</t>
  </si>
  <si>
    <t>alkofi.1997@hotmail.com</t>
  </si>
  <si>
    <t>23.12.2025</t>
  </si>
  <si>
    <t>116f6a904d07663c750c0548d649803127d760c520da413ef9e42f0c6c8c86c2</t>
  </si>
  <si>
    <t>8a5774b5e7339903bd1f278827f5b2d0da9ca0b985638afe52c63f6970330ede</t>
  </si>
  <si>
    <t>2025-12-14T10:54:36+00:00</t>
  </si>
  <si>
    <t>19:56</t>
  </si>
  <si>
    <t>Kofi Brempong</t>
  </si>
  <si>
    <t>kofiob31@gmail.com</t>
  </si>
  <si>
    <t>18.12 fra kl 0830</t>
  </si>
  <si>
    <t>27334df38f2b324601d40b410718c4d97872415a519630a89a3d20461e74248c</t>
  </si>
  <si>
    <t>5ebe7db8f9b44e51b36b4834048d999fc58154b094ada15724eb43459dd8312b</t>
  </si>
  <si>
    <t>2025-12-15T18:56:31+00:00</t>
  </si>
  <si>
    <t>13:15</t>
  </si>
  <si>
    <t>Abel Mogos</t>
  </si>
  <si>
    <t>abelms23@yahoo.com</t>
  </si>
  <si>
    <t>10.01.2026</t>
  </si>
  <si>
    <t>8230e98b02bbc57e9ecca4bfdd5f1efb3e12695ccdb00a273c98dec85545401a</t>
  </si>
  <si>
    <t>2c85730a298203b319297ed07a5be17821d12e512013269a268eb38e6004c378</t>
  </si>
  <si>
    <t>2025-12-16T12:15:32+00:00</t>
  </si>
  <si>
    <t>15:25</t>
  </si>
  <si>
    <t>Jahangir Ahmed</t>
  </si>
  <si>
    <t>jahangirahmed4040@gmail.com</t>
  </si>
  <si>
    <t>22.122025 kl18.00</t>
  </si>
  <si>
    <t>Rett til telefonsvarer</t>
  </si>
  <si>
    <t>94509c3d92d858d65e38985c9aa2b820cecc97cb79e4ef4f85344a247f9ce155</t>
  </si>
  <si>
    <t>9120f8dca879b2cc259c089efab88413e6201637893ddf448bf91c77bb50c2df</t>
  </si>
  <si>
    <t>2025-12-16T14:25:54+00:00</t>
  </si>
  <si>
    <t>11:04</t>
  </si>
  <si>
    <t>Tamara Nicole</t>
  </si>
  <si>
    <t>tamara_stavseth@hotmail.com</t>
  </si>
  <si>
    <t>2e771c82a6e9b7d60d2e65577284a4a801075cb5cb53f9962831dfd78213214c</t>
  </si>
  <si>
    <t>910b04a48a50ebcbdc9f7e6b165d6edb933031fda4fcdb2e49c29405f4cb7991</t>
  </si>
  <si>
    <t>2025-12-17T10:04:14+00:00</t>
  </si>
  <si>
    <t>12:35</t>
  </si>
  <si>
    <t>Gulnaz Sadiq khan</t>
  </si>
  <si>
    <t>gulnazsadiq035@gmail.com</t>
  </si>
  <si>
    <t>1ab2e4aa964e935ccf91d3fd5e031dea911c1ee271201889d453228b1e9559ad</t>
  </si>
  <si>
    <t>7ae20604dde057555f7cd4f81e50822c0288ada856c40135914a0c44b9f199f2</t>
  </si>
  <si>
    <t>2025-12-17T11:35:42+00:00</t>
  </si>
  <si>
    <t>20:08</t>
  </si>
  <si>
    <t>Mukhammad-Ali</t>
  </si>
  <si>
    <t>mukhammadali.nabiev88@gmail.com</t>
  </si>
  <si>
    <t>9a711820746a23c62646de1f59008f075c6bc84c467d8afaa33d2e94dca9f34b</t>
  </si>
  <si>
    <t>101dc553c4c3f8c03a9df58bb0344b7c69a1663eb141013f5426476819c1ef7b</t>
  </si>
  <si>
    <t>2025-12-18T19:08:48+00:00</t>
  </si>
  <si>
    <t>01:35</t>
  </si>
  <si>
    <t>Rahmeh</t>
  </si>
  <si>
    <t>rahmehelalyan@gmail.com</t>
  </si>
  <si>
    <t>Torsdag kl.13.00</t>
  </si>
  <si>
    <t>3e6ce4646b8303b450f2880b636afee8db4361e3d5cd92f012f10daa0a85698a</t>
  </si>
  <si>
    <t>904ce073cfea40d5f9a0da8246cfdf4179bcea13ec172c86733d7cd266c002da</t>
  </si>
  <si>
    <t>2025-12-19T00:35:52+00:00</t>
  </si>
  <si>
    <t>Robinson Toro</t>
  </si>
  <si>
    <t>torogeo@hotmail.com</t>
  </si>
  <si>
    <t>Fredag lørdag,måndag tirsdag</t>
  </si>
  <si>
    <t>Var opptatt på jobb, ringer tilbake</t>
  </si>
  <si>
    <t>26cf3238495eadbcf662e3d9617ea108654dd85a8ba2a6c7ef12a0fa55f450df</t>
  </si>
  <si>
    <t>f4b485c6fc69aff620992936129bd4366db9df856d984aa24911b40b9fcd00c2</t>
  </si>
  <si>
    <t>2025-12-19T09:29:28+00:00</t>
  </si>
  <si>
    <t>14:26</t>
  </si>
  <si>
    <t>Fatemeh Moradi Dehaghi</t>
  </si>
  <si>
    <t>fdominor@yahoo.com</t>
  </si>
  <si>
    <t>23.122025</t>
  </si>
  <si>
    <t>85d708c41fbb8ec886301e414f06961e91f52caaf4c7fca624f328d5650b8aa0</t>
  </si>
  <si>
    <t>9866acff5cb0ccf2fbd6eb0fa0af3d9a519963963ec774d773bb1d84131be1fc</t>
  </si>
  <si>
    <t>2025-12-19T13:26:50+00:00</t>
  </si>
  <si>
    <t>06:56</t>
  </si>
  <si>
    <t>Kristine Skeie</t>
  </si>
  <si>
    <t>kristine.skeie@vikenfiber.no</t>
  </si>
  <si>
    <t>5ac46f544955ec0c61d247da9c51b44b4beaa970164c36a64cc379b969883f29</t>
  </si>
  <si>
    <t>23a8bbe15b9f6b1370633b8b2d87791fba6312b5841edc6e537d3acd1b148a75</t>
  </si>
  <si>
    <t>2025-12-20T05:56:17+00:00</t>
  </si>
  <si>
    <t>10:12</t>
  </si>
  <si>
    <t>Marie Nordsveen</t>
  </si>
  <si>
    <t>marienordsveen@gmail.com</t>
  </si>
  <si>
    <t>Lördag til söndag</t>
  </si>
  <si>
    <t>Ønsker å ringe opp selv etter nyttår. Fikk tilbud om å sette opp time</t>
  </si>
  <si>
    <t>a575e3bbbce737f93b74a3c661404b074308509dc95a512a0727cd66be71aa1c</t>
  </si>
  <si>
    <t>6a0425f212bb686542835a4558a074ed7b2dad3de68da1936a00ef2919c18547</t>
  </si>
  <si>
    <t>2025-12-20T09:12:42+00:00</t>
  </si>
  <si>
    <t>02:57</t>
  </si>
  <si>
    <t>Ramesh Vinayaga</t>
  </si>
  <si>
    <t>ramesh.it@hotmail.com</t>
  </si>
  <si>
    <t>05.01.2026</t>
  </si>
  <si>
    <t>Fikk flere tilbud for tidspunkt. Ønsker å ringe opp igjen for å sette opp time</t>
  </si>
  <si>
    <t>CV9802 img=flow3&amp;h1=time4</t>
  </si>
  <si>
    <t>002a6d81446293c672b4889c72e9a4d3d0dffd0d38d12fc6efb0a2708df63184</t>
  </si>
  <si>
    <t>5d54024a9e306299e74b069fd2112f0eec023bbcce030bcdbb8a2970cdc3d3cd</t>
  </si>
  <si>
    <t>2026-01-01T01:57:47+00:00</t>
  </si>
  <si>
    <t>15:09</t>
  </si>
  <si>
    <t>Fadil Azemi</t>
  </si>
  <si>
    <t>fadil14@hotmail.com</t>
  </si>
  <si>
    <t>CV2015 h1=time4</t>
  </si>
  <si>
    <t>e3dc75f5fa5d3ffba6e42fa8bf34b72c209a98e0b5b5df7ca1be70197229e3e4</t>
  </si>
  <si>
    <t>f88cc429ff81f60570129f4756acdd595e4f9ecfbde7c1d78bdb69bcf17c1483</t>
  </si>
  <si>
    <t>2026-01-01T14:09:23+00:00</t>
  </si>
  <si>
    <t>22:19</t>
  </si>
  <si>
    <t>Sebastian pedersen</t>
  </si>
  <si>
    <t>sebastian.pedersen03@gmail.com</t>
  </si>
  <si>
    <t>15.01.2026</t>
  </si>
  <si>
    <t>CV2012 h1=time4</t>
  </si>
  <si>
    <t>41b75de1e120130209d82c25388d3a19e1c626605fbcca8625ed473c127f9db1</t>
  </si>
  <si>
    <t>b3511e8fa4e8d56696846b9f97ddd821f83c26a0b4c452bad6abcc2166bed407</t>
  </si>
  <si>
    <t>2026-01-01T21:19:41+00:00</t>
  </si>
  <si>
    <t>02:30</t>
  </si>
  <si>
    <t>Mohammad Abdi Jama</t>
  </si>
  <si>
    <t>mocity4@hotmail.com</t>
  </si>
  <si>
    <t>05.01.26</t>
  </si>
  <si>
    <t>CP5161 img=tartar3&amp;h1=time4</t>
  </si>
  <si>
    <t>35775684d08d37e3b5eca9a20dba9581424a3f42ca2c44feed4c7615ba040491</t>
  </si>
  <si>
    <t>7abca3698293b1cb1a169cf71bce844c6e6090474173938a341c5eff9ba4d59c</t>
  </si>
  <si>
    <t>2026-01-02T01:30:22+00:00</t>
  </si>
  <si>
    <t>Omar Ali Hassan</t>
  </si>
  <si>
    <t>omarali.hassan@hotmail.com</t>
  </si>
  <si>
    <t>05.01.2026 kl 14:00</t>
  </si>
  <si>
    <t>5d9bf982af12efbb17bb359b3d8f71315c7910b243db320ddb04168e105816b6</t>
  </si>
  <si>
    <t>393860b9176740686d8ec2f8a4c71616077ffe1b0f0b60f00bd94482e046cf39</t>
  </si>
  <si>
    <t>2026-01-02T17:30:04+00:00</t>
  </si>
  <si>
    <t>23:30</t>
  </si>
  <si>
    <t>Yuya Mboya Abdulsamad</t>
  </si>
  <si>
    <t>yuya002@hotmail.com</t>
  </si>
  <si>
    <t>08.01.2026</t>
  </si>
  <si>
    <t>faa5e9bdee24b25eeaf5291aa8d7ed7e4dabdcd6b5baada5022295265cc9151f</t>
  </si>
  <si>
    <t>5c7c1d5a2873cbabc11e288f0c99b624a1c69a475fc625fb184aaa44b0c1e311</t>
  </si>
  <si>
    <t>2026-01-02T22:30:22+00:00</t>
  </si>
  <si>
    <t>00:16</t>
  </si>
  <si>
    <t>Khalil Alam el deen</t>
  </si>
  <si>
    <t>alam.el.deen@hotmail.com</t>
  </si>
  <si>
    <t>14.01.2026</t>
  </si>
  <si>
    <t>f751fa596a42b5e6aeed4b7bc9e4910b0504887ea0ce8106f442c5a0b5a00cb2</t>
  </si>
  <si>
    <t>1206474997308d939494c47cb45de598d87d8dc30426e654949c5bcae040ecec</t>
  </si>
  <si>
    <t>2026-01-02T23:16:08+00:00</t>
  </si>
  <si>
    <t>20:53</t>
  </si>
  <si>
    <t>Kamran Asghar</t>
  </si>
  <si>
    <t>mani_asghar@hotmail.com</t>
  </si>
  <si>
    <t>04.01.2026</t>
  </si>
  <si>
    <t>e9d92bb065dee8eee28952d29dc45831d2f2a69c3367ebc60612cdcee48e7f94</t>
  </si>
  <si>
    <t>39e44b658a2a5dd03f96ec170db1a0622b8cb5151ccd6dde2ffd64becb41bf00</t>
  </si>
  <si>
    <t>2026-01-03T19:53:40+00:00</t>
  </si>
  <si>
    <t>21:42</t>
  </si>
  <si>
    <t>Mohammad Gilman Afzal</t>
  </si>
  <si>
    <t>moafa001@gmail.con</t>
  </si>
  <si>
    <t>10. 01. 26</t>
  </si>
  <si>
    <t>77d7e58012fd69a02bad40aed1902e586aaad38beb5fbc6c6213c004d20c985a</t>
  </si>
  <si>
    <t>0588fc74adc9c485f2659ce460170bbe24a3b4cb935dcdf0adaba076aa2fe6a3</t>
  </si>
  <si>
    <t>2026-01-03T20:42:34+00:00</t>
  </si>
  <si>
    <t>22:44</t>
  </si>
  <si>
    <t>Muhammad Irfan Aslam</t>
  </si>
  <si>
    <t>irfanaslam54@hotmail.com</t>
  </si>
  <si>
    <t>06.01.26</t>
  </si>
  <si>
    <t>c4f2cc8b9261bfe26603509a6345c75d68c442ab842ff0cbd298e7b5d8f65a59</t>
  </si>
  <si>
    <t>b80e5a40ab36bdbd90b8369a574845380f67bb9aabc42fe29e45428f1b9aadff</t>
  </si>
  <si>
    <t>2026-01-03T21:44:37+00:00</t>
  </si>
  <si>
    <t>01:12</t>
  </si>
  <si>
    <t>Ubah Aden</t>
  </si>
  <si>
    <t>uab@imdi.no</t>
  </si>
  <si>
    <t>Lørdag kl 1700</t>
  </si>
  <si>
    <t>07ab6a4dc70e918d6b9d4a297ab03f9c5f2d5a8772665e0d6984df54c70fc296</t>
  </si>
  <si>
    <t>4423a62597a7cf6a1fd2f277380fa8ff85925e4264717e26099b92b54e9f895a</t>
  </si>
  <si>
    <t>2026-01-04T00:12:42+00:00</t>
  </si>
  <si>
    <t>07:55</t>
  </si>
  <si>
    <t>Mostafa Abokhalil</t>
  </si>
  <si>
    <t>mostafa_f_9@hotmail.com</t>
  </si>
  <si>
    <t>Lørdag 16:00</t>
  </si>
  <si>
    <t>12fb631ed19fd6e4878d601e2235a937e62bd913a511543273a61a835ab9ec55</t>
  </si>
  <si>
    <t>26fb11c785f78e84f94c635ff4e7de9a790954cbb22965beb926068cb473b835</t>
  </si>
  <si>
    <t>2026-01-05T06:55:06+00:00</t>
  </si>
  <si>
    <t>09:02</t>
  </si>
  <si>
    <t>Vaida Timinskaite</t>
  </si>
  <si>
    <t>Før 19 på dagtid</t>
  </si>
  <si>
    <t>956076fbdf101193a4bf94d7bbd850b512ce2a0151d96b149994509918cfdac2</t>
  </si>
  <si>
    <t>2ad955937179274cfb867a0f7107e6a64381b32b3c2de88757809f1dc3699173</t>
  </si>
  <si>
    <t>2026-01-05T08:02:55+00:00</t>
  </si>
  <si>
    <t>Instagram_Stories</t>
  </si>
  <si>
    <t>18:32</t>
  </si>
  <si>
    <t>12/1 etter jobb 16</t>
  </si>
  <si>
    <t>2026-01-05T17:32:52+00:00</t>
  </si>
  <si>
    <t>Facebook_Notification</t>
  </si>
  <si>
    <t>09:45</t>
  </si>
  <si>
    <t>Marta Osdal</t>
  </si>
  <si>
    <t>marta.osdal@gmail.com</t>
  </si>
  <si>
    <t>23.01.2026</t>
  </si>
  <si>
    <t>b804d9ee597db5ec78b72c6e08581aadea5816eae29bddaa45e93c97ffe68811</t>
  </si>
  <si>
    <t>8f3733e60f198df6a020e926d2e8f03b8f194c137becf6082729b7ca164bf1cc</t>
  </si>
  <si>
    <t>2026-01-06T08:45:53+00:00</t>
  </si>
  <si>
    <t>16:15</t>
  </si>
  <si>
    <t>Vllaznim Llapi</t>
  </si>
  <si>
    <t>vllaznim048@hotmail.com</t>
  </si>
  <si>
    <t>Mannen til personen som tok opp tlf, han skal ringe opp selv</t>
  </si>
  <si>
    <t>db0515178db4a428306eaaf6a8fcced03ccc7159fee8bb6ed0e5b7a6da83fa37</t>
  </si>
  <si>
    <t>022e19a8319578bbd87edf6058c7852e562a3fbb7db9385ecf72c7d94526f08f</t>
  </si>
  <si>
    <t>2026-01-06T15:15:37+00:00</t>
  </si>
  <si>
    <t>Ngo thanh tra</t>
  </si>
  <si>
    <t>nguyenngocthanh599@gmail.com</t>
  </si>
  <si>
    <t>16/01/26</t>
  </si>
  <si>
    <t>CV3011 img=tartar3&amp;h1=time4</t>
  </si>
  <si>
    <t>82a02bf3d3f4de80722d00d6e21fc87e2ef471b307304bf3bde9785e01ab57cb</t>
  </si>
  <si>
    <t>5c7321eba52491ee168cf73feb4ba8556433421b71503078b771914ec2ae8c58</t>
  </si>
  <si>
    <t>2026-01-06T17:54:12+00:00</t>
  </si>
  <si>
    <t>20:55</t>
  </si>
  <si>
    <t>Hiley saddul</t>
  </si>
  <si>
    <t>hiley.saddul@hotmail.com</t>
  </si>
  <si>
    <t>07.01.2026</t>
  </si>
  <si>
    <t>Har fått time et annet sted</t>
  </si>
  <si>
    <t>fa3b18245ce385c77f98df8a8aa00add92594f0dbc43ddefd3c9e58289a3e46a</t>
  </si>
  <si>
    <t>b501aabad394b13a56fda404489085256e2b8bfd757cce111e045df6973a66ac</t>
  </si>
  <si>
    <t>2026-01-06T19:55:52+00:00</t>
  </si>
  <si>
    <t>01:21</t>
  </si>
  <si>
    <t>Renz brucal</t>
  </si>
  <si>
    <t>renz.brucal33@gmail.com</t>
  </si>
  <si>
    <t>09.01.26 kl 12:00</t>
  </si>
  <si>
    <t>e968ec5d3a6b2378aeb98b12f1e38f029268a4437b3b670566cb6e7badf1377f</t>
  </si>
  <si>
    <t>af9e0d829fe22b1f68fc6eb5eabfd994db91fab680a544743df61732d4b91ce7</t>
  </si>
  <si>
    <t>2026-01-07T00:21:26+00:00</t>
  </si>
  <si>
    <t>06:02</t>
  </si>
  <si>
    <t>Fredrik Berg larsen</t>
  </si>
  <si>
    <t>fredrikberglarsen@gmail.com</t>
  </si>
  <si>
    <t>10.01.26</t>
  </si>
  <si>
    <t>CV2014 h1=time4</t>
  </si>
  <si>
    <t>ab5040b2288ce8b92ae0e8ba0e373b3f5ad64af22e53d26a8ba8094e9010c985</t>
  </si>
  <si>
    <t>03e2c7cecd23d44cef0e5f9c3ff434b52bccaf1b055e8773c74f349f34f98553</t>
  </si>
  <si>
    <t>2026-01-07T05:02:21+00:00</t>
  </si>
  <si>
    <t>10:28</t>
  </si>
  <si>
    <t>Merete Skog</t>
  </si>
  <si>
    <t>mkmalekas@yahoo.no</t>
  </si>
  <si>
    <t>17.02.26</t>
  </si>
  <si>
    <t>15f0d6be6484c09bbc40abb8b3eb761dc743d2033260a1613bd84c674d645c90</t>
  </si>
  <si>
    <t>72702c019e53c05041edb89a233f111d679d0570c1272f10f6f2aeb03e1ef68d</t>
  </si>
  <si>
    <t>2026-01-08T09:28:39+00:00</t>
  </si>
  <si>
    <t>11:38</t>
  </si>
  <si>
    <t>Kevin Seyffarth</t>
  </si>
  <si>
    <t>kevsey@icloud.com</t>
  </si>
  <si>
    <t>15.januar,</t>
  </si>
  <si>
    <t>bad7a120a71617d5bc3c55f8eebac84038b75cb65b0ad31744bc588a11883cbb</t>
  </si>
  <si>
    <t>396eff79451654947f0fbaf3c2add1e171ea5ba56992a3343ce5e87a3656b3b3</t>
  </si>
  <si>
    <t>2026-01-08T10:38:55+00:00</t>
  </si>
  <si>
    <t>Amirtha Mylvaganam</t>
  </si>
  <si>
    <t>amirtha.mylvaganam@gmail.com</t>
  </si>
  <si>
    <t>13/1,14/1,19/1,20/1</t>
  </si>
  <si>
    <t>e14015da5197ab90c2efda72779b50ef7d18b3e37dbaef2177a01c4301b38f6e</t>
  </si>
  <si>
    <t>91887e428be1929e9f97c5107a5bad2242545a047404bf005d1251cd5bf0a2ba</t>
  </si>
  <si>
    <t>2026-01-08T10:43:49+00:00</t>
  </si>
  <si>
    <t>Vinojan Vamathevan</t>
  </si>
  <si>
    <t>v.vinojan1112@gmail.com</t>
  </si>
  <si>
    <t>09.01.26</t>
  </si>
  <si>
    <t>ab689a4e6d1e572efee463d3b496a3b4788788756a807b2a886ffffef564e6eb</t>
  </si>
  <si>
    <t>0ca14250fc4f74714065a91a9332bf5e7ae421780d28441b9472007b399feaf7</t>
  </si>
  <si>
    <t>2026-01-08T11:35:08+00:00</t>
  </si>
  <si>
    <t>19:15</t>
  </si>
  <si>
    <t>Morten Larsen</t>
  </si>
  <si>
    <t>romern1@hotmail.com</t>
  </si>
  <si>
    <t>21/1-2026</t>
  </si>
  <si>
    <t>09d4d83ede1c4479ccc09fdabe86c168cb4c414abb4bacb986d39a8202068f5c</t>
  </si>
  <si>
    <t>c5566db0ab420c6c8504e27f2170a3026c293dace524f5aa3a0edc7ba36f8b5f</t>
  </si>
  <si>
    <t>2026-01-09T18:15:39+00:00</t>
  </si>
  <si>
    <t>19:20</t>
  </si>
  <si>
    <t>Niphaphon Larsen</t>
  </si>
  <si>
    <t>ann.nipa@hotmail.com</t>
  </si>
  <si>
    <t>16-01-26</t>
  </si>
  <si>
    <t>e0c9654de25044b604a715246c8c116a0abfd9feba6dc051ca03fadcf1264b80</t>
  </si>
  <si>
    <t>1b83b28361c937ad6674da07c4f575431a0b54a201bb3246021dc3d7ccb68f71</t>
  </si>
  <si>
    <t>2026-01-09T18:20:04+00:00</t>
  </si>
  <si>
    <t>Wajahit Elahi</t>
  </si>
  <si>
    <t>wajahitelahi@hotmail.com</t>
  </si>
  <si>
    <t>12.01.2026 kl 17.00</t>
  </si>
  <si>
    <t>1ba52bf040fedebe2338ef90c1c8bf30f0e94eb56182765c2ddae9d6a45aa095</t>
  </si>
  <si>
    <t>105b7d7eb284d7a7b3951c2828bc96765fe7524c2d4d1583ca10f2c821a250f9</t>
  </si>
  <si>
    <t>2026-01-10T07:47:45+00:00</t>
  </si>
  <si>
    <t>10:22</t>
  </si>
  <si>
    <t>Gagandeep singh</t>
  </si>
  <si>
    <t>gbajwa889@gmail.com</t>
  </si>
  <si>
    <t>11</t>
  </si>
  <si>
    <t>Ber oss om å ringe tilbake, var opptatt</t>
  </si>
  <si>
    <t>ebf6110bb27331c8f9bd22491cd9bca5e20274d6c6e29fd7e6c7a3049b134ebc</t>
  </si>
  <si>
    <t>6213ea99c7add0f5f5f41f857becbe30590694dd25b3c63015cd7b4cf6a5edc7</t>
  </si>
  <si>
    <t>2026-01-10T09:22:32+00:00</t>
  </si>
  <si>
    <t>13:16</t>
  </si>
  <si>
    <t>Mohammed Tatouti</t>
  </si>
  <si>
    <t>simo-moha2016@hotmail.com</t>
  </si>
  <si>
    <t>Tirsdag 13jan</t>
  </si>
  <si>
    <t>803eeca5051283ce97878365663ff412b401c05f48ef2eb97b16a27b0296199e</t>
  </si>
  <si>
    <t>d8a32017b44e1aff7351f1efc2b80954d2a12d8fca623a2eaa294d7994151c3d</t>
  </si>
  <si>
    <t>2026-01-10T12:16:48+00:00</t>
  </si>
  <si>
    <t>01:14</t>
  </si>
  <si>
    <t>Sude Eroyter</t>
  </si>
  <si>
    <t>sudeeroyter@hotmail.com</t>
  </si>
  <si>
    <t>14. januar</t>
  </si>
  <si>
    <t>b2bd59672dc475e7536831ee4203779b0f6ecebad62c474033a130da964b0cab</t>
  </si>
  <si>
    <t>79f04993dabea29689e8f72ff1d75567d09711216a393e7a06ab111ae0a64d54</t>
  </si>
  <si>
    <t>2026-01-11T00:15:00+00:00</t>
  </si>
  <si>
    <t>10:16</t>
  </si>
  <si>
    <t>Mehmet Koc</t>
  </si>
  <si>
    <t>suskun0071@me.com</t>
  </si>
  <si>
    <t>25.01.2026</t>
  </si>
  <si>
    <t>ea95e84739899aad3446c6c2c68f9101d2c3321c0ed6623c3a5de6cb432898a4</t>
  </si>
  <si>
    <t>69f006efc9bf058c213560828fab7e46db5eaef8367dfec85ceb8a8072591487</t>
  </si>
  <si>
    <t>2026-01-11T09:16:26+00:00</t>
  </si>
  <si>
    <t>20:37</t>
  </si>
  <si>
    <t>Isa Fagerholt</t>
  </si>
  <si>
    <t>isafagerholt@gmail.com</t>
  </si>
  <si>
    <t>19.01.26</t>
  </si>
  <si>
    <t>c7f227d12baa901c1138df30159ed31c77c2b07dd4aaee3982bfe2441be9e8c0</t>
  </si>
  <si>
    <t>6b39d3cda812deb371d82c4c3e1b5e9892edef7a24ce242180a866944f007555</t>
  </si>
  <si>
    <t>2026-01-11T19:37:41+00:00</t>
  </si>
  <si>
    <t>11:16</t>
  </si>
  <si>
    <t>Azis</t>
  </si>
  <si>
    <t>Abdeisis0NF@gmail.com</t>
  </si>
  <si>
    <t>Fredag 16</t>
  </si>
  <si>
    <t>Skulle ringe tilbake, var på ferie</t>
  </si>
  <si>
    <t>6930f6178b1d5c743bf1ab1cc776c1b91e04110fe42a24d517fefca8707caa05</t>
  </si>
  <si>
    <t>57dff34fed5c797502527d5ad8a492676c73ebaa6546f3e30b469b112ffe8d26</t>
  </si>
  <si>
    <t>2026-01-12T10:16:12+00:00</t>
  </si>
  <si>
    <t>11:53</t>
  </si>
  <si>
    <t>Madiha Rasool</t>
  </si>
  <si>
    <t>madhu118@hotmail.com</t>
  </si>
  <si>
    <t>14/01-2026 mellom 17.30-20.00</t>
  </si>
  <si>
    <t>63d50e860ae1ff7ac0d9c9123700f25961b37cdb7e6ff3e82fdad4141d096f2c</t>
  </si>
  <si>
    <t>58c66bad12d5bd5036a8268ffcd44064044984c35158880a9d7f5dd014f17c9b</t>
  </si>
  <si>
    <t>2026-01-12T10:53:50+00:00</t>
  </si>
  <si>
    <t>14:37</t>
  </si>
  <si>
    <t>Rune J. Forstrøm</t>
  </si>
  <si>
    <t>r.j.forstrom@gmail.com</t>
  </si>
  <si>
    <t>14.01</t>
  </si>
  <si>
    <t>CV9130 img=tartar3&amp;h1=time4</t>
  </si>
  <si>
    <t>0f0dcc14610c98b256b8fad3dc2ef3ae4acc866060fd42c53aa23da3454731fc</t>
  </si>
  <si>
    <t>27366046f224663a0e1cbaf3fed63ab785a2f3927667f2c17e7b8b087db6cdd5</t>
  </si>
  <si>
    <t>2026-01-12T13:37:14+00:00</t>
  </si>
  <si>
    <t>00:28</t>
  </si>
  <si>
    <t>Durhan Yaman</t>
  </si>
  <si>
    <t>durhaniskender00@gmail.com</t>
  </si>
  <si>
    <t>14.01.26</t>
  </si>
  <si>
    <t>CV2016 h1=time4</t>
  </si>
  <si>
    <t>6d9796ede69f6075dc48e4a66532fe38459d80db96fc724de4fa27387fac0867</t>
  </si>
  <si>
    <t>90fa18c3f9220a119933549cef19cd40841dd5aa1ff22a807132d3d201582538</t>
  </si>
  <si>
    <t>2026-01-12T23:28:36+00:00</t>
  </si>
  <si>
    <t>01:13</t>
  </si>
  <si>
    <t>26.01.2026</t>
  </si>
  <si>
    <t>2026-01-13T00:13:19+00:00</t>
  </si>
  <si>
    <t>00:54</t>
  </si>
  <si>
    <t>CV9801 img=flow3&amp;h1=time4</t>
  </si>
  <si>
    <t>2026-01-13T23:54:56+00:00</t>
  </si>
  <si>
    <t>07:43</t>
  </si>
  <si>
    <t>Mohamed Abukar Ali</t>
  </si>
  <si>
    <t>djmoha586@gmail.com</t>
  </si>
  <si>
    <t>26 eller 27 januar</t>
  </si>
  <si>
    <t>b7111a83b8e1537f40c01e133f4d51af92628369d08188d0ac9f1c5ca1fb6bec</t>
  </si>
  <si>
    <t>a6e4a6c730a969fbf4962a9a65edfc0faf78a9b418bb371476c8d8fbd9a7ae0e</t>
  </si>
  <si>
    <t>2026-01-14T06:43:55+00:00</t>
  </si>
  <si>
    <t>17:00</t>
  </si>
  <si>
    <t>Balasundaram Balamurali</t>
  </si>
  <si>
    <t>sharuga25@hotmail.com</t>
  </si>
  <si>
    <t>16.01.2016</t>
  </si>
  <si>
    <t>10386f246c884ea0d917bd8bd51d9d525102aeb60e6d8822217d3969b198cec5</t>
  </si>
  <si>
    <t>2e4a502435cf0a78fcc1c3359343005ea3be8639fef696b0fd1490b05afeff2f</t>
  </si>
  <si>
    <t>2026-01-14T16:00:51+00:00</t>
  </si>
  <si>
    <t>17:29</t>
  </si>
  <si>
    <t>Kamila Michniewicz</t>
  </si>
  <si>
    <t>kamila.ewa.michniewicz@gmail.com</t>
  </si>
  <si>
    <t>22 januar</t>
  </si>
  <si>
    <t>Har ikke timeplanen sin nå, ringer tilbake</t>
  </si>
  <si>
    <t>4d9a84a935577788b2a0f93b84b2f8a374a592d17271013f0597e97c8b1f7cc4</t>
  </si>
  <si>
    <t>4c1eea91c7daff00b23816590fdf33faa31f9a4a0ea5f9f6d5f10aceb6f118ec</t>
  </si>
  <si>
    <t>2026-01-14T16:29:40+00:00</t>
  </si>
  <si>
    <t>09:16</t>
  </si>
  <si>
    <t>Shamin Khushi</t>
  </si>
  <si>
    <t>shans-08@hotmail.com</t>
  </si>
  <si>
    <t>19 januar</t>
  </si>
  <si>
    <t>Fant et sted nærmere seg</t>
  </si>
  <si>
    <t>e910f821ea181989d767c1b3e0d7ca4d603728d27fee9c0502ce224d992618ef</t>
  </si>
  <si>
    <t>549aaf42b4aec4d30b4d24406e6ee0aa8864cab61afad99f7224babde73cd0dd</t>
  </si>
  <si>
    <t>2026-01-15T08:16:45+00:00</t>
  </si>
  <si>
    <t>10:49</t>
  </si>
  <si>
    <t>Brit WiviDyresen</t>
  </si>
  <si>
    <t>bridy1950@hotmail.no</t>
  </si>
  <si>
    <t>12 februar kl 12</t>
  </si>
  <si>
    <t>2ba93ef42905cdd9d9359e6373b8a0e75c859245f290a0772361a2a303360370</t>
  </si>
  <si>
    <t>8640757eaad82b2d712b159dc461d61f313bf1960d0f48cf804fcccd244e9b36</t>
  </si>
  <si>
    <t>2026-01-15T09:49:34+00:00</t>
  </si>
  <si>
    <t>11:31</t>
  </si>
  <si>
    <t>Cin Than Tuang Samte</t>
  </si>
  <si>
    <t>tsamte09@gmail.com</t>
  </si>
  <si>
    <t>20.01.2026. Kl.13.00</t>
  </si>
  <si>
    <t>7dc9e555c1e8d255f801d5490530cee1a70c5dc70413ae90390e8ed38746c58b</t>
  </si>
  <si>
    <t>aba856b4ebb5e23786107ed29f5be4fac220fc0d87279e0bda1aa591daced6ee</t>
  </si>
  <si>
    <t>2026-01-15T10:31:17+00:00</t>
  </si>
  <si>
    <t>Gabriel Pineda</t>
  </si>
  <si>
    <t>gaby_0912@yahoo.com</t>
  </si>
  <si>
    <t>Mandag 19. jan 11:00 - 13:00 eller fredag 23. jan 11:00 - 13:00</t>
  </si>
  <si>
    <t>f62385c33b0a50893fbea65148de79edd06d9cbb22d4c27a48b2d91dd29d5fd2</t>
  </si>
  <si>
    <t>f5b9a280c4bcae275761bdd3cb962d17caedb8966e04585e4f8f09202106dd25</t>
  </si>
  <si>
    <t>2026-01-15T11:05:41+00:00</t>
  </si>
  <si>
    <t>09:07</t>
  </si>
  <si>
    <t>Qasim ali Qezelbash</t>
  </si>
  <si>
    <t>qezelbash.aus@gmail.com</t>
  </si>
  <si>
    <t>Søndag . 18-01-2026</t>
  </si>
  <si>
    <t>mobilsvar</t>
  </si>
  <si>
    <t>043b36883ee6a47faa75af1932423455f38dd195663e475f01b0c634b7f16fb4</t>
  </si>
  <si>
    <t>5553d5930af579cb06f6a65879d7fc65a3b67526238aef57db794ff490c11c33</t>
  </si>
  <si>
    <t>2026-01-16T08:07:18+00:00</t>
  </si>
  <si>
    <t>09:37</t>
  </si>
  <si>
    <t>Mohanavally Pulendran</t>
  </si>
  <si>
    <t>pulenran@hotmail.com</t>
  </si>
  <si>
    <t>21/1  -2026</t>
  </si>
  <si>
    <t>2cada5895fc2c09cc10c694124089a44caceec19082d519a8bbaa1f33fc79219</t>
  </si>
  <si>
    <t>056221b8649d58446c35de7aee66fd7b0e93909a61673724b0e15cf5690d762f</t>
  </si>
  <si>
    <t>2026-01-16T08:37:47+00:00</t>
  </si>
  <si>
    <t>20/01/  eller 21/01  eller bare send en ledig time</t>
  </si>
  <si>
    <t>Samme som over^^</t>
  </si>
  <si>
    <t>2026-01-16T08:45:35+00:00</t>
  </si>
  <si>
    <t>Sivacharan Balasan</t>
  </si>
  <si>
    <t>siva0308@hotmail.com</t>
  </si>
  <si>
    <t>Klokken 13.30</t>
  </si>
  <si>
    <t>5820d00297f52dbba21fcdf842a7f4293ad086f25b9a844f29b7d42bf076d9e2</t>
  </si>
  <si>
    <t>a376d76b5758213f5ef5ce79fdabf73dd1c6b2311ffe2a044064c2c09ac4bc56</t>
  </si>
  <si>
    <t>2026-01-17T09:22:09+00:00</t>
  </si>
  <si>
    <t>11:26</t>
  </si>
  <si>
    <t>Marites Tenerife</t>
  </si>
  <si>
    <t>thessa.enoz@gmail.com</t>
  </si>
  <si>
    <t>20.01.26</t>
  </si>
  <si>
    <t>b81f7c3d1e957cce88084152c53d9bb5d2230377d751535be731c00dfc59a786</t>
  </si>
  <si>
    <t>0a09d1e48f7cfe2b78fb035ffec7dbefa2974fb71db47754c1a7840c05789aac</t>
  </si>
  <si>
    <t>2026-01-17T10:26:48+00:00</t>
  </si>
  <si>
    <t>15:28</t>
  </si>
  <si>
    <t>Ivar Dyresen</t>
  </si>
  <si>
    <t>idyre@online.no</t>
  </si>
  <si>
    <t>10 februar</t>
  </si>
  <si>
    <t>d65f6ef3f978979ba47c661491540cd03df9dcf0539265def658f39e6ab56ed6</t>
  </si>
  <si>
    <t>1f2367e71915877b483aba2b59d854cb3c0e9533a5a346a9b16a8c23a3eba81f</t>
  </si>
  <si>
    <t>2026-01-19T14:28:13+00:00</t>
  </si>
  <si>
    <t>16:22</t>
  </si>
  <si>
    <t>Camilla Tanhoff</t>
  </si>
  <si>
    <t>camilla.tanhoff@gmail.com</t>
  </si>
  <si>
    <t>Onsdag 21/1</t>
  </si>
  <si>
    <t xml:space="preserve">Feil telefonnr, sendt epost. </t>
  </si>
  <si>
    <t>944cfc33a6408be6e2b4411dac967edb558d84c9c9598edf555dd5269610fee4</t>
  </si>
  <si>
    <t>1bb79d3e464355d3458e9c53abfb7902536527ba80c3006ed35fb5236afe40ef</t>
  </si>
  <si>
    <t>2026-01-19T15:22:07+00:00</t>
  </si>
  <si>
    <t>20:20</t>
  </si>
  <si>
    <t>Kolbjørn Andreassen</t>
  </si>
  <si>
    <t>kolbjorna@hotmail.com</t>
  </si>
  <si>
    <t>Mandag til fredag.  Kl 1200. Dag er det samme</t>
  </si>
  <si>
    <t>CP5160 img=tartar3&amp;h1=time4</t>
  </si>
  <si>
    <t>962b656b3acc555ceabc64c50d08a1b726397dd7fa489fc6061c53842dab567d</t>
  </si>
  <si>
    <t>27f710c4c49d792995a37f563102aa4f281c19e6891623546a298ccda59a16c6</t>
  </si>
  <si>
    <t>2026-01-19T19:20:05+00:00</t>
  </si>
  <si>
    <t>19:17</t>
  </si>
  <si>
    <t>Danish Anwar</t>
  </si>
  <si>
    <t>danish.nawaz05@gmail.com</t>
  </si>
  <si>
    <t>Torsdag ettermiddag</t>
  </si>
  <si>
    <t>012ab0d49a40edfe7c69cf273c759c8b71fd103fb685300c603cf0d016d76fc8</t>
  </si>
  <si>
    <t>2d9ac864b8b907a34b19b0116e927af65fd96de853f89ade9ab5f96c40e4141b</t>
  </si>
  <si>
    <t>2026-01-20T18:17:05+00:00</t>
  </si>
  <si>
    <t>00:39</t>
  </si>
  <si>
    <t>Tochukwu Enwereobi</t>
  </si>
  <si>
    <t>thelastdonz2012@hotmail.com</t>
  </si>
  <si>
    <t>24.01.2026</t>
  </si>
  <si>
    <t>4d902e8b4af1188b16670afa39735baada8d3584b98304b2a53761567e78e977</t>
  </si>
  <si>
    <t>4d9981865d0483bd2f69cb44ef3de4da09eabda4186875f0397cbaa89f5b0234</t>
  </si>
  <si>
    <t>2026-01-20T23:39:48+00:00</t>
  </si>
  <si>
    <t>Oda Skjævesland</t>
  </si>
  <si>
    <t>oda.skjaevesland@gmail.com</t>
  </si>
  <si>
    <t>3. februar</t>
  </si>
  <si>
    <t>f6f0ed009aa5edcb03ac3799ec7ab92014787ee4bec7bf44f91861a2b088dd91</t>
  </si>
  <si>
    <t>f8e68f6f35ff53af9be63cd8e254896d52a19bfed2a359b7321c1d357734bf5c</t>
  </si>
  <si>
    <t>2026-01-21T05:45:19+00:00</t>
  </si>
  <si>
    <t>Rohit Singh Rawat</t>
  </si>
  <si>
    <t>rohitrawat5071@gmail.com</t>
  </si>
  <si>
    <t>Lørdag kl 14:00</t>
  </si>
  <si>
    <t>ff2ce015194868540a105d9aa5be57b132ef62c987ec114d2ec123e8f2efe854</t>
  </si>
  <si>
    <t>91813dfe4830b4ca1a25ab2b282acd7f07f198febdfe6553f72d564cf0a41022</t>
  </si>
  <si>
    <t>2026-01-21T11:01:42+00:00</t>
  </si>
  <si>
    <t>18:59</t>
  </si>
  <si>
    <t>Muhammed Ouhadou</t>
  </si>
  <si>
    <t>apresis@hotmail.com</t>
  </si>
  <si>
    <t>26 januar - 30 januar</t>
  </si>
  <si>
    <t>5851a8cfb38a1854e503a9452e15d6f7e812b2e9799b8e15de98cbeb9c0a0e65</t>
  </si>
  <si>
    <t>100584caae341caad211e1799ba00e7bcf5c44c6ffb562062e56fef4d3001a1f</t>
  </si>
  <si>
    <t>2026-01-21T17:59:27+00:00</t>
  </si>
  <si>
    <t>12:26</t>
  </si>
  <si>
    <t>Arian Ahmad</t>
  </si>
  <si>
    <t>Arianahm2210@outlook.com</t>
  </si>
  <si>
    <t>Mandag 17:30</t>
  </si>
  <si>
    <t>43d120dba5c276656503f51073747f65707335d764bf529f2847c0f8013e9c7d</t>
  </si>
  <si>
    <t>0cbabf0df7779ed2a0e64b921804cf11f6ca00da1e861242b2a01aa83992c3c6</t>
  </si>
  <si>
    <t>2026-01-22T11:26:39+00:00</t>
  </si>
  <si>
    <t>12:51</t>
  </si>
  <si>
    <t>Mata Lorsanova</t>
  </si>
  <si>
    <t>lorsimata@gmail.com</t>
  </si>
  <si>
    <t>27.1-28.1-29.1 alle dager hvor det er ledig time</t>
  </si>
  <si>
    <t>glemte at hun allerede hadde time et annet sted</t>
  </si>
  <si>
    <t>23508677a4d612337883f9e1f388608ed56637c1748eb408731d4bba195c9b3d</t>
  </si>
  <si>
    <t>11572a1e4c8636cd95a3bb4f76d3d2216b7803b4b18298e04d567749ebe4fdc4</t>
  </si>
  <si>
    <t>2026-01-22T11:52:00+00:00</t>
  </si>
  <si>
    <t>07:39</t>
  </si>
  <si>
    <t>Elias Taha Haji-Idris</t>
  </si>
  <si>
    <t>aliabdok@gmail.com</t>
  </si>
  <si>
    <t>23 January 2026</t>
  </si>
  <si>
    <t>81adeca8d522106f793eb5cd7bed11d5d23fc54ae1bbc653ae6702d2d3f0eda5</t>
  </si>
  <si>
    <t>b54ba20844bbb590d21e5181f6a5b8a70309aa685744988c30f09adcc65957dc</t>
  </si>
  <si>
    <t>2026-01-23T06:39:24+00:00</t>
  </si>
  <si>
    <t>11:15</t>
  </si>
  <si>
    <t>20.02.2026</t>
  </si>
  <si>
    <t>2026-01-23T10:15:38+00:00</t>
  </si>
  <si>
    <t>17:28</t>
  </si>
  <si>
    <t>Aleksandra Savic</t>
  </si>
  <si>
    <t>sanjasav68@gmail.com</t>
  </si>
  <si>
    <t>28.01.26</t>
  </si>
  <si>
    <t>c10d92d5f445bc0115a0f6ab3b9da15f979e434fed4dbadf27d5752ab1fcc157</t>
  </si>
  <si>
    <t>000689089baef2f123820d3d6786a66887244d8f96e5d90d32290684b6aa1ebc</t>
  </si>
  <si>
    <t>2026-01-23T16:28:27+00:00</t>
  </si>
  <si>
    <t>01:45</t>
  </si>
  <si>
    <t>Stein Nordsveen</t>
  </si>
  <si>
    <t>steinnordsveen@hotmail.com</t>
  </si>
  <si>
    <t>29.01.2026</t>
  </si>
  <si>
    <t>e113bd3a5296ef7ec8b65e5bf71f4fb43d61d445e302145af00b52a615c91181</t>
  </si>
  <si>
    <t>74fa1c7cb37930a1f5e108302acd933622727bd9f8a17f87249ff2b5058265b6</t>
  </si>
  <si>
    <t>2026-01-24T00:45:46+00:00</t>
  </si>
  <si>
    <t>Lida Baroeva</t>
  </si>
  <si>
    <t>baroevalida@yahoo.no</t>
  </si>
  <si>
    <t>29.01.2026 kl 15.00</t>
  </si>
  <si>
    <t>b7aa7bab6daea46248671d2a687a8f887cb02c18bbde900d1c5b39100b4bb9dc</t>
  </si>
  <si>
    <t>329596e11d2d391edd24bb968fe4af55c11d96318f3a9edf3cfe37bd112a975b</t>
  </si>
  <si>
    <t>2026-01-24T08:07:21+00:00</t>
  </si>
  <si>
    <t>Trine Eriksen</t>
  </si>
  <si>
    <t>trineieriksen@hotmail.com</t>
  </si>
  <si>
    <t>28 januar etter kl.17</t>
  </si>
  <si>
    <t>e066008fe1d200fdd699af428adcd9e4738ef36b26dff6007cab9c84dd58c63e</t>
  </si>
  <si>
    <t>338ce40a71897d8475a3a86b616be015e50ef539238d1d8ae9fa182622dfc39a</t>
  </si>
  <si>
    <t>2026-01-24T10:26:40+00:00</t>
  </si>
  <si>
    <t>13:12</t>
  </si>
  <si>
    <t>Elisa Nguyen</t>
  </si>
  <si>
    <t>elisanguyen0708@gmail.com</t>
  </si>
  <si>
    <t>28.01.2026 kl. 15</t>
  </si>
  <si>
    <t>6238222958f01f3f9b0417cbcda54360baf59242ba64017f6b61a6d6736d5b30</t>
  </si>
  <si>
    <t>211c662b25532b02addc3fcef998786d46aae3e01232c3d705fa3fec245f6026</t>
  </si>
  <si>
    <t>2026-01-26T12:12:44+00:00</t>
  </si>
  <si>
    <t>14:51</t>
  </si>
  <si>
    <t>Samuella</t>
  </si>
  <si>
    <t>samuella.bibare@outlook.com</t>
  </si>
  <si>
    <t>d751f6aab2c20886f9383feb9c95a92eb28f3cd91f6c409bc09fabea48ccaa97</t>
  </si>
  <si>
    <t>ab75f5d6c63ca62ecec50e2ab47548f64fd554414335e05d2402f5a2245a057f</t>
  </si>
  <si>
    <t>2026-01-26T13:51:55+00:00</t>
  </si>
  <si>
    <t>18:02</t>
  </si>
  <si>
    <t>Luna Mussie</t>
  </si>
  <si>
    <t>luna_lie03@icloud.com</t>
  </si>
  <si>
    <t>29</t>
  </si>
  <si>
    <t>ringer tilbake</t>
  </si>
  <si>
    <t>946d23c05650d80fe45fc1adf68e6cad7b889fd04d23b388eb33416dc41c8fbf</t>
  </si>
  <si>
    <t>631b3eef645ca61f4f74bfe0e5fbe8429f17148f2348623888887088d7389ba6</t>
  </si>
  <si>
    <t>2026-01-26T17:02:20+00:00</t>
  </si>
  <si>
    <t>19:38</t>
  </si>
  <si>
    <t>SheamA</t>
  </si>
  <si>
    <t>sheama_a84@hotmail.com</t>
  </si>
  <si>
    <t>28.1.2026</t>
  </si>
  <si>
    <t>7417f3be649ab7547230c550579c5f8f30569affeb1318500584d67d0173e21e</t>
  </si>
  <si>
    <t>937c015962b3e51e30cdafc63dcdaf84c506e45a4f5d9740dabe7770efab42d0</t>
  </si>
  <si>
    <t>2026-01-26T18:38:14+00:00</t>
  </si>
  <si>
    <t>10:33</t>
  </si>
  <si>
    <t>Nejirvan Abdullah</t>
  </si>
  <si>
    <t>nejo93@live.no</t>
  </si>
  <si>
    <t>Alle dager</t>
  </si>
  <si>
    <t>67b94b7b0056a4601e784dde8bad1128389af1a96495e62b35d8e17966ea4d49</t>
  </si>
  <si>
    <t>da2aaeedb480267620b9c9044435d9ddb86886c410b1e63c569482a04f75f6e6</t>
  </si>
  <si>
    <t>2026-01-27T09:33:41+00:00</t>
  </si>
  <si>
    <t>04:09</t>
  </si>
  <si>
    <t>Ismail Shala</t>
  </si>
  <si>
    <t>i.shala121@gmail.com</t>
  </si>
  <si>
    <t>10.02.2026</t>
  </si>
  <si>
    <t>CP5161 img=tartar3&amp;h1=time3</t>
  </si>
  <si>
    <t>1449b5e32446efdb74979bfeedfc8e3db12f388769e81f0d385c7ae44d53f324</t>
  </si>
  <si>
    <t>2e17dde5aa9b676ae03d53f4adfae1f9fb6c493730c8745b761d362df979efcb</t>
  </si>
  <si>
    <t>2026-02-01T03:09:01+00:00</t>
  </si>
  <si>
    <t>11:18</t>
  </si>
  <si>
    <t>Adam Carlsson</t>
  </si>
  <si>
    <t>adamc@getmail.no</t>
  </si>
  <si>
    <t>Lørdag 7.februar</t>
  </si>
  <si>
    <t>CV2010 h1=loca1</t>
  </si>
  <si>
    <t>3ec770d28b388860a8e82e1b01c5fe5f75b46634fe01d8a640d6e3a9262a583e</t>
  </si>
  <si>
    <t>2c2201b9b731348d369caf2ca0caa9067e5ad13eb337cd5c8925d675b2808ef3</t>
  </si>
  <si>
    <t>2026-02-01T10:18:41+00:00</t>
  </si>
  <si>
    <t>11:33</t>
  </si>
  <si>
    <t>Orhan simsek</t>
  </si>
  <si>
    <t>orhan_simsek94@hotmail.com</t>
  </si>
  <si>
    <t>05.02.26</t>
  </si>
  <si>
    <t>efedda647d3c8386b8f1a6df48dd65cbcf846e60c688d92739d883c8ad1c6da0</t>
  </si>
  <si>
    <t>839f508726227d8f1dd0a59face420098c6998b2fa4660991474306e43d44b15</t>
  </si>
  <si>
    <t>2026-02-01T10:33:46+00:00</t>
  </si>
  <si>
    <t>03:55</t>
  </si>
  <si>
    <t>Neema Myren</t>
  </si>
  <si>
    <t>katimjoymyren@gmail.com</t>
  </si>
  <si>
    <t>04.02.2026</t>
  </si>
  <si>
    <t>91dfef58f14c0304bd87c5a2ec63686fa2dd6f564794e293b870ae9c422de3c7</t>
  </si>
  <si>
    <t>6b55a7814f35f2af13656b90bfc630433d2a68a12275f4cd12b8a86733b6a5d9</t>
  </si>
  <si>
    <t>2026-02-02T02:55:58+00:00</t>
  </si>
  <si>
    <t>20:09</t>
  </si>
  <si>
    <t>Mellorine Jonas</t>
  </si>
  <si>
    <t>mell.jonas27@gmail.com</t>
  </si>
  <si>
    <t>2nd  February 2026</t>
  </si>
  <si>
    <t>947612a448664b0af0c90c2ce4913151e997192c64172ebd21c57fc397e844cf</t>
  </si>
  <si>
    <t>ff8ba8e50cba8d8159dd4df2a0f02d8877d2a9f7509bac2448fd4f38dfaa9022</t>
  </si>
  <si>
    <t>2026-02-02T19:09:55+00:00</t>
  </si>
  <si>
    <t>01:05</t>
  </si>
  <si>
    <t>Marit Askeland</t>
  </si>
  <si>
    <t>maritbeateaskeland@yahoo.no</t>
  </si>
  <si>
    <t>13/2</t>
  </si>
  <si>
    <t xml:space="preserve">Ønsker å ringe tilbake for å bestille time. </t>
  </si>
  <si>
    <t>783a1f60fdf1b9a0c1439e48f803253d3b0ef19119db572bedd353a1d7b7607a</t>
  </si>
  <si>
    <t>5abc1eeffb049c66db3615adea80a9f8f0e2a03a4874f0ef92ff89ae8c82b264</t>
  </si>
  <si>
    <t>2026-02-03T00:05:09+00:00</t>
  </si>
  <si>
    <t>09:31</t>
  </si>
  <si>
    <t>Shahla Sultani</t>
  </si>
  <si>
    <t>sultanishahla@hotmail.com</t>
  </si>
  <si>
    <t>02.03.2026</t>
  </si>
  <si>
    <t>bdd6b1e9aaa27e2e481d6b16bff1e69f221e7a53d83372adbc3c1fc102f7bbd3</t>
  </si>
  <si>
    <t>e3884328bb7c3078408ad921cd94c11e66f594c9d9a17a85e63f16511dac89d9</t>
  </si>
  <si>
    <t>2026-02-03T08:31:30+00:00</t>
  </si>
  <si>
    <t>00:45</t>
  </si>
  <si>
    <t>Ahmed Ahmed</t>
  </si>
  <si>
    <t>abaha015@hotmail.com</t>
  </si>
  <si>
    <t>20 februar</t>
  </si>
  <si>
    <t>ce51a34a03f9167dd5feb659852f1b3e0338bcf53ce617d68b67baa8af226bc7</t>
  </si>
  <si>
    <t>a99de8470b84bd8cc551a4f516a52e5ff12ca0e1cd691a560c0f39b2f3a58720</t>
  </si>
  <si>
    <t>2026-02-03T23:45:58+00:00</t>
  </si>
  <si>
    <t>07:53</t>
  </si>
  <si>
    <t>Hayat Kharazi</t>
  </si>
  <si>
    <t>hayat@oslomet.no</t>
  </si>
  <si>
    <t>Onsdag kl.13</t>
  </si>
  <si>
    <t>d1a641b528045c8b150ea18bd6e5fc1ed5e2d480dc6f4d37a71aa7cf37ff8036</t>
  </si>
  <si>
    <t>3ce8d8934d8923ae6efb6f0883604173b68c2e349c2e4afff36818e73331affa</t>
  </si>
  <si>
    <t>2026-02-04T06:53:12+00:00</t>
  </si>
  <si>
    <t>08:41</t>
  </si>
  <si>
    <t>Susan Emily Engebretsen</t>
  </si>
  <si>
    <t>susan.emily.e@gmail.com</t>
  </si>
  <si>
    <t>16 februar kl:11:00</t>
  </si>
  <si>
    <t>CV9802 img=flow3</t>
  </si>
  <si>
    <t>93c8fa4975e5ddf44b069add33de0418029adf449e16787a664706bec24f08f2</t>
  </si>
  <si>
    <t>6daeb69556246c71ac9ff2105ad9295b2ed9d0df2be9128d7303f37850b306fd</t>
  </si>
  <si>
    <t>2026-02-05T07:41:32+00:00</t>
  </si>
  <si>
    <t>09:00</t>
  </si>
  <si>
    <t>Stian Sveen</t>
  </si>
  <si>
    <t>standman@online.no</t>
  </si>
  <si>
    <t>6.februar</t>
  </si>
  <si>
    <t>fdc6c5c50518eb9a394ff95eb603a31936e83c0bc8cef0a0b2d24010ec644a8b</t>
  </si>
  <si>
    <t>fda74c26a7d6ccb3129261fbf48d8cdb23f80fed5ffaed8300aa83fc5bc106a0</t>
  </si>
  <si>
    <t>2026-02-05T08:00:01+00:00</t>
  </si>
  <si>
    <t>12:50</t>
  </si>
  <si>
    <t>Paula Wodyk</t>
  </si>
  <si>
    <t>paula87-w@wp.pl</t>
  </si>
  <si>
    <t>Februar</t>
  </si>
  <si>
    <t>0fac143e95519e9d76012441ebe3db424d1506dea2bb43c9419933530dbddc94</t>
  </si>
  <si>
    <t>dc908e025d6baf4e1a401e2ef6abd4b633542e7a37f816496a02a240285dbb27</t>
  </si>
  <si>
    <t>2026-02-05T11:50:36+00:00</t>
  </si>
  <si>
    <t>11:01</t>
  </si>
  <si>
    <t>Wioletta Guzeska</t>
  </si>
  <si>
    <t>wioletta.guzeska@gmail.com</t>
  </si>
  <si>
    <t>6.02.2026, 10.02.2026</t>
  </si>
  <si>
    <t>33c4683ab89be4ad7fafe4dd1b6536a260236337c14c46c64fabfad35723700e</t>
  </si>
  <si>
    <t>36efd26fc3809e5021149033e3304183440003ab98efdc3a56a80f57d8548f3c</t>
  </si>
  <si>
    <t>2026-02-06T10:01:22+00:00</t>
  </si>
  <si>
    <t>12:02</t>
  </si>
  <si>
    <t>Amina Sharif Osman</t>
  </si>
  <si>
    <t>israsharaf@hotmail.com</t>
  </si>
  <si>
    <t>10.02.26 18:00</t>
  </si>
  <si>
    <t>c9a7f840bda710d0c823f57eac9e3922b4520dc37a5f7b0f7bd525fb3197ac66</t>
  </si>
  <si>
    <t>345afa2c91044ef1a4a57b268c4feb870cc3ae6ecfafe2d7d0a6540a0050a3b1</t>
  </si>
  <si>
    <t>2026-02-06T11:02:38+00:00</t>
  </si>
  <si>
    <t>13:00</t>
  </si>
  <si>
    <t>Zakaria Alhamad</t>
  </si>
  <si>
    <t>zakaria285396@gmail.com</t>
  </si>
  <si>
    <t>Jeg ønsker time 16.02.2026. Etter kl. 12.30</t>
  </si>
  <si>
    <t>a90c70fdd2e6d7e540e3de768c53a698efcf35c4b9e3a8eb02f838f9de67a2f7</t>
  </si>
  <si>
    <t>683b4be47f6abecdd0550401f8526888a63de16c4a8bd425dc76f61413b9949e</t>
  </si>
  <si>
    <t>2026-02-06T12:00:46+00:00</t>
  </si>
  <si>
    <t>20:13</t>
  </si>
  <si>
    <t>Marius Pedersen</t>
  </si>
  <si>
    <t>mariuspedersen2003@yahoo.no</t>
  </si>
  <si>
    <t>12. februar kl 17</t>
  </si>
  <si>
    <t>e5783e58eb46c4715d6d3e29e9198d63fe32ebc09db255c68cbe3daa41d23a76</t>
  </si>
  <si>
    <t>1a28842546e403178a73b091ca6d0598c071e4f1ed45b93dc91e162c19a1e707</t>
  </si>
  <si>
    <t>2026-02-08T19:13:59+00:00</t>
  </si>
  <si>
    <t>23:48</t>
  </si>
  <si>
    <t>Amin Hassan</t>
  </si>
  <si>
    <t>amin1912@hotmail.no</t>
  </si>
  <si>
    <t>14.02.2026</t>
  </si>
  <si>
    <t>CV9801 img=flow3</t>
  </si>
  <si>
    <t>83004b431b848fb7b320a59aaad853d4d5862bf7e3c0d37fbf1afadfd997675f</t>
  </si>
  <si>
    <t>7ff0ef7fc12ca063a0960e951b1c11494c7b5b52afd2d7ec32208dc33f8fd528</t>
  </si>
  <si>
    <t>2026-02-08T22:48:34+00:00</t>
  </si>
  <si>
    <t>06:50</t>
  </si>
  <si>
    <t>Ada Eker</t>
  </si>
  <si>
    <t>adageest@gmail.com</t>
  </si>
  <si>
    <t>Onsdag 18 februar 17:00</t>
  </si>
  <si>
    <t>7fa8a8b4537d1fd0cff47131b81df64123c9dce8b2b34a783b5194a9eeb2a8aa</t>
  </si>
  <si>
    <t>7b8a2c7f58532cd984bfd85728cb0d0c7fc21544c51f4c69e440a5af88b71e59</t>
  </si>
  <si>
    <t>2026-02-09T05:50:24+00:00</t>
  </si>
  <si>
    <t>13:05</t>
  </si>
  <si>
    <t>Joan Rose Gonzales</t>
  </si>
  <si>
    <t>joanv_gonzales@yahoo.no</t>
  </si>
  <si>
    <t>13.02.2026</t>
  </si>
  <si>
    <t>e77bc61cf0aafe88b9c55329e433ca351fef8a7d972217650ee5defebd2ce28f</t>
  </si>
  <si>
    <t>7d181400ef4c9c3bc063d2f8bab77986372a3301424cb30de50055a8b98195ac</t>
  </si>
  <si>
    <t>2026-02-09T12:05:27+00:00</t>
  </si>
  <si>
    <t>Irene Torkildsen</t>
  </si>
  <si>
    <t>irene.torkildsen@iloop.no</t>
  </si>
  <si>
    <t>28.02.26</t>
  </si>
  <si>
    <t>La på midt i samtalen, ønsket time på en lørdag</t>
  </si>
  <si>
    <t>142a5b5c1fd56e0b71bd314022378d5fa59102c7ea84221294d02d81b3f73a28</t>
  </si>
  <si>
    <t>ab6c07b9fe0561e4634fe90ea4408131a8d17952a094cf39d4469ffb9367d6cd</t>
  </si>
  <si>
    <t>2026-02-09T14:37:01+00:00</t>
  </si>
  <si>
    <t>15:56</t>
  </si>
  <si>
    <t>Vivi Ranheim</t>
  </si>
  <si>
    <t>viviranheim@gmail.com</t>
  </si>
  <si>
    <t>16.02</t>
  </si>
  <si>
    <t>4bb033932146f3773ef01b482a4444bdfb865864cb483c7b178327a993737f05</t>
  </si>
  <si>
    <t>fd4e35a8519ed8dbd47f75fe1e1ebc5f224697af860f7c26dbc9bf106346e886</t>
  </si>
  <si>
    <t>2026-02-09T14:56:11+00:00</t>
  </si>
  <si>
    <t>17:30</t>
  </si>
  <si>
    <t>Madeleine Melum</t>
  </si>
  <si>
    <t>madmel3001@yahoo.no</t>
  </si>
  <si>
    <t>Når som helst, så lenge det er etter 18 i hverdagen.</t>
  </si>
  <si>
    <t>8fba89355b8b6106b9199ee8f1467c00af0c22bf03b3afbb4823bbfb04cd8273</t>
  </si>
  <si>
    <t>9d4b5eedd9f4a173472a51b7db46d81ccdaf7fe0e1bb010cdef719610f286c16</t>
  </si>
  <si>
    <t>2026-02-09T16:30:14+00:00</t>
  </si>
  <si>
    <t>08:39</t>
  </si>
  <si>
    <t>Trude Johansen</t>
  </si>
  <si>
    <t>tbjoha@gmail.com</t>
  </si>
  <si>
    <t>17 februar</t>
  </si>
  <si>
    <t>CV2016 h1=loca1</t>
  </si>
  <si>
    <t>50f5d65a74212ef7bf0e9763929d3a4939802589776e8e0d0b8620cb5544fcbd</t>
  </si>
  <si>
    <t>97db1d6019f1f899d50e62ef06ce24de40f0291d6cdc009133e7c6d12d1a0228</t>
  </si>
  <si>
    <t>2026-02-10T07:39:20+00:00</t>
  </si>
  <si>
    <t>11:22</t>
  </si>
  <si>
    <t>Shelan Ahmed</t>
  </si>
  <si>
    <t>shelan@live.no</t>
  </si>
  <si>
    <t>Søndag 15:00</t>
  </si>
  <si>
    <t>7d075b3f10c4e0803a95affff0867d695a9ec0561e54ea08570dae88e3a6ca11</t>
  </si>
  <si>
    <t>4487cc6856ed336f66ed2775f18bda12cf8628cf6e753c5d51a11bd1c2cbfcfc</t>
  </si>
  <si>
    <t>2026-02-10T10:22:51+00:00</t>
  </si>
  <si>
    <t>06:41</t>
  </si>
  <si>
    <t>Weini</t>
  </si>
  <si>
    <t>weininugusse@yahoo.com</t>
  </si>
  <si>
    <t>12/2/2024</t>
  </si>
  <si>
    <t>99064224d38c5db52a17d724bf53b8d00968c2ab4ca0ce0b244a29e69b3ddb97</t>
  </si>
  <si>
    <t>b00155a4b375139564ba3ecf5743d815b2f679ba4981516d66714e1b9d96293a</t>
  </si>
  <si>
    <t>2026-02-11T05:41:37+00:00</t>
  </si>
  <si>
    <t>09:01</t>
  </si>
  <si>
    <t>Ghina harmouche</t>
  </si>
  <si>
    <t>ghinaharmouche1@outlook.com</t>
  </si>
  <si>
    <t>Lørdag 14.02.2026 kl 16:00</t>
  </si>
  <si>
    <t>94f3e1b419311526ab6730d3d83fd4c1a1a4cf16c4c30c9d3f75287732d90bc7</t>
  </si>
  <si>
    <t>ee11a0b7b2bb61294442999a19ccfca48bd31fe3399a91bddd466127e270f8f2</t>
  </si>
  <si>
    <t>2026-02-11T08:01:21+00:00</t>
  </si>
  <si>
    <t>14:42</t>
  </si>
  <si>
    <t>Lisbeth Bråteng</t>
  </si>
  <si>
    <t>64lisbeth@gmail.com</t>
  </si>
  <si>
    <t>18.02.2026</t>
  </si>
  <si>
    <t>72f1a569003251bf8047094756b8b08077f86ce4e7e856dd59bddbc9e0ce218f</t>
  </si>
  <si>
    <t>d89f3907adc22380b249ae952020e04591a45d4ea3830bfd4885fbb572ec5fc9</t>
  </si>
  <si>
    <t>2026-02-11T13:42:30+00:00</t>
  </si>
  <si>
    <t>20:14</t>
  </si>
  <si>
    <t>Wegahta Tsegay</t>
  </si>
  <si>
    <t>wegahta916@yahoo.com</t>
  </si>
  <si>
    <t>20,02,2026</t>
  </si>
  <si>
    <t>e1a730c36021a1d81d41792aff4c18ca6c886586211b398831226762df2b2647</t>
  </si>
  <si>
    <t>488e349f22c222ab0544582302530b2bc0db53e58ef0108614e17b17012e1ffb</t>
  </si>
  <si>
    <t>2026-02-11T19:14:35+00:00</t>
  </si>
  <si>
    <t>Nina</t>
  </si>
  <si>
    <t>nina_gade@icloud.com</t>
  </si>
  <si>
    <t>Må sjekke turnus, tar kontakt selv</t>
  </si>
  <si>
    <t>0a35410a9ada772ff49892c24d54cd7c1d3279284b63435c39fe32b7625b7468</t>
  </si>
  <si>
    <t>c28c1a6095666441df60ff58942662c636146f5a59b460bd0ce7490875679b2f</t>
  </si>
  <si>
    <t>2026-02-11T22:01:35+00:00</t>
  </si>
  <si>
    <t>23:16</t>
  </si>
  <si>
    <t>Ringer opp selv når hun finner ut tidrspunkt med jobben</t>
  </si>
  <si>
    <t>2026-02-11T22:16:42+00:00</t>
  </si>
  <si>
    <t>15:15</t>
  </si>
  <si>
    <t>FRANCIS Mareyampillai</t>
  </si>
  <si>
    <t>shatees_18@hotmail.com</t>
  </si>
  <si>
    <t>16.02.26</t>
  </si>
  <si>
    <t>ae18c9e431168aba5a763385a8b543ef8f7ef4c105f9ecdd314bf4f35fb6508a</t>
  </si>
  <si>
    <t>da550716d86571425ffb5c29bb73272340286f3f4cc69742a0e9e86b429ac170</t>
  </si>
  <si>
    <t>2026-02-12T14:15:20+00:00</t>
  </si>
  <si>
    <t>01:51</t>
  </si>
  <si>
    <t>Sascha Hansen</t>
  </si>
  <si>
    <t>saschath981@gmail.com</t>
  </si>
  <si>
    <t>18.02.26</t>
  </si>
  <si>
    <t>c908a745da62fa1c33caa1a0dbd2cdd66fa1f3732083195b01502f66d96be90a</t>
  </si>
  <si>
    <t>8895d0f97789b320b0d9356b5c4b9172cd5ecaa9d2a5adc21e676665aeec9ed1</t>
  </si>
  <si>
    <t>2026-02-13T00:51:42+00:00</t>
  </si>
  <si>
    <t>Celina Halim</t>
  </si>
  <si>
    <t>celinahalim03@gmail.com</t>
  </si>
  <si>
    <t>22.02.26/ 21.02.26/20.02.26</t>
  </si>
  <si>
    <t>2da52ddef1d019099a0b406d17714b644f74221bb9ae17e3b4f0aefeea8c6b6d</t>
  </si>
  <si>
    <t>b3c11691122827231b56375bd1ebbf96bee9d65f9d83f0069401d4a482e9520b</t>
  </si>
  <si>
    <t>2026-02-13T16:05:01+00:00</t>
  </si>
  <si>
    <t>21:09</t>
  </si>
  <si>
    <t>Samuel Alem</t>
  </si>
  <si>
    <t>samuel_alem@hotmail.com</t>
  </si>
  <si>
    <t>18/02/26</t>
  </si>
  <si>
    <t>58c6956b9f1d732fefee6199c3a93fadff5b9cc5f7d632d7d418052582f1e509</t>
  </si>
  <si>
    <t>3cd9fd1a314bca75c407e10e6c8b8a9cadb54c75fc091f85f116e4573e09893f</t>
  </si>
  <si>
    <t>2026-02-13T20:09:16+00:00</t>
  </si>
  <si>
    <t>21:30</t>
  </si>
  <si>
    <t>Lina Iversen</t>
  </si>
  <si>
    <t>linaiversen83@gmail.com</t>
  </si>
  <si>
    <t>270226</t>
  </si>
  <si>
    <t>Sendt e-post 16.03.2026</t>
  </si>
  <si>
    <t>94392349d0bc84779fbc868d8b7b22f24f04100c30ca42077508c70743e6a16c</t>
  </si>
  <si>
    <t>dfb1d324288f8cf7eab30a4eeea59e8e359baac44da84de41a67aaaed3efcf4e</t>
  </si>
  <si>
    <t>2026-02-13T20:30:08+00:00</t>
  </si>
  <si>
    <t>09:39</t>
  </si>
  <si>
    <t>Gill</t>
  </si>
  <si>
    <t>sanaqadir10@gmail.com</t>
  </si>
  <si>
    <t>Skulle bestille for mannen sin, men han ringer selv tilbake etter vinterferie</t>
  </si>
  <si>
    <t>CV9130 img=tartar3&amp;h1=time3</t>
  </si>
  <si>
    <t>71d2013dc632aabc3e06d34be88229a1feece0a58e3840adde30797259907742</t>
  </si>
  <si>
    <t>6de902ab3273f794bcb097bcbf0763d92350eb49a60d4d30148d78a7dfba9e1a</t>
  </si>
  <si>
    <t>2026-02-14T08:39:41+00:00</t>
  </si>
  <si>
    <t>09:58</t>
  </si>
  <si>
    <t>Tone Nygaard</t>
  </si>
  <si>
    <t>tonenygaard74@gmail.com</t>
  </si>
  <si>
    <t>Tirsdag 24. februar</t>
  </si>
  <si>
    <t>1c92b83b0457448dd4593aa6b7c3be805c895af85b52bb2ddb32e5e01e8315e3</t>
  </si>
  <si>
    <t>441900486bd17431bc246d888f8017bb5abf4f19126983b56677064b2d0b0716</t>
  </si>
  <si>
    <t>2026-02-14T08:58:54+00:00</t>
  </si>
  <si>
    <t>10:15</t>
  </si>
  <si>
    <t>Jusra Mohamed Mire</t>
  </si>
  <si>
    <t>jusra_m3@hotmail.com</t>
  </si>
  <si>
    <t>Torsdag 19.2 kl.08:00</t>
  </si>
  <si>
    <t>7337b651dec9a178323b50f471ad45bac5482bedea7c3b640a19578934df35d9</t>
  </si>
  <si>
    <t>3cec0f2fd091fbfdb5287e37f9006da3371fb0eb5343b40df57c3ce904ff0e56</t>
  </si>
  <si>
    <t>2026-02-14T09:15:24+00:00</t>
  </si>
  <si>
    <t>Remedios Galvez Santos</t>
  </si>
  <si>
    <t>remy.gs@icloud.com</t>
  </si>
  <si>
    <t>24.02.26</t>
  </si>
  <si>
    <t>e8d7495f16962cf18091517ff805d4698ddb9fc784b1630860dd5809ecd0c726</t>
  </si>
  <si>
    <t>9eca1368a4256b3d08b41ca7eb576b51e3ddafae1c95f0dfdb7b0a610bb25e85</t>
  </si>
  <si>
    <t>2026-02-14T12:07:39+00:00</t>
  </si>
  <si>
    <t>05:41</t>
  </si>
  <si>
    <t>Abdul Ghafoor</t>
  </si>
  <si>
    <t>aghafoor33@hotmail.com</t>
  </si>
  <si>
    <t>21.02.2026 kl.11:00</t>
  </si>
  <si>
    <t>8148f316a70374e666e03a1aa2f0877f33fdb79b5c01a02127181404f57c296f</t>
  </si>
  <si>
    <t>900032b40501c865743b2505b748fd588aa35e69f1f5c6203951b1624f0281db</t>
  </si>
  <si>
    <t>2026-02-16T04:41:01+00:00</t>
  </si>
  <si>
    <t>Ha Nguyen</t>
  </si>
  <si>
    <t>hanguyen2408@hotmail.com</t>
  </si>
  <si>
    <t>5ce53bb5fed143e284ced090e3de55ff9af218dc560575d1f6af71842d49ca28</t>
  </si>
  <si>
    <t>e903d21bd477a506e0fcf6c3454fcdf2f9dd9208ef40002907a63e184e2aaabf</t>
  </si>
  <si>
    <t>2026-02-16T09:22:53+00:00</t>
  </si>
  <si>
    <t>17:50</t>
  </si>
  <si>
    <t>Ingrid Storløkken</t>
  </si>
  <si>
    <t>ingstorlokken@hotmail.com</t>
  </si>
  <si>
    <t>260226</t>
  </si>
  <si>
    <t>Sendt e-post</t>
  </si>
  <si>
    <t>c5a27b7082edb9e06bebe1a1fca38f9a26312d719583ca887cb34ff741047116</t>
  </si>
  <si>
    <t>10cf5f309862b1f1479bb647227831a9aad2f156b0965c1dede91d2dcdaa5598</t>
  </si>
  <si>
    <t>2026-02-16T16:50:09+00:00</t>
  </si>
  <si>
    <t>20:43</t>
  </si>
  <si>
    <t>Sabita Tamang</t>
  </si>
  <si>
    <t>sabitat852@gmail.com</t>
  </si>
  <si>
    <t>03-03-2026</t>
  </si>
  <si>
    <t>82b0919a88d9ba0ebeb5dc0e028d73393aa110f249b45c236f0d9e3d41900b3a</t>
  </si>
  <si>
    <t>c0f64471fccb81fb9912a1f2fdfa01b4c28caf79bef2ba92fe4a401ec175c504</t>
  </si>
  <si>
    <t>2026-02-16T19:43:15+00:00</t>
  </si>
  <si>
    <t>21:32</t>
  </si>
  <si>
    <t>Ch Javed Sadatpur</t>
  </si>
  <si>
    <t>javedakht42@gmail.com</t>
  </si>
  <si>
    <t>18.2.26 ca kl 16</t>
  </si>
  <si>
    <t>2f58c324e81d93035a46a15c006a697e53fed511693a2dc258f629b0d1ee3d19</t>
  </si>
  <si>
    <t>2f45263aca21243685a769a842a92a672213f26bc45cd1f2158740c963b758c0</t>
  </si>
  <si>
    <t>2026-02-16T20:32:54+00:00</t>
  </si>
  <si>
    <t>06:48</t>
  </si>
  <si>
    <t>Wenche Sandy pettersen</t>
  </si>
  <si>
    <t>wenche.sandy@gmail.com</t>
  </si>
  <si>
    <t>CV2014 h1=loca1</t>
  </si>
  <si>
    <t>ce064ceaba8b788d4d5c92759afb0d0cf36792ddaabe586bad53b1397c4d53b6</t>
  </si>
  <si>
    <t>db10b50a48abcc85348ec5ec1104e24fb468a0035092fb8799f5e7f322a492a7</t>
  </si>
  <si>
    <t>2026-02-18T05:48:30+00:00</t>
  </si>
  <si>
    <t>12:16</t>
  </si>
  <si>
    <t>Elizabeth Moltzau</t>
  </si>
  <si>
    <t>elizabethhtoo@gmail.com</t>
  </si>
  <si>
    <t>19.​02.2026</t>
  </si>
  <si>
    <t>c34435f84ce976d12a05853e9c5d9b4342922a5746190de9261176ca7d9806a5</t>
  </si>
  <si>
    <t>b81dbf6c47e34dbef593443c4da5e80aa36edd25f0e21b883188dc4189eff0c5</t>
  </si>
  <si>
    <t>2026-02-18T11:16:03+00:00</t>
  </si>
  <si>
    <t>Siddra Ahmed</t>
  </si>
  <si>
    <t>siddra1104@outlook.com</t>
  </si>
  <si>
    <t>21. mars</t>
  </si>
  <si>
    <t>Vil tenke på det litt, ringer opp selv</t>
  </si>
  <si>
    <t>44707f9ccc3853e78ab12a6e87faf28e745a1446e73ca334e16409d4dc38eba8</t>
  </si>
  <si>
    <t>4b83e290189556672d99bf79921fbfe79a0fb400731122466a7d10b8ab232209</t>
  </si>
  <si>
    <t>2026-02-19T11:26:11+00:00</t>
  </si>
  <si>
    <t>20:21</t>
  </si>
  <si>
    <t>Siri-Beate Hanssen</t>
  </si>
  <si>
    <t>siri.beate.hagen@gmail.com</t>
  </si>
  <si>
    <t>20.02</t>
  </si>
  <si>
    <t>db0542a8ec46c9d0e2da27ece13c524272889ce9e542110884596acb351d2ef7</t>
  </si>
  <si>
    <t>5ef66e9268593d32a0c45aaea7df8197b2d0a1ea6868ed681e041b81df520060</t>
  </si>
  <si>
    <t>2026-02-19T19:21:46+00:00</t>
  </si>
  <si>
    <t>08:14</t>
  </si>
  <si>
    <t>Vigdis Hallingstad</t>
  </si>
  <si>
    <t>vigdishat@hotmail.gr</t>
  </si>
  <si>
    <t>24/02/26</t>
  </si>
  <si>
    <t>c528d8ea90d47c150dbe5321f5ee7b5115dd3be5629d24e2d483d410c93d847e</t>
  </si>
  <si>
    <t>d103959f5b9a058121e1e7b848966e0feacb86b04aabd740e79b6a146a0b2ece</t>
  </si>
  <si>
    <t>2026-02-20T07:14:19+00:00</t>
  </si>
  <si>
    <t>Okasha Rashid</t>
  </si>
  <si>
    <t>okasha1990@gmail.com</t>
  </si>
  <si>
    <t>5.mars</t>
  </si>
  <si>
    <t>f3bbec7a00bd8897f1df88a5e2d139b966cde5667bc2a95588fd9c3369a24fb9</t>
  </si>
  <si>
    <t>0a4b47311f93a57e00104347c9da20592c6471f21a54924f79cfbe689fb063b2</t>
  </si>
  <si>
    <t>2026-02-20T08:05:08+00:00</t>
  </si>
  <si>
    <t>Anastasiya Druyan</t>
  </si>
  <si>
    <t>ana-dru@outlook.com</t>
  </si>
  <si>
    <t>10.03.2026</t>
  </si>
  <si>
    <t>CV3011 img=tartar3&amp;h1=time3</t>
  </si>
  <si>
    <t>6464ee72fc7336dedef57476fea17d4dab5c3775632cdbf87416e542aaf24cbc</t>
  </si>
  <si>
    <t>dcb78d3589df092ea76e50f5fc0575a9806d1090cbf2ebbbca47dcd517b26394</t>
  </si>
  <si>
    <t>2026-02-20T08:08:54+00:00</t>
  </si>
  <si>
    <t>Others</t>
  </si>
  <si>
    <t>09:14</t>
  </si>
  <si>
    <t>Ronald Santos</t>
  </si>
  <si>
    <t>nadz_ian333@yahoo.com</t>
  </si>
  <si>
    <t>26.02.2026 kl. 11:00</t>
  </si>
  <si>
    <t>Skal sjekke opp timeplanen sin</t>
  </si>
  <si>
    <t>CV9159 img=flow3</t>
  </si>
  <si>
    <t>19ee5fcb7e6e9d06894e6ef544747ba33ecd2977344f769a08b673495cc3e509</t>
  </si>
  <si>
    <t>42e3d4590a910db46245f0a5ecc7d9954ee17ed882a92cc09505e255c1389d90</t>
  </si>
  <si>
    <t>2026-02-20T08:14:36+00:00</t>
  </si>
  <si>
    <t>14:16</t>
  </si>
  <si>
    <t>Cecilie Bergli</t>
  </si>
  <si>
    <t>cecilie.sorensen@hotmail.no</t>
  </si>
  <si>
    <t>Kveldstid, 23.02, 25.02, 26.02, 27,02, 28.02,</t>
  </si>
  <si>
    <t>9724a39c8f173e81f32e8fe4a5f37674032cbab0748ce660537b6926f9ed6919</t>
  </si>
  <si>
    <t>675ef604f33d5667a0c50060c9b75723c4e3cd8d686d72a433ea024b094e84ae</t>
  </si>
  <si>
    <t>2026-02-20T13:16:05+00:00</t>
  </si>
  <si>
    <t>26.02.2026</t>
  </si>
  <si>
    <t>2026-02-21T03:41:27+00:00</t>
  </si>
  <si>
    <t>08:50</t>
  </si>
  <si>
    <t>Torill Hege Eriksen</t>
  </si>
  <si>
    <t>torill.h.eriksen@gmail.com</t>
  </si>
  <si>
    <t>25.02</t>
  </si>
  <si>
    <t>bec6ddea73f75428c192abc1c6d020414be72a654c7500c1757b290efcd63dbc</t>
  </si>
  <si>
    <t>8d7d910cfa5005fa402100eb510ba9b1637dbbe6615d2a110be041e825bb839c</t>
  </si>
  <si>
    <t>2026-02-21T07:50:26+00:00</t>
  </si>
  <si>
    <t>02:00</t>
  </si>
  <si>
    <t>Remi-Andre Adolfsen</t>
  </si>
  <si>
    <t>remiadolfsen@hotmail.com</t>
  </si>
  <si>
    <t>26. februar 2026</t>
  </si>
  <si>
    <t>d74cf76ce74ce646ce70995e756e253224d2519c5d51e1337c541fcb57cf53b5</t>
  </si>
  <si>
    <t>3248ea68926cb6df87596485c532e09572d95ae4aff0f0a8317de5c52ecf741a</t>
  </si>
  <si>
    <t>2026-02-22T01:00:18+00:00</t>
  </si>
  <si>
    <t>07:46</t>
  </si>
  <si>
    <t>Sebastian Maszota</t>
  </si>
  <si>
    <t>sebastian.maszota@gmail.com</t>
  </si>
  <si>
    <t>27.02.2026</t>
  </si>
  <si>
    <t>7f80ba2953453c25b2b66e8f654feeafc5f77b9d7711f3893bc3795915494577</t>
  </si>
  <si>
    <t>9eeb78f7b156e7e12a1762490e4f9b9b9bb4044ba277ac96d48c0806cf86c512</t>
  </si>
  <si>
    <t>2026-02-22T06:46:04+00:00</t>
  </si>
  <si>
    <t>Fredag 27.02.26 kl.11:00</t>
  </si>
  <si>
    <t>2026-02-22T07:14:46+00:00</t>
  </si>
  <si>
    <t>03:14</t>
  </si>
  <si>
    <t>Samrawit</t>
  </si>
  <si>
    <t>samrawitmhari@gmail.com</t>
  </si>
  <si>
    <t>26.2.26</t>
  </si>
  <si>
    <t>a2019926c980a77fe9555a55a8845e3fc9a93c4059d9ea6e040b10c418a020be</t>
  </si>
  <si>
    <t>b3732857dadef85246390694669c3225e5d6cd7a645a304cde2e2e23ac5dc566</t>
  </si>
  <si>
    <t>2026-02-23T02:14:05+00:00</t>
  </si>
  <si>
    <t>06:17</t>
  </si>
  <si>
    <t>Siv Anita Larsen</t>
  </si>
  <si>
    <t>tuppersiv@hotmail.com</t>
  </si>
  <si>
    <t>Neste uke en gang. Gjerne sent på dagen.</t>
  </si>
  <si>
    <t>1193a312d48f0bcd6dbdf761d8c8c46ce58efac65ba3fadc7a56b7728d5df334</t>
  </si>
  <si>
    <t>6dab094d66c50f5127bd468850d58e5f0d6ec0d784f552dbd94394ed63664024</t>
  </si>
  <si>
    <t>2026-02-24T05:17:17+00:00</t>
  </si>
  <si>
    <t>11:13</t>
  </si>
  <si>
    <t>Thomas Stien</t>
  </si>
  <si>
    <t>thomastien80@hotmail.com</t>
  </si>
  <si>
    <t>25.02.2026</t>
  </si>
  <si>
    <t>9184bc00f2f9d960caf244afaa5d9d5b72b9238c12166e3fd305f5131b2877cd</t>
  </si>
  <si>
    <t>ef426da1ee7b22280cb891877e26f0904d09b831bd8c79a9333f5c79763a0957</t>
  </si>
  <si>
    <t>2026-02-24T10:13:08+00:00</t>
  </si>
  <si>
    <t>00:25</t>
  </si>
  <si>
    <t>Signy Alvsåker</t>
  </si>
  <si>
    <t>signyalv@gmail.com</t>
  </si>
  <si>
    <t>26.2 etter kl 14 eller 27.2 før kl 15</t>
  </si>
  <si>
    <t>b9d9644f5c76ca49589452f75fdbf69be65f7252e226e3121793f0ddadd06c06</t>
  </si>
  <si>
    <t>92cfcc0f358a3a95fcfa5b4d6d95e7f96c49730982e92db54958261ddc65f05f</t>
  </si>
  <si>
    <t>2026-02-24T23:25:36+00:00</t>
  </si>
  <si>
    <t>17:08</t>
  </si>
  <si>
    <t>Sanna Nordsl</t>
  </si>
  <si>
    <t>sanna.nordal@yahoo.com</t>
  </si>
  <si>
    <t>26/02/2026</t>
  </si>
  <si>
    <t>1e6a8d16f7458d8676e5300b3b7350c14f60e9e90b47f0e5dce69d1e6c3c7185</t>
  </si>
  <si>
    <t>e8452daf582cd7bd0170a60b4f87d56eebd02cb94532f85e17409f89c79767fe</t>
  </si>
  <si>
    <t>2026-02-25T16:08:11+00:00</t>
  </si>
  <si>
    <t>14:18</t>
  </si>
  <si>
    <t>Karolina Pietrzyk</t>
  </si>
  <si>
    <t>karolka5139@gmail.com</t>
  </si>
  <si>
    <t>Best mandag - fredag etter klokka 16 eller lørdag - søndag etter klokka 11</t>
  </si>
  <si>
    <t>ac007a1680de9c952ed33581d879efd262a87b9c167d58f92485589d0eabc9a7</t>
  </si>
  <si>
    <t>0a26b4fd1aa616c7fc968af2d1e051772bdc326b60f1e96b18f7304b58db6207</t>
  </si>
  <si>
    <t>2026-02-26T13:18:05+00:00</t>
  </si>
  <si>
    <t>18:58</t>
  </si>
  <si>
    <t>Anab hassan</t>
  </si>
  <si>
    <t>anab.m.hassan@gmail.com</t>
  </si>
  <si>
    <t>CV2013 h1=loca1</t>
  </si>
  <si>
    <t>e9fad39820e481f0b55d52e6bd8c00d620ec618afb43396a4e8e1b41f3460772</t>
  </si>
  <si>
    <t>6431b2c268f0c79477b92199c57f8f7a772920d2ddb7e20c4eb3ebc3b866ff7d</t>
  </si>
  <si>
    <t>2026-02-26T17:58:39+00:00</t>
  </si>
  <si>
    <t>22:21</t>
  </si>
  <si>
    <t>Maria Monte Lopes Delgado</t>
  </si>
  <si>
    <t>monte.lopes.delgado@icloud.com</t>
  </si>
  <si>
    <t>28.02.2026</t>
  </si>
  <si>
    <t>Ønsket å bestille for sønnen sin, ringer tilbake hvis aktuelt</t>
  </si>
  <si>
    <t>c60de01a44d85550129eb3054cc0263084b6ec068eb980cacae619f80e1cd622</t>
  </si>
  <si>
    <t>ca760c27e57dd92c204cdcd35729b35ec1d621299798af163aa6ef50cb3129c0</t>
  </si>
  <si>
    <t>2026-02-27T21:21:04+00:00</t>
  </si>
  <si>
    <t>05:14</t>
  </si>
  <si>
    <t>Nazar Hussain Syed</t>
  </si>
  <si>
    <t>n.hus.syed@gmail.com</t>
  </si>
  <si>
    <t>23.02.2026</t>
  </si>
  <si>
    <t>d5da7dca9edb2b5af83d0e1cd17788bf8c8205340b60af2e5259540dc8e26765</t>
  </si>
  <si>
    <t>a6cb47f5c06ee07c2c6637b6cc3585846d33b89829084d64c0c9a70d25218a63</t>
  </si>
  <si>
    <t>2026-02-28T04:14:08+00:00</t>
  </si>
  <si>
    <t>07:16</t>
  </si>
  <si>
    <t>Hannah Syverstad Syverstad</t>
  </si>
  <si>
    <t>hannah.syverstad@gmail.com</t>
  </si>
  <si>
    <t>Onsdag 4.mars (etter 17)</t>
  </si>
  <si>
    <t>74dc9a56b64d4daef77dae60db8542df630231aea173c53006bdfd2a05df75ff</t>
  </si>
  <si>
    <t>ce881bfc4d3887648bf205f9d284a88ba41f11e702f8c56541aa99069953af8c</t>
  </si>
  <si>
    <t>2026-02-28T06:16:50+00:00</t>
  </si>
  <si>
    <t>06:40</t>
  </si>
  <si>
    <t>Anette Sletten  Utengen</t>
  </si>
  <si>
    <t>anetteesu@hotmail.com</t>
  </si>
  <si>
    <t>05/03.26</t>
  </si>
  <si>
    <t>02240ab482badaaaea24763b1757cc488fcd16af6d6347b129cbefb01d827fb5</t>
  </si>
  <si>
    <t>fa1a85812d4c2b244cb6c9383147576a913eb1ab9cb80f8d276d6dee04949cae</t>
  </si>
  <si>
    <t>2026-03-01T05:40:08+00:00</t>
  </si>
  <si>
    <t>Jan Kristian Anderssen</t>
  </si>
  <si>
    <t>jankristiananderssen@gmail.com</t>
  </si>
  <si>
    <t>03.03.2026</t>
  </si>
  <si>
    <t>614a20e4460fb67013c2792467f3de4a2e7200f57d394a354e4186deaa98f923</t>
  </si>
  <si>
    <t>9084091e35bbb8d3444dd70f8fad58bf741afb76d25e7feea412aa2249638e4c</t>
  </si>
  <si>
    <t>2026-03-01T05:56:56+00:00</t>
  </si>
  <si>
    <t>Wasim</t>
  </si>
  <si>
    <t>wasimhechmi@icloud.com</t>
  </si>
  <si>
    <t>12.03.2026</t>
  </si>
  <si>
    <t>ac695c4ad9d3162c7e7aba74699ba74f45d65f5d97bf2b5f7309da553f9f760f</t>
  </si>
  <si>
    <t>b8760b975589241654ec3d9b6f7aad6e3046478b44060f703d0c12474e9d97a2</t>
  </si>
  <si>
    <t>2026-03-01T23:29:43+00:00</t>
  </si>
  <si>
    <t>Awet Alemseged</t>
  </si>
  <si>
    <t>awetalemseged@icloud.com</t>
  </si>
  <si>
    <t>8. mars - 15:00 og utover</t>
  </si>
  <si>
    <t>d89aa36ba905a92e0b2f127db25d2b18ade40397d7bff9244f74758edf274429</t>
  </si>
  <si>
    <t>da65627ff909ab4d7e78098242fe64cdb953a1e651fef0c26bc9eff71899f396</t>
  </si>
  <si>
    <t>2026-03-02T09:43:47+00:00</t>
  </si>
  <si>
    <t>05:43</t>
  </si>
  <si>
    <t>Jan Rune Hagen</t>
  </si>
  <si>
    <t>janrunehagen@gmail.com</t>
  </si>
  <si>
    <t>17.03.26</t>
  </si>
  <si>
    <t>Fått time et annet sted</t>
  </si>
  <si>
    <t>229d4c98c6305ffa6e00f5c5a41c2ee3c04cf3e2f13af5e3d05da54ab68fe93c</t>
  </si>
  <si>
    <t>1b5debe60e291a1753c6f1e2333c15f35476f18bd127e8585db3aeb3bea40d3f</t>
  </si>
  <si>
    <t>2026-03-03T04:43:19+00:00</t>
  </si>
  <si>
    <t>19:30</t>
  </si>
  <si>
    <t>SURAJ MASIH MASIH</t>
  </si>
  <si>
    <t>surajsuri618@gmail.com</t>
  </si>
  <si>
    <t>Lørdag 11:00 am</t>
  </si>
  <si>
    <t xml:space="preserve">Stiller rare spørsmål og legger på når jeg tar opp timebooking. </t>
  </si>
  <si>
    <t>076bd8c2351f3ee5007d79c24d6c40172524e15d56e0b5de42d8ec7a4a8d0902</t>
  </si>
  <si>
    <t>1de735c5d25fe7e2ce9432be119b3969da1a2fb7789f1a4b103940784a0000be</t>
  </si>
  <si>
    <t>2026-03-03T18:30:16+00:00</t>
  </si>
  <si>
    <t>22:08</t>
  </si>
  <si>
    <t>Akberet Micael</t>
  </si>
  <si>
    <t>akberetmicael@yahoo.com</t>
  </si>
  <si>
    <t>Jeg ønsker  vaske tanne</t>
  </si>
  <si>
    <t>f1a724a70e0dafd4af574361698eadd05951ab6f7d32142c0787b7f7a0791b79</t>
  </si>
  <si>
    <t>11f451c3d0fe7edc8ada6032609892a0924a2a1fd05a7b7feb4cc273a1dcbbb7</t>
  </si>
  <si>
    <t>2026-03-04T21:08:17+00:00</t>
  </si>
  <si>
    <t>14:58</t>
  </si>
  <si>
    <t>Kawtar</t>
  </si>
  <si>
    <t>kawtar1104e@hotmail.com</t>
  </si>
  <si>
    <t>24.mars  kl 14.00</t>
  </si>
  <si>
    <t>429063e836aee3c9b8093300e087eac7b9b7095e6f490adc9d28e9e1667317ed</t>
  </si>
  <si>
    <t>5814a8b3d047ec928d6d4ea815ac6fd7eda7bb1fcd23c646dece99397c51edb0</t>
  </si>
  <si>
    <t>2026-03-05T13:58:59+00:00</t>
  </si>
  <si>
    <t>Bilgin Nedzhatiev Mehmedov</t>
  </si>
  <si>
    <t>bilgin_1983@live.no</t>
  </si>
  <si>
    <t>13.03</t>
  </si>
  <si>
    <t>4a87af813b78d98fa0aa6e557f664d74691dd8edf9e179605c6eaa3277e739a3</t>
  </si>
  <si>
    <t>7c6739ebedb607a71bb04b09f34269046271832ad6a7ee13ef4cb75da62d2dfc</t>
  </si>
  <si>
    <t>2026-03-06T07:50:42+00:00</t>
  </si>
  <si>
    <t>14:19</t>
  </si>
  <si>
    <t>Priscilla</t>
  </si>
  <si>
    <t>priscillanairs@gmail.com</t>
  </si>
  <si>
    <t>6/3</t>
  </si>
  <si>
    <t>e45e0c180b6adc2a390d6b3640391e43459a0b1a8928805692893b44a9ec9f6c</t>
  </si>
  <si>
    <t>b8fc7a661687dc2bc083d811d7c981a1c39cc70b90e06b78f0d7b7487bdda848</t>
  </si>
  <si>
    <t>2026-03-06T13:19:08+00:00</t>
  </si>
  <si>
    <t>12:46</t>
  </si>
  <si>
    <t>Evelyn Ilagan De la Peña</t>
  </si>
  <si>
    <t>tikciemae@yahoo.com</t>
  </si>
  <si>
    <t>14.03.2026</t>
  </si>
  <si>
    <t>d6028378c7cb4b997d0040594a9736562aac53fc781c0df83e0fc73c061ab3e3</t>
  </si>
  <si>
    <t>718391817fc55fc743399d36bc4f37b084c782312781df0e18dcb4f4f05b57cf</t>
  </si>
  <si>
    <t>2026-03-07T11:46:56+00:00</t>
  </si>
  <si>
    <t>04:54</t>
  </si>
  <si>
    <t>Anila</t>
  </si>
  <si>
    <t>terbunja@hotmail.com</t>
  </si>
  <si>
    <t>10 03 2026</t>
  </si>
  <si>
    <t>b13ccbbfcebaf77cbf54a4f09a6f08118a7ed9bd4462b619d54ea431e3e5c529</t>
  </si>
  <si>
    <t>9ae79836fa147b411f1b54cc4e03b6b3d80cf1868a8417e5932bdbf02fd45d90</t>
  </si>
  <si>
    <t>2026-03-08T03:54:14+00:00</t>
  </si>
  <si>
    <t>12:54</t>
  </si>
  <si>
    <t>Khanh Tran</t>
  </si>
  <si>
    <t>khanhtrannv1983@yahoo.com</t>
  </si>
  <si>
    <t>Ønsker time for tannrensing tilbud 590,-</t>
  </si>
  <si>
    <t>Ønsker å ringe opp selv for å sette opp time.</t>
  </si>
  <si>
    <t>431fc5ca0a8d0b3745c0bbb2b712cb5a3d96e3d97e7a4e5494d946bce5a0a1e9</t>
  </si>
  <si>
    <t>b62c7dc96e9a9cebb75319db7173c521c4fed3a674cf7197f2cb8a9478580bcf</t>
  </si>
  <si>
    <t>2026-03-08T11:54:21+00:00</t>
  </si>
  <si>
    <t>13:36</t>
  </si>
  <si>
    <t>2026-03-09T12:36:57+00:00</t>
  </si>
  <si>
    <t>17:51</t>
  </si>
  <si>
    <t>Tiphaine de Bollivier</t>
  </si>
  <si>
    <t>tiffndb@gmail.com</t>
  </si>
  <si>
    <t>18/03/2026</t>
  </si>
  <si>
    <t>08a08500aedb96ce30ab5985fbeb2514d42a6e3eab078ed669188c423d90bb1f</t>
  </si>
  <si>
    <t>0c47e3d86ecef09b14c6c099c076b7623f869f83a1139096c1904ca7e7c9a7ef</t>
  </si>
  <si>
    <t>2026-03-09T16:51:40+00:00</t>
  </si>
  <si>
    <t>00:22</t>
  </si>
  <si>
    <t>Grethe Baustad</t>
  </si>
  <si>
    <t>gbaustad@gmail.com</t>
  </si>
  <si>
    <t>23.03.</t>
  </si>
  <si>
    <t>774e17556a44b6e68ba9d0f297e68b2501fb563b6b9b81ec6a550ed97c62831f</t>
  </si>
  <si>
    <t>11d1a5f5f24168a46c34c8af657ce25a0c88b45eaf86366ff90b7bf56eb36064</t>
  </si>
  <si>
    <t>2026-03-09T23:22:40+00:00</t>
  </si>
  <si>
    <t>13:46</t>
  </si>
  <si>
    <t>Albina</t>
  </si>
  <si>
    <t>distribucionesalbina@gmail.com</t>
  </si>
  <si>
    <t>Søndag</t>
  </si>
  <si>
    <t>Avbryter samtalen, Sendt e-post 16.03.2026</t>
  </si>
  <si>
    <t>b9edf7d224123de3e40289da0ce57cc621c38b6a2ab79d3119d4f2d4a0ab4cf1</t>
  </si>
  <si>
    <t>859a34f718d12c08a077210a4069f786686499e3384857be5700145f294c70e5</t>
  </si>
  <si>
    <t>2026-03-11T12:46:50+00:00</t>
  </si>
  <si>
    <t>18:11</t>
  </si>
  <si>
    <t>Bente Fredriksen</t>
  </si>
  <si>
    <t>bente.67@hotmail.com</t>
  </si>
  <si>
    <t>Så fort som mulig gjerne etter 1500</t>
  </si>
  <si>
    <t>724b42e3f0ebbf2e4e2b5fbb6de58ad20733d403639e25789515042f48b4483d</t>
  </si>
  <si>
    <t>b60cb85de8007cbd1bbb1f73214adb5463d0e84145380b3b4249c21d4af96793</t>
  </si>
  <si>
    <t>2026-03-11T17:11:22+00:00</t>
  </si>
  <si>
    <t>13:03</t>
  </si>
  <si>
    <t>Snorre Semmingsen</t>
  </si>
  <si>
    <t>snorresem@gmail.com</t>
  </si>
  <si>
    <t>24.3</t>
  </si>
  <si>
    <t>CV2012 h1=loca1</t>
  </si>
  <si>
    <t>4888f6a26c82870e53f0d5bac82dbc2416657f52f445e1e95042b4e189d0c6b8</t>
  </si>
  <si>
    <t>20362e695195456e67586bf71215a415fee1f70a45bf4daaa8b6c09ef5867185</t>
  </si>
  <si>
    <t>2026-03-12T12:03:11+00:00</t>
  </si>
  <si>
    <t>Phuddi lao nguyen</t>
  </si>
  <si>
    <t>phuddilaong@gmail.com</t>
  </si>
  <si>
    <t>I dag</t>
  </si>
  <si>
    <t>Nr er ikke gyldig, Sendt e-post 16.03.2026, feil e-post</t>
  </si>
  <si>
    <t>b85beb6149d1448eb04b8e2d78d6a100c2c154fd4b38cb9408ed9fe07e9c3dcf</t>
  </si>
  <si>
    <t>e71b790ed7d4f12f6c3be260a21ddc0a16aaced4517670826a99bce4f3e6d529</t>
  </si>
  <si>
    <t>2026-03-12T12:36:52+00:00</t>
  </si>
  <si>
    <t>Sameeh</t>
  </si>
  <si>
    <t>sameeh2411@gmail.com</t>
  </si>
  <si>
    <t>23.03.26</t>
  </si>
  <si>
    <t>2f078930d2ddbbb7ae234fff074936ebdee18e728c54f66d9e3ed514a97d4a97</t>
  </si>
  <si>
    <t>e0a0d5ad948b6343a5dfa3aa5d250d88b5a30d98712bac667b4cfd99831da0a3</t>
  </si>
  <si>
    <t>2026-03-13T11:05:13+00:00</t>
  </si>
  <si>
    <t>Ayub Hirsi</t>
  </si>
  <si>
    <t>ayubhirsi@hotmail.con</t>
  </si>
  <si>
    <t>9</t>
  </si>
  <si>
    <t>855ba6c55ee5fbe7bb53e1fd1e2bab5699644975c95607430cb05a8850a6c74a</t>
  </si>
  <si>
    <t>742b8bb70c3f7c6946af6a6384977bd2e4f38cdb60eaf785728ad0bf831aa81e</t>
  </si>
  <si>
    <t>2026-03-14T10:15:17+00:00</t>
  </si>
  <si>
    <t>Zahraa bani-Saad</t>
  </si>
  <si>
    <t>zahras.bani@icloud.com</t>
  </si>
  <si>
    <t>19.03.26 (8.00 for meg og min samboer rett etter )</t>
  </si>
  <si>
    <t>7f0f2bf00b03d329911f0b473cbfa246fd570b08d3c0ac64ab8ca2027bfda279</t>
  </si>
  <si>
    <t>aed46443e6bdc8fe545c6117a34068f812050a5613a7dec258aafcce3eeab2df</t>
  </si>
  <si>
    <t>2026-03-14T20:34:58+00:00</t>
  </si>
  <si>
    <t>Afshan sajid</t>
  </si>
  <si>
    <t>Afshan.muqaram@hotmail.com</t>
  </si>
  <si>
    <t>17 mars</t>
  </si>
  <si>
    <t>58c5b77bf2a9f1a50a75be9abfb9ce00690c7bc8b0c4984b310bfd0c4ae58296</t>
  </si>
  <si>
    <t>bad9cd6992b1df91e779fe6fd3d4e089ed6bd4739c6d3c5b3782cc26afac9116</t>
  </si>
  <si>
    <t>2026-03-14T23:53:37+00:00</t>
  </si>
  <si>
    <t>05:20</t>
  </si>
  <si>
    <t>Mohammad Asim Akhtar</t>
  </si>
  <si>
    <t>Asim92@hotmail.no</t>
  </si>
  <si>
    <t>08.04.2026</t>
  </si>
  <si>
    <t>f715c943619f7941673e6a83ea254c5290b0ae2fd60c622da3044b898b79f118</t>
  </si>
  <si>
    <t>3873f4d2d22ba5975baf21434cf11bb46b8c66b24b2a11bdd39bac5d6e1ead0a</t>
  </si>
  <si>
    <t>2026-03-15T04:20:54+00:00</t>
  </si>
  <si>
    <t>11:48</t>
  </si>
  <si>
    <t>Abdirahman Roble</t>
  </si>
  <si>
    <t>abdirahmanf04@gmail.com</t>
  </si>
  <si>
    <t>Onsdag 18 mars</t>
  </si>
  <si>
    <t>997a438981c4d79a9916e33bfede11bb3c725ae2af47d30b5929ae4a280d8fb0</t>
  </si>
  <si>
    <t>80a3139a28417135d2ca3e031da82cc0a54827ea5fd7fe8fd66f6339a38b381d</t>
  </si>
  <si>
    <t>2026-03-16T10:48:06+00:00</t>
  </si>
  <si>
    <t>09:54</t>
  </si>
  <si>
    <t>Sebastian Cieslik</t>
  </si>
  <si>
    <t>suchelec88@gmail.com</t>
  </si>
  <si>
    <t>28-29. 03.2026</t>
  </si>
  <si>
    <t>347abea40e542758d632957004ce9dd14dd9c98aa1a63a4b1448be84d03318a1</t>
  </si>
  <si>
    <t>261c2b5e787b7ee8c97ba2edd97b9f396f945845c335dc5730520a9537f88b93</t>
  </si>
  <si>
    <t>2026-03-17T08:54:15+00:00</t>
  </si>
  <si>
    <t>11:41</t>
  </si>
  <si>
    <t>Renatas Sulnius</t>
  </si>
  <si>
    <t>renatas.sulnius@gmail.com</t>
  </si>
  <si>
    <t>21032026</t>
  </si>
  <si>
    <t>CP5101en h1=loca1</t>
  </si>
  <si>
    <t>1339ef5c9c28f29c1f104142397ebc4a08bccc8be8c333a62c97dd7e649f2cb7</t>
  </si>
  <si>
    <t>a917f395071ccde922714d7f89807165c2e08e04571987d0cf272c16b83dee13</t>
  </si>
  <si>
    <t>2026-03-17T10:41:49+00:00</t>
  </si>
  <si>
    <t>Sonia Asghar</t>
  </si>
  <si>
    <t>sonia.iram@live.no</t>
  </si>
  <si>
    <t>24.03.26 kl.12</t>
  </si>
  <si>
    <t>CP5102en h1=loca1</t>
  </si>
  <si>
    <t>91a95e87058a85b33aefb9e1bc9be5f9e36133e20dcf03db8abbe94b322df46b</t>
  </si>
  <si>
    <t>29cbd11467021128e181b8ab33893dee83f965fdc9ab5b763344179c3eac39e2</t>
  </si>
  <si>
    <t>2026-03-17T23:32:14+00:00</t>
  </si>
  <si>
    <t>08:20</t>
  </si>
  <si>
    <t>Samira Usman</t>
  </si>
  <si>
    <t>samira.usman@hotmail.com</t>
  </si>
  <si>
    <t>13.04</t>
  </si>
  <si>
    <t>CP5101 h1=loca1</t>
  </si>
  <si>
    <t>6d62bf313f3243f25ee3e1c10804a16f087a37b4fc913f13a6dda56591477c7c</t>
  </si>
  <si>
    <t>4b40b4ab944a45796f81ba48a8182da2fb722d05e232b9386c5d6176880de1a0</t>
  </si>
  <si>
    <t>2026-03-18T07:20:32+00:00</t>
  </si>
  <si>
    <t>01:36</t>
  </si>
  <si>
    <t>Shan rehman</t>
  </si>
  <si>
    <t>shan94@live.no</t>
  </si>
  <si>
    <t>25.03.25</t>
  </si>
  <si>
    <t>57b0d6a7d66505a75e418fe0a6189d2dbdfea9a82d2ff87d0db874e48146a17d</t>
  </si>
  <si>
    <t>08ae936eb938d2e43061129a2ab53a0c7b95a334b55b618190cbf389d5066480</t>
  </si>
  <si>
    <t>2026-03-19T00:36:12+00:00</t>
  </si>
  <si>
    <t>01:37</t>
  </si>
  <si>
    <t>28.03.26</t>
  </si>
  <si>
    <t>2026-03-19T00:37:13+00:00</t>
  </si>
  <si>
    <t>10:58</t>
  </si>
  <si>
    <t>Kristian</t>
  </si>
  <si>
    <t>endeli.kb@gmail.com</t>
  </si>
  <si>
    <t>Mars</t>
  </si>
  <si>
    <t>Har ringt pasient, var på jobb, så har sendt mail. Pasient ringer oss opp, eller svarer på mail fortløpende.</t>
  </si>
  <si>
    <t>c3481628ca712a11bda546f655e6b6faf4396bcb1ef60c8820c787a8d7ac964d</t>
  </si>
  <si>
    <t>a634f68b9a0584998b8d5e99bd017f0643773c5030b27eab86f195309c0251ed</t>
  </si>
  <si>
    <t>2026-03-20T09:58:06+00:00</t>
  </si>
  <si>
    <t>Ewa</t>
  </si>
  <si>
    <t>ewamthim@gmail.com</t>
  </si>
  <si>
    <t>26.3</t>
  </si>
  <si>
    <t>848f95659b6672e9040b53fcc3af0741803bf456739f8b123e8fcbd0d39c449d</t>
  </si>
  <si>
    <t>e38f553c704fee3b061249a16bf343b8c3422b34ab8661e3eabcaa5416db3fe6</t>
  </si>
  <si>
    <t>2026-03-20T09:59:22+00:00</t>
  </si>
  <si>
    <t>00:13</t>
  </si>
  <si>
    <t>Hanna</t>
  </si>
  <si>
    <t>hannahuynh208@gmail.com</t>
  </si>
  <si>
    <t>Når som helst</t>
  </si>
  <si>
    <t>Var i farten, vil ringe tilbake</t>
  </si>
  <si>
    <t>a4d6706cdce75f6027eae51722662a9b7a51028b2c5538cb9866fc461b9887a6</t>
  </si>
  <si>
    <t>cd6f7b9235f41a13b627862b9bbed95168a8ef9d1d406610cbae304dc1293aeb</t>
  </si>
  <si>
    <t>2026-03-20T23:13:02+00:00</t>
  </si>
  <si>
    <t>Cemal Uymaz</t>
  </si>
  <si>
    <t>ardauy@hotmail.com</t>
  </si>
  <si>
    <t>24.03.26 eller 25.03.25 mellom kl. 11-12</t>
  </si>
  <si>
    <t>6c1333cae8fb48f942494e821b63b5882e2524f5c5361c37bbe749d5a9f99f98</t>
  </si>
  <si>
    <t>eebcddb63bcd69a5aa3145441a02dd809183326e66128ba09b24e0f2c947b73f</t>
  </si>
  <si>
    <t>2026-03-20T23:25:25+00:00</t>
  </si>
  <si>
    <t>Shan Shan rehman</t>
  </si>
  <si>
    <t>25.03.26</t>
  </si>
  <si>
    <t>2026-03-21T23:29:36+00:00</t>
  </si>
  <si>
    <t>06:55</t>
  </si>
  <si>
    <t>Se ouha</t>
  </si>
  <si>
    <t>siswa76@hotmail.com</t>
  </si>
  <si>
    <t>23-03-26</t>
  </si>
  <si>
    <t>24ade5dfbc6c6ee34e37810dffebaccd7850dc39dddefc4aa46a0a35e9d0b888</t>
  </si>
  <si>
    <t>8d99dc478294f7998dd6ffa1fb80dacae8530f93aad2c579f240584f853243f2</t>
  </si>
  <si>
    <t>2026-03-22T05:55:01+00:00</t>
  </si>
  <si>
    <t>09:55</t>
  </si>
  <si>
    <t>Waqar Ahmed Azam</t>
  </si>
  <si>
    <t>waqarahmed622@hotmail.com</t>
  </si>
  <si>
    <t>Første ledig</t>
  </si>
  <si>
    <t>Skulle sette opp time til kona si</t>
  </si>
  <si>
    <t>0e680a365b022d7de0344d01e05165d977acd6648f92297bebf858fdf7034adf</t>
  </si>
  <si>
    <t>4d659fa46bf4849b77d5f302c70ac77a0f7081cce0f7907ca202b6d0c41b054f</t>
  </si>
  <si>
    <t>2026-03-23T08:55:49+00:00</t>
  </si>
  <si>
    <t>13:55</t>
  </si>
  <si>
    <t>Mari Haugen</t>
  </si>
  <si>
    <t>mari_sh_@hotmail.com</t>
  </si>
  <si>
    <t>26.mars, har time på helsestasjonen 13-14 så fint om før eller etter :)</t>
  </si>
  <si>
    <t>Anbefalt å vente pga amming, sjekket opp med tannlegen</t>
  </si>
  <si>
    <t>d281fe6566a729766a5a94518a6f52d55e13aa3802ea79e5a4dead861d4a29f1</t>
  </si>
  <si>
    <t>388b10de29e1e7e464c8d9bd543d3f15dc9afe623603075665ef9cded92b56ee</t>
  </si>
  <si>
    <t>2026-03-23T12:55:57+00:00</t>
  </si>
  <si>
    <t>06:57</t>
  </si>
  <si>
    <t>Arselan Shabir Shabir</t>
  </si>
  <si>
    <t>arselanshabir@outlook.com</t>
  </si>
  <si>
    <t>29.03</t>
  </si>
  <si>
    <t>Ringer opp selv</t>
  </si>
  <si>
    <t>f1a944c76d874544a4cd3621227aa512a6b979f87c2dbc6dda0b6f4ac8abe993</t>
  </si>
  <si>
    <t>aa4948757ced50e088fea14827d47a96495d459ab0f70c07bd3e5295ca5189ac</t>
  </si>
  <si>
    <t>2026-03-24T05:57:30+00:00</t>
  </si>
  <si>
    <t>12:56</t>
  </si>
  <si>
    <t>Izabela Kopciuch</t>
  </si>
  <si>
    <t>izabelakopciuch13@gmail.com</t>
  </si>
  <si>
    <t>Jeg</t>
  </si>
  <si>
    <t>e273bd3825c2353844b02a5520e85837588c1a9c4470ea6db5cb18ad7dcd94e3</t>
  </si>
  <si>
    <t>ecaf0b2f74e775fe2b695697a62ffe9e18400ae0b2f424147a72f6f3d71575de</t>
  </si>
  <si>
    <t>2026-03-24T11:56:45+00:00</t>
  </si>
  <si>
    <t>Irina Mikalsen</t>
  </si>
  <si>
    <t>irinamikalsen@hotmail.com</t>
  </si>
  <si>
    <t>Etter kl 16</t>
  </si>
  <si>
    <t>c1692b15b72ef0e5ca7e1c2b34987c208a244354457b4da104218d1c54b175aa</t>
  </si>
  <si>
    <t>1347faa473ced8662e38ee7d8cd91a270f143c5eea380248d149f666af828c7d</t>
  </si>
  <si>
    <t>2026-03-25T05:18:57+00:00</t>
  </si>
  <si>
    <t>07:28</t>
  </si>
  <si>
    <t>25/3 eller 26/3</t>
  </si>
  <si>
    <t>2026-03-25T06:28:27+00:00</t>
  </si>
  <si>
    <t>John Øyvind Hovde</t>
  </si>
  <si>
    <t>john.hovde@gmail.com</t>
  </si>
  <si>
    <t>30.3.2026</t>
  </si>
  <si>
    <t>c260e3b5265001d982411706dd4bd77883e61d3d8aa5875d301e8b635a94abb1</t>
  </si>
  <si>
    <t>61470ce945c6b3c3fa636242ab75285243d1543cf6b3b2a98f63b9849c83cce8</t>
  </si>
  <si>
    <t>2026-03-26T10:19:00+00:00</t>
  </si>
  <si>
    <t>11:47</t>
  </si>
  <si>
    <t>Fixhirije Rafuna</t>
  </si>
  <si>
    <t>fexha_ra@hotmail.com</t>
  </si>
  <si>
    <t>12.04.26</t>
  </si>
  <si>
    <t>245e88b80e2d247aff188d760a534752703323465107d7f611e1ae1e0e8cffc3</t>
  </si>
  <si>
    <t>16ed3691feaf8e8a1ba167ad0634957c5866c0c7599c49ffa3981a1a7612eee0</t>
  </si>
  <si>
    <t>2026-03-26T10:47:25+00:00</t>
  </si>
  <si>
    <t>13:11</t>
  </si>
  <si>
    <t>Såz Saman</t>
  </si>
  <si>
    <t>soz.saman04@hotmail.com</t>
  </si>
  <si>
    <t>30/03/2026</t>
  </si>
  <si>
    <t>c882031fad1d5cba9deea026a93bf2260fc6653448fa7543be0bf8a339904ba0</t>
  </si>
  <si>
    <t>28f2dd7ec03e7b8e6c12179d12624116b25f1d193d55e90fdad66648874bdb61</t>
  </si>
  <si>
    <t>2026-03-26T12:11:36+00:00</t>
  </si>
  <si>
    <t>09:06</t>
  </si>
  <si>
    <t>Anita MathiassenMathiassen</t>
  </si>
  <si>
    <t>anita@eivindson.com</t>
  </si>
  <si>
    <t>2cbe6d0e3017af52eaa5845f2190427bceaf732f443e2c89115483f5e5d3a6c1</t>
  </si>
  <si>
    <t>08c9a4fdd3c6e1921d9381d92816cf14708ba03656a88efb82344e6a448c7703</t>
  </si>
  <si>
    <t>2026-03-27T08:06:53+00:00</t>
  </si>
  <si>
    <t>10:24</t>
  </si>
  <si>
    <t>Christian Oppebøen</t>
  </si>
  <si>
    <t>christianopp@live.no</t>
  </si>
  <si>
    <t>Tirsdag 7. april kl 19</t>
  </si>
  <si>
    <t>1511f6527ec10576d10b4eb259d3a115656a9ad186fbadc305c89bf50777395e</t>
  </si>
  <si>
    <t>e254b6f1ea8eb6a8af329c9db4a3a526dd1d956dcf56af926548c217577df481</t>
  </si>
  <si>
    <t>2026-03-27T09:24:08+00:00</t>
  </si>
  <si>
    <t>10:00</t>
  </si>
  <si>
    <t>Bile  Abdule</t>
  </si>
  <si>
    <t>bile1996@hotmail.com</t>
  </si>
  <si>
    <t>1.04</t>
  </si>
  <si>
    <t>3972472cbc3eb6aa29a48451f5e29403270eed5f19b002760bfdbf099cb3697b</t>
  </si>
  <si>
    <t>7129c6b835c4677e73b4b810385456c9486bcfc2f57077fae1f4b67fe00186bd</t>
  </si>
  <si>
    <t>2026-03-28T09:00:59+00:00</t>
  </si>
  <si>
    <t>13:33</t>
  </si>
  <si>
    <t>Laila Madiha Anwar</t>
  </si>
  <si>
    <t>laila-anwar84@hotmail.com</t>
  </si>
  <si>
    <t>31.03.2026</t>
  </si>
  <si>
    <t>582abcc97ba6189d792d85f9e8f846e3d9e57723ac721c8e6e517edc64ec3d51</t>
  </si>
  <si>
    <t>08e8297547d100da264f1c288ce3a28bffd3e734e4b81e1980b62e1affbd543e</t>
  </si>
  <si>
    <t>2026-03-28T12:33:09+00:00</t>
  </si>
  <si>
    <t>Rarhini</t>
  </si>
  <si>
    <t>rathini.vignes@gmail.com</t>
  </si>
  <si>
    <t>30.03.2026</t>
  </si>
  <si>
    <t>6c6bf8ec8cdeb90f0bd88184ca40ff6fd8e3d334564d1549e3189e1d3560889c</t>
  </si>
  <si>
    <t>39c9b3876b84c1aefab41badf7ed98fb722c713b51cdfe8fe148fa3ff265eb05</t>
  </si>
  <si>
    <t>2026-03-28T13:58:40+00:00</t>
  </si>
  <si>
    <t>08:16</t>
  </si>
  <si>
    <t>Rebecca  Rollino</t>
  </si>
  <si>
    <t>astridsolgaard@yahoo.com</t>
  </si>
  <si>
    <t>1.april kl 1100</t>
  </si>
  <si>
    <t>77be1507b8037606f5b3817fc1916318d4858d960930851abcfc215e8d4a8e59</t>
  </si>
  <si>
    <t>4e97fce829a2e98637b957ddffa00f7073ea493f3abf8bdf3d8ae526f8e2ba98</t>
  </si>
  <si>
    <t>2026-03-29T06:16:31+00:00</t>
  </si>
  <si>
    <t>16:10</t>
  </si>
  <si>
    <t>Odd Arild Nærbø</t>
  </si>
  <si>
    <t>odd.arild.naerboe@gmail.com</t>
  </si>
  <si>
    <t>7732d20e3cf3adcaf000cd48b42c2a6843abb6e823cb88716f1612c81e7a9407</t>
  </si>
  <si>
    <t>cdfa4f8c691ffe54dab62e37c3d0fdfee9f445804ac41456f81d3b8cefce1605</t>
  </si>
  <si>
    <t>2026-03-29T14:10:02+00:00</t>
  </si>
  <si>
    <t>13:37</t>
  </si>
  <si>
    <t>Wilson Nalampurackal Antony</t>
  </si>
  <si>
    <t>wilson_na2003@yahoo.com</t>
  </si>
  <si>
    <t>0da6b683190cb71083994c22f13bcebec1869cd7428d6c807a1e1f5a5a586539</t>
  </si>
  <si>
    <t>b92e17db1c381df23f8bb91252e3496128933bd2939a75804eb482eeeb65d61d</t>
  </si>
  <si>
    <t>2026-03-30T11:38:00+00:00</t>
  </si>
  <si>
    <t>00:51</t>
  </si>
  <si>
    <t>Suthan Vivekananthan</t>
  </si>
  <si>
    <t>suthan77@outlook.com</t>
  </si>
  <si>
    <t>18.04 eller 25.04 - kl.12:00</t>
  </si>
  <si>
    <t>65eb3fbe4704b0678f7a5cf9dfc00f00af61e5d50a4c2af74bb23c9980819f91</t>
  </si>
  <si>
    <t>b28de6eba7fd546e2fcfa7dffea6e25d18902979b3e2ec0a3fa840446df248f4</t>
  </si>
  <si>
    <t>2026-04-01T22:51:28+00:00</t>
  </si>
  <si>
    <t>01:34</t>
  </si>
  <si>
    <t>Hayat Abdellaoui</t>
  </si>
  <si>
    <t>hayatabdellaoui09@gmail.com</t>
  </si>
  <si>
    <t>Ønsker  den 23.04.2026 etter kl 12</t>
  </si>
  <si>
    <t>662d5bfd3c3e110ecebb5ceb34eb51f20771e3b89fdf6087e41b2b2b950437d2</t>
  </si>
  <si>
    <t>3938f2482b303febbddebbb70b81bcf8e3a71fe085d66ac04456ded7fa386fe8</t>
  </si>
  <si>
    <t>2026-04-01T23:34:32+00:00</t>
  </si>
  <si>
    <t>Guranda Kordzadze</t>
  </si>
  <si>
    <t>gurandak77@hotmail.com</t>
  </si>
  <si>
    <t>10.04</t>
  </si>
  <si>
    <t>b6d791d21e54da6d8256949761d90a6cc2a3d97ceb4322690aadb1905f1a2b0c</t>
  </si>
  <si>
    <t>247161884a72658c675d99ed8d5002ed2a8e9bcaa550903966c79b4d3edd8000</t>
  </si>
  <si>
    <t>2026-04-03T04:57:47+00:00</t>
  </si>
  <si>
    <t>08:08</t>
  </si>
  <si>
    <t>Tore Lundestad</t>
  </si>
  <si>
    <t>tore@lundestad.eu</t>
  </si>
  <si>
    <t>08.04 etter kl 16</t>
  </si>
  <si>
    <t>e8b40bcf861b290a6957564c42cd807d497ab2b0335982760f63838acfe23b13</t>
  </si>
  <si>
    <t>c3cba788e80e98d0a1438faeff1ad07709fa6873dca42eb7b37609debd6d5185</t>
  </si>
  <si>
    <t>2026-04-03T06:08:56+00:00</t>
  </si>
  <si>
    <t>13:01</t>
  </si>
  <si>
    <t>Karoline Hagen</t>
  </si>
  <si>
    <t>karoekhagen@gmail.com</t>
  </si>
  <si>
    <t>15. april</t>
  </si>
  <si>
    <t>4aa8cc1a820969e308172bbecc3763782212677fb713a70515e41e6b13ee8cad</t>
  </si>
  <si>
    <t>56d61065fefe4d0352d95279ea2c61f215b46e475e327422f8584f66d4973ea1</t>
  </si>
  <si>
    <t>2026-04-04T11:01:50+00:00</t>
  </si>
  <si>
    <t>Faiza Wali</t>
  </si>
  <si>
    <t>faiza_sweety94@hotmail.com</t>
  </si>
  <si>
    <t>Torsdag eller lørdag</t>
  </si>
  <si>
    <t>e40003f59ae96919cfb2208d9d5d25c5f577c21511b38f35c2828f02879842a8</t>
  </si>
  <si>
    <t>2370e363e61143cae12cc28fd7d054237c676b555e21e3640f54e2727dde74bf</t>
  </si>
  <si>
    <t>2026-04-04T14:24:18+00:00</t>
  </si>
  <si>
    <t>09:33</t>
  </si>
  <si>
    <t>Kari-Anne Madssveen</t>
  </si>
  <si>
    <t>kari-anne@outlook.com</t>
  </si>
  <si>
    <t>27.04-2026</t>
  </si>
  <si>
    <t>dd7efd3f068273b4730a0298e7be7cb59f3d635b614f1b7ecf866948e438e56d</t>
  </si>
  <si>
    <t>aa856a2c9fbf36421335ee915d26e58e5565652f36cb20fc22e16e282eec5585</t>
  </si>
  <si>
    <t>2026-04-05T07:33:54+00:00</t>
  </si>
  <si>
    <t>17:48</t>
  </si>
  <si>
    <t>Camilla Bredesen</t>
  </si>
  <si>
    <t>c.bredesen@hotmail.com</t>
  </si>
  <si>
    <t>14.04.26</t>
  </si>
  <si>
    <t>44ed7aeed61d1e9dc243e56d2c92390f8678e47101336930df107b1eddea2ad9</t>
  </si>
  <si>
    <t>93457ea0ad94ec7e74618ee2efaeae5d6e3b90e1d5495cbbf8f42146fe98f12e</t>
  </si>
  <si>
    <t>2026-04-05T15:48:20+00:00</t>
  </si>
  <si>
    <t>00:59</t>
  </si>
  <si>
    <t>Khalifa fakhri</t>
  </si>
  <si>
    <t>mooafakhri@gmail.com</t>
  </si>
  <si>
    <t>28 april</t>
  </si>
  <si>
    <t>32bf07c4c1ec63d8e13316a3e4d46e733e98846488d073d969ca009ba466ad26</t>
  </si>
  <si>
    <t>2d17b6fc577d5bd1923266f916ef1ebb9477ba20764a05a01fa3d92e4ee4f9c2</t>
  </si>
  <si>
    <t>2026-04-05T22:59:50+00:00</t>
  </si>
  <si>
    <t>08:42</t>
  </si>
  <si>
    <t>Arselan Shabir</t>
  </si>
  <si>
    <t>7 april</t>
  </si>
  <si>
    <t>ff051b7ed78aa041be6c0f626d51c48e476ed17c9ee6735d44c998861591f01b</t>
  </si>
  <si>
    <t>2026-04-06T06:42:53+00:00</t>
  </si>
  <si>
    <t>10:05</t>
  </si>
  <si>
    <t>Bimala Thapaliya</t>
  </si>
  <si>
    <t>bmla.thapaliya@gmail.com</t>
  </si>
  <si>
    <t>8-04-2026</t>
  </si>
  <si>
    <t>La på</t>
  </si>
  <si>
    <t>58be761ae60537e8c07a6e1563773d3acccc8d39bcf1f9313e9eceb572e43e29</t>
  </si>
  <si>
    <t>75261c6ff829b27d42b8c9512f3aabbb7f5d9c4a451972c9f72435d283db5970</t>
  </si>
  <si>
    <t>2026-04-07T08:05:46+00:00</t>
  </si>
  <si>
    <t>10:31</t>
  </si>
  <si>
    <t>Solbjørg Sveum</t>
  </si>
  <si>
    <t>solsveum@hotmail.no</t>
  </si>
  <si>
    <t>10 april</t>
  </si>
  <si>
    <t>823d27ce3806cb1f490c8622c0a850f409131e3564373d45c4aa62668be263a4</t>
  </si>
  <si>
    <t>424ed33f395ec26b17a2391ba9c2db5abe68cc12842483542545a3c259db5de1</t>
  </si>
  <si>
    <t>2026-04-07T08:31:07+00:00</t>
  </si>
  <si>
    <t>13:50</t>
  </si>
  <si>
    <t>Joakim Bergem Tandberg</t>
  </si>
  <si>
    <t>joakim_bt@hotmail.com</t>
  </si>
  <si>
    <t>Onsdag 15.04.26 (08:00)</t>
  </si>
  <si>
    <t>2be1dc56f26837f644d4e6cf7e0c73070a8809759caad7d1900bb52c1e385388</t>
  </si>
  <si>
    <t>eae86dd511fafdb348763a0d09b9d203954517f3130d92de8be8227f9ec2bc1c</t>
  </si>
  <si>
    <t>2026-04-08T11:50:40+00:00</t>
  </si>
  <si>
    <t>Johan Norin</t>
  </si>
  <si>
    <t>15.04.2026</t>
  </si>
  <si>
    <t>c286bc5afba29ea51846b2b22aa10e13ec79397bc57462fe8610ff88f6e7c367</t>
  </si>
  <si>
    <t>11598788dc30673e5f830eba400f118db61b1ea32893f26d7bc70c8452246598</t>
  </si>
  <si>
    <t>2026-04-08T15:39:48+00:00</t>
  </si>
  <si>
    <t>Anne Rønningen</t>
  </si>
  <si>
    <t>anne83@gmail.com</t>
  </si>
  <si>
    <t>15. eller 21. april</t>
  </si>
  <si>
    <t>3eeed97eeb8a108d425d4da30473c55e6e62beb2a91a87ddcdb0abf02b216ee0</t>
  </si>
  <si>
    <t>1a3b2957676600ed9fce5eb512c0f456fb5725f37e39a7ce7e402ab0429c3610</t>
  </si>
  <si>
    <t>2026-04-09T05:37:06+00:00</t>
  </si>
  <si>
    <t>18:28</t>
  </si>
  <si>
    <t>John Paul Undheim</t>
  </si>
  <si>
    <t>peewitofnorway@gmail.com</t>
  </si>
  <si>
    <t>24/4</t>
  </si>
  <si>
    <t>87692f4e48cd40156a9d27ec79c3ce946334ad6102e437484d8536612c9412ae</t>
  </si>
  <si>
    <t>1309425dfcd104c2ea6ed74645891c4e85f7807da057a5d12dbf307b99252447</t>
  </si>
  <si>
    <t>2026-04-09T16:28:13+00:00</t>
  </si>
  <si>
    <t>Selva Gulsum Ekiz</t>
  </si>
  <si>
    <t>selva-g7@hotmail.com</t>
  </si>
  <si>
    <t>30.04.26</t>
  </si>
  <si>
    <t>b1e25508426747028530f134c9bb9343104833b925c38d0666319c55c2576545</t>
  </si>
  <si>
    <t>5d94c09cfe818b796e26b1c290243212caf11dc34b673d62cd9dd4d0271915b9</t>
  </si>
  <si>
    <t>2026-04-09T22:58:04+00:00</t>
  </si>
  <si>
    <t>06:07</t>
  </si>
  <si>
    <t>axel fredriksen</t>
  </si>
  <si>
    <t>axel_f1996@hotmail.com</t>
  </si>
  <si>
    <t>18.04</t>
  </si>
  <si>
    <t>cb1e4f7811616300ffec8571c80b543d1f9443cedeea8d0208c9e74077d2c7c2</t>
  </si>
  <si>
    <t>9549ce5bb86c6fe632c6dd558c86e8b2f59b59e20f0c44dfbf4c574ef637dca8</t>
  </si>
  <si>
    <t>2026-04-10T04:07:29+00:00</t>
  </si>
  <si>
    <t>08:46</t>
  </si>
  <si>
    <t>Unn K Sypriansen</t>
  </si>
  <si>
    <t>unn.sypriansen@gmail.com</t>
  </si>
  <si>
    <t>Torsdag 30.4 dagtid</t>
  </si>
  <si>
    <t>56b7dc48e7ef49ebbf0ebd860f1cf07acaa15e7aaa0e569af7d80b327fbeae85</t>
  </si>
  <si>
    <t>102ea551d39e9a29abd3c5555a9f657f47f3d0c059f16a1ab0d0fc08780edb66</t>
  </si>
  <si>
    <t>2026-04-11T06:46:50+00:00</t>
  </si>
  <si>
    <t>09:20</t>
  </si>
  <si>
    <t>Abdessadek Boukayoua</t>
  </si>
  <si>
    <t>sadek-b@hotmail.no</t>
  </si>
  <si>
    <t>15.mai</t>
  </si>
  <si>
    <t>4240e4579d51a102585f4ba86857c2d2f87458530abb1b844fa968ddf06b26b1</t>
  </si>
  <si>
    <t>7dcb6871ef1ef99428714257b20b62dc988c30696cd60061cd9022c815d37fed</t>
  </si>
  <si>
    <t>2026-04-11T07:20:10+00:00</t>
  </si>
  <si>
    <t>09:24</t>
  </si>
  <si>
    <t>Regaat zeru</t>
  </si>
  <si>
    <t>zeruregaat@gmail.com</t>
  </si>
  <si>
    <t>17/04</t>
  </si>
  <si>
    <t>ca3981c4e48d94c617f295b2605dd6c3872f00de3c296b03c1564a164ae55244</t>
  </si>
  <si>
    <t>ef80b65cebcd4c7fb91f6540024b0de25c070eed638a1bade31a51d5dee55fe8</t>
  </si>
  <si>
    <t>2026-04-11T07:24:49+00:00</t>
  </si>
  <si>
    <t>Monika Mamiak</t>
  </si>
  <si>
    <t>monika.mamiak@gmail.com</t>
  </si>
  <si>
    <t>18.04.2026</t>
  </si>
  <si>
    <t>dc12f946b7891ef0da487749f729dde4eb613a08efa26536808a8420530dbb6b</t>
  </si>
  <si>
    <t>a150793b85f9b04de427a8fb6cdd8cab63eff34e8620aa23db50f99ee448cf41</t>
  </si>
  <si>
    <t>2026-04-12T05:46:32+00:00</t>
  </si>
  <si>
    <t>Andersen</t>
  </si>
  <si>
    <t>andersen.sandra.m@gmail.com</t>
  </si>
  <si>
    <t>15.04</t>
  </si>
  <si>
    <t>0179fc5a677240ac7fed6427792cd4844c1c43b8c0d1da5ad26908b8b06f5567</t>
  </si>
  <si>
    <t>5e302aaffe6f5d16c95e0ed5746d53fcdbae8c5b2dc0efd04b743715b05a022e</t>
  </si>
  <si>
    <t>2026-04-12T18:04:04+00:00</t>
  </si>
  <si>
    <t>Sadia Tanveer</t>
  </si>
  <si>
    <t>sadia.tanveer@hotmail.com</t>
  </si>
  <si>
    <t>19 /4  kl15:00</t>
  </si>
  <si>
    <t>76e84e6085e419a50e23738c0f5b93ed4b05034e92f9e787bb072e96ab2780cb</t>
  </si>
  <si>
    <t>203ca4f9ecadf597d9ff46d39768971af4e54387f1b9da08cd9228557fbf49d7</t>
  </si>
  <si>
    <t>2026-04-12T22:32:43+00:00</t>
  </si>
  <si>
    <t>Ulf Stjernløf</t>
  </si>
  <si>
    <t>ulfstjernlog64@hotmail.com</t>
  </si>
  <si>
    <t>15 april</t>
  </si>
  <si>
    <t>1b2af7b2b91dd108f6712ac9157374fdc2dc5fd13f988d03911b140ef73acc93</t>
  </si>
  <si>
    <t>fb1f43981558fb6b1ddd2550f6955c652aa8fac56df32873f50b56caa09a89e4</t>
  </si>
  <si>
    <t>2026-04-13T13:27:32+00:00</t>
  </si>
  <si>
    <t>00:41</t>
  </si>
  <si>
    <t>Nikolina Nielsen</t>
  </si>
  <si>
    <t>nikolina.1808@hotmail.no</t>
  </si>
  <si>
    <t>30 april</t>
  </si>
  <si>
    <t>4834932ddccfdcc024aa4b9bd70504445bb3337ddc7beba3a2105b4c5bf83b28</t>
  </si>
  <si>
    <t>dc4e1a1111c9dcbb30d7a25756cf5af18c0cc651478db24eab734cb6b4d815e1</t>
  </si>
  <si>
    <t>2026-04-13T22:41:49+00:00</t>
  </si>
  <si>
    <t>Yousra</t>
  </si>
  <si>
    <t>yousrastudie@hotmail.com</t>
  </si>
  <si>
    <t>14/04</t>
  </si>
  <si>
    <t>284a7ebd01ce13e3c231fd3026c7d84cada388a7f5f48fb66b24c24aaf29a71d</t>
  </si>
  <si>
    <t>d166bb25c9cf6ef412b6e58a791fcd3d575411cfa8eaf0fac1964edf2f503462</t>
  </si>
  <si>
    <t>2026-04-14T00:52:16+00:00</t>
  </si>
  <si>
    <t>08:28</t>
  </si>
  <si>
    <t>Liv Cecilie Hauge</t>
  </si>
  <si>
    <t>liv.cecilie.hauge@gmail.com</t>
  </si>
  <si>
    <t>23.04.2026</t>
  </si>
  <si>
    <t>a1359411d12efbd277e84b760dee8068645cbfd3bf0f4bd19eaec7bd88fb0430</t>
  </si>
  <si>
    <t>e32550611e37e2c1390d446d83eb7da1fb66b3cf75205b046bedb9189aa50543</t>
  </si>
  <si>
    <t>2026-04-15T06:28:39+00:00</t>
  </si>
  <si>
    <t>16:13</t>
  </si>
  <si>
    <t>Nora Nordlund</t>
  </si>
  <si>
    <t>norano@live.no</t>
  </si>
  <si>
    <t>17/04/26 helst tildlig har annen time 11</t>
  </si>
  <si>
    <t>89d9eb372fa130fc55dd0d76b82e1b6c11f052d6f159bb8242d66e8fb1bd489f</t>
  </si>
  <si>
    <t>c2058dfced18fddc2728c2b2b8d13f29836dccbcfeb6b7952158c3af3a29a6e9</t>
  </si>
  <si>
    <t>2026-04-15T14:13:14+00:00</t>
  </si>
  <si>
    <t>Sofia Benyahia</t>
  </si>
  <si>
    <t>fatiha0908@hotmail.com</t>
  </si>
  <si>
    <t>Mandag eller tirsdag kl 11</t>
  </si>
  <si>
    <t>0f3fef43da0f19dafb63e49b7d49f3f0f7e0226267ff2cf8aad60de62f09d699</t>
  </si>
  <si>
    <t>158a2127188493cf70d7f79188acdd04d0fb85b042d53b25474d40ee7bb75e65</t>
  </si>
  <si>
    <t>2026-04-16T07:54:57+00:00</t>
  </si>
  <si>
    <t>Cathrine Lauritzen</t>
  </si>
  <si>
    <t>cathrineloen@live.com</t>
  </si>
  <si>
    <t>16cfadad1ef98ef6d5d4d7f6ad60f48db46ee85d253ab78ebe50e8a91dcc3e28</t>
  </si>
  <si>
    <t>6f400761674fd3592ae55a3df04b2111096eac8b31199fa97e5802b1557acb0c</t>
  </si>
  <si>
    <t>2026-04-16T11:13:45+00:00</t>
  </si>
  <si>
    <t>Hamdija Yusuf</t>
  </si>
  <si>
    <t>galeyti@gmail.com</t>
  </si>
  <si>
    <t>22.04.2026</t>
  </si>
  <si>
    <t>d3557028658447d0292087bd4c1f9267fcc532919e3ee2b9f069433e155fe026</t>
  </si>
  <si>
    <t>3b2f3f102b939ea3db15d022232f462cec9fee1cfe27f6c84a68dff18ff2c807</t>
  </si>
  <si>
    <t>2026-04-17T17:30:09+00:00</t>
  </si>
  <si>
    <t>Cathrine Linn Kristiansen</t>
  </si>
  <si>
    <t>cathrine.linn@gmail.com</t>
  </si>
  <si>
    <t>21.04.2026</t>
  </si>
  <si>
    <t>26d94d2aeb6e98aaac8946655aba28e24e7bb90e6840fbc2c8688946aef89c5f</t>
  </si>
  <si>
    <t>58bfaaac0b69d946b78685cb442f380b009227ab70b97e0ea432349384c2b227</t>
  </si>
  <si>
    <t>2026-04-17T23:22:12+00:00</t>
  </si>
  <si>
    <t>Mona Haaberg Pedersen</t>
  </si>
  <si>
    <t>monahped@gmail.com</t>
  </si>
  <si>
    <t>28.04.26</t>
  </si>
  <si>
    <t>aaef5bf14ad4cf321b003f6116de1fe5c075af6160985a167d9a1237bec0ec14</t>
  </si>
  <si>
    <t>c078b976396311f0ffe8da98f81bc4f395a16d550b3529ea17b12c828ca0af9d</t>
  </si>
  <si>
    <t>2026-04-18T05:53:14+00:00</t>
  </si>
  <si>
    <t>09:57</t>
  </si>
  <si>
    <t>Javid Samadi</t>
  </si>
  <si>
    <t>h.j.samadi@hf.uio.no</t>
  </si>
  <si>
    <t>22.04.2026 kl 18</t>
  </si>
  <si>
    <t>b8f059ad41081ea08838e69197159fbe0fe5bd647b154173d1718e4d244a1a73</t>
  </si>
  <si>
    <t>e671ecc9536c7259cad2b0478ab02b61f9a41c39ba5a7e76f5f5e88b195c10ac</t>
  </si>
  <si>
    <t>2026-04-19T07:57:38+00:00</t>
  </si>
  <si>
    <t>Furkan Keser</t>
  </si>
  <si>
    <t>furkan_keser@live.no</t>
  </si>
  <si>
    <t>19.04.2025</t>
  </si>
  <si>
    <t>3648f5e4905744a9f1f0b17fd71a5d7160e6b384ddb080692f129ea23d234409</t>
  </si>
  <si>
    <t>bbe786b27d945365772418e6f72833376b74b357a6ab797fdd7460f92c8ad776</t>
  </si>
  <si>
    <t>2026-04-19T08:59:44+00:00</t>
  </si>
  <si>
    <t>19:22</t>
  </si>
  <si>
    <t>Fedesa Keba</t>
  </si>
  <si>
    <t>fedhiikabaa@gmail.com</t>
  </si>
  <si>
    <t>21/04/2026</t>
  </si>
  <si>
    <t>637d1cfbd382f6db31492a9195490be5d601f8516ceadf826639b0d2df7356cf</t>
  </si>
  <si>
    <t>5e5dabf459247b1097388c213748aae5453d3caa0707073eed4a7ad31f88cd9e</t>
  </si>
  <si>
    <t>2026-04-20T17:22:58+00:00</t>
  </si>
  <si>
    <t>19:57</t>
  </si>
  <si>
    <t>Nicklas Amundsen</t>
  </si>
  <si>
    <t>nicklas.edvinsson@gmail.com</t>
  </si>
  <si>
    <t>Onsdag 29 Runt klokken 13</t>
  </si>
  <si>
    <t>510affca71f646905424d94c7ea3742347e46fec66725ed183a14a026a531412</t>
  </si>
  <si>
    <t>7d5b343ef541017903bb109dd8b1903249409c8fb9084a3a6910b9576bc1fa2e</t>
  </si>
  <si>
    <t>2026-04-20T17:57:22+00:00</t>
  </si>
  <si>
    <t>04:48</t>
  </si>
  <si>
    <t>Janne Elisabeth Dalen</t>
  </si>
  <si>
    <t>janne_dalen@hotmail.com</t>
  </si>
  <si>
    <t>Mandag 27 april kl 11</t>
  </si>
  <si>
    <t>e098200f6790deca17f40bef0bb3acbdea8264076233e9efb847b6ec28065873</t>
  </si>
  <si>
    <t>a357a03906e82b6520f1c0cf2f7d6a58c2b02ccf9f4276e32f4389d7808647af</t>
  </si>
  <si>
    <t>2026-04-21T02:48:26+00:00</t>
  </si>
  <si>
    <t>Qasemkazemi@hotmail.com</t>
  </si>
  <si>
    <t>qasemkazemi@hotmail.com</t>
  </si>
  <si>
    <t>27.april-29.april</t>
  </si>
  <si>
    <t>51a43c3f9b681045021a010dc6f775db00f58eb04b08c103f6ab35f1fc9b2f9e</t>
  </si>
  <si>
    <t>bc4c29126a598bb9983fbc8e65ac8b3792f5d48d32f8ee4542b27b2515db578d</t>
  </si>
  <si>
    <t>2026-04-21T05:37:45+00:00</t>
  </si>
  <si>
    <t>10:03</t>
  </si>
  <si>
    <t>Abdulla Al Harun</t>
  </si>
  <si>
    <t>mehedi44hasan@gmail.com</t>
  </si>
  <si>
    <t>27th April</t>
  </si>
  <si>
    <t>9d10816619ba55c0a480cc387df4e0d0dbffdf96ad84ff5b21dfef16601814ed</t>
  </si>
  <si>
    <t>3a02cf1dbc138f5dfe641a66e5b6065e80183945427ef7e2074160f99d030ee8</t>
  </si>
  <si>
    <t>2026-04-21T08:03:29+00:00</t>
  </si>
  <si>
    <t>01:02</t>
  </si>
  <si>
    <t>Abdiqadir</t>
  </si>
  <si>
    <t>wardheree@gmail.com</t>
  </si>
  <si>
    <t>03.05.2025</t>
  </si>
  <si>
    <t>8479f0567b910d806ff0efe0939969358d72f9bcb119b6fcf11bb501879b369e</t>
  </si>
  <si>
    <t>ab61abaec24597b5fdf35d8bd74247ea022e72ad150570aa65530c9512e290ba</t>
  </si>
  <si>
    <t>2026-04-21T23:02:29+00:00</t>
  </si>
  <si>
    <t>09:18</t>
  </si>
  <si>
    <t>Yohannes Tewelde Gebrezgiabher</t>
  </si>
  <si>
    <t>jonnytewolde@gmail.com</t>
  </si>
  <si>
    <t>26.4.26</t>
  </si>
  <si>
    <t>debb00e14c864f459792fbf4986c1fbf793a8aecb14890307ff4eafbf7a25479</t>
  </si>
  <si>
    <t>10162fdd613129c45620a81dedf56e7d796744bf5f5201dafc817615c6549f7d</t>
  </si>
  <si>
    <t>2026-04-22T07:18:33+00:00</t>
  </si>
  <si>
    <t>Abdisalaam Mohammed</t>
  </si>
  <si>
    <t>abdiseed33@outlook.com</t>
  </si>
  <si>
    <t>Søndagen</t>
  </si>
  <si>
    <t>d77935cfaed404890ce0d7ec09de95772b03bdc4d9a994c36bfa8d2abe19fa43</t>
  </si>
  <si>
    <t>9a4d8540dd49fc79e642a2a77b9cd2e8b52305398f366530f1f89933e19ae4c2</t>
  </si>
  <si>
    <t>2026-04-22T23:35:17+00:00</t>
  </si>
  <si>
    <t>Andreas Gundersen</t>
  </si>
  <si>
    <t>andreas@gungnir.no</t>
  </si>
  <si>
    <t>Onsdag eller torsdag</t>
  </si>
  <si>
    <t>6cfd8b90e8442110cc487281bb891460864c7b25062b4b3a2b6eaaa9c7f8bd24</t>
  </si>
  <si>
    <t>5ed789e4091caebee998f90015c936d6f17a585531cdc08def070495cba2cb0b</t>
  </si>
  <si>
    <t>2026-04-23T06:28:47+00:00</t>
  </si>
  <si>
    <t>14:28</t>
  </si>
  <si>
    <t>Karzan Flamarz</t>
  </si>
  <si>
    <t>j-norway@hotmail.com</t>
  </si>
  <si>
    <t>27.04 kl:09:00</t>
  </si>
  <si>
    <t>87e26a6acec8e4f728b97304b12302751860baff7fbdcc7e053bc19ef1fcea3b</t>
  </si>
  <si>
    <t>414bfd3d191749c83f10e879977a64e9e37cbf12583d98a078c4c3184636799c</t>
  </si>
  <si>
    <t>2026-04-24T12:28:09+00:00</t>
  </si>
  <si>
    <t>18:24</t>
  </si>
  <si>
    <t>AWELKHIER  Nassir</t>
  </si>
  <si>
    <t>awelnassir@hotmail.com</t>
  </si>
  <si>
    <t>924bd55d44e51179cbc2bf2192727aa8de476930702d8f640f1d00855eaaa05b</t>
  </si>
  <si>
    <t>e3c0c7427c2bf80c219c81f4a0b02fa61d1f4326400d8d8550706808af2e64e8</t>
  </si>
  <si>
    <t>2026-04-24T16:24:10+00:00</t>
  </si>
  <si>
    <t>10:06</t>
  </si>
  <si>
    <t>Sameer</t>
  </si>
  <si>
    <t>sameer-2409@hotmail.com</t>
  </si>
  <si>
    <t>25.04.26</t>
  </si>
  <si>
    <t>d2f55f86dd285b8c49be7fdf709a3c7573674d768470f7b75d9128117b183fb0</t>
  </si>
  <si>
    <t>d3f6f9119601832f890f0e3b39f6374c9f53cd86c9bea285edc30a6fe39e3c7d</t>
  </si>
  <si>
    <t>2026-04-25T08:06:24+00:00</t>
  </si>
  <si>
    <t>00:35</t>
  </si>
  <si>
    <t>Anita Johannessen</t>
  </si>
  <si>
    <t>anita.johannessen81@gmail.com</t>
  </si>
  <si>
    <t>12.05.26</t>
  </si>
  <si>
    <t>41211926617485340a8f7eae0360d9b872fd02f607b5c6982b966d95461132db</t>
  </si>
  <si>
    <t>056e72ffb90f662f8fe354a22a19a8ac6a7b1bfc42b299c2f89aeee6e2dc70e8</t>
  </si>
  <si>
    <t>2026-04-25T22:35:38+00:00</t>
  </si>
  <si>
    <t>16:45</t>
  </si>
  <si>
    <t>Telesphore kabatanchi</t>
  </si>
  <si>
    <t>crespo.kabatanchi@outlook.com</t>
  </si>
  <si>
    <t>Torsdag 30.april 2026</t>
  </si>
  <si>
    <t>4404b701ef34fec70b8d62eb06cd0369b1bdd9b7d39a34402de8608a0bfb5555</t>
  </si>
  <si>
    <t>e734a1c314488fe48df047a9037eb0d003e738c145e7e0ecacb9dcfff03d797c</t>
  </si>
  <si>
    <t>2026-04-26T14:46:00+00:00</t>
  </si>
  <si>
    <t>Mats Berg</t>
  </si>
  <si>
    <t>matsberg99@gmail</t>
  </si>
  <si>
    <t>3.juni mellom kl 15-16</t>
  </si>
  <si>
    <t>6a1281cca9d50577ea8214ae34dfa521f3d0611a1852632c7989ae2f3880279d</t>
  </si>
  <si>
    <t>309bcf4b4fd576039cbc807cd78c8164fd5352f12da1dd999a06d277d89a1e44</t>
  </si>
  <si>
    <t>2026-05-01T06:58:29+00:00</t>
  </si>
  <si>
    <t>20:24</t>
  </si>
  <si>
    <t>Arjan Malik</t>
  </si>
  <si>
    <t>arjanmalik.a@gmail.com</t>
  </si>
  <si>
    <t>11.05 etter kl 17 eller annen hverdag etter 17</t>
  </si>
  <si>
    <t>CV2013 h1=time4</t>
  </si>
  <si>
    <t>3081a99019be96e87758916557d6529a915a5b1ef61f270eb569e2cad153cbce</t>
  </si>
  <si>
    <t>99a7607552cc16d33d3220974a221335c574d9244bc5171fb66c2cdacb8f36e6</t>
  </si>
  <si>
    <t>2026-05-02T18:24:30+00:00</t>
  </si>
  <si>
    <t>10:50</t>
  </si>
  <si>
    <t>Harani</t>
  </si>
  <si>
    <t>harani@hotmail.no</t>
  </si>
  <si>
    <t>09.mai.2026 lørdag</t>
  </si>
  <si>
    <t>CV2010 h1=time4</t>
  </si>
  <si>
    <t>ae7b3bdd3713f35700f083f3e356c409c19e099148338501c16b5e385111eacf</t>
  </si>
  <si>
    <t>69794796c30381d965a862fc96809a640c930ef5e95647da43ab79d32b3de7b1</t>
  </si>
  <si>
    <t>2026-05-03T08:50:30+00:00</t>
  </si>
  <si>
    <t>Tone-Christin Ekmo</t>
  </si>
  <si>
    <t>ekmotone@gmail.com</t>
  </si>
  <si>
    <t>12.5.26</t>
  </si>
  <si>
    <t>cb35f5cc8054a5ae9f67107e2efa511abfe1aa1c1eb9c1b9ad593feaa38b38a6</t>
  </si>
  <si>
    <t>c08aaba0676ad09b91cb7e51df100912f015862183a199bd60bcd775d5f4d072</t>
  </si>
  <si>
    <t>2026-05-03T09:24:48+00:00</t>
  </si>
  <si>
    <t>Viktorija Koblova</t>
  </si>
  <si>
    <t>vikenzia92@gmail.com</t>
  </si>
  <si>
    <t>08.05.2026</t>
  </si>
  <si>
    <t>ringer tilbake selv, vet ikke når hun kan men vil sette opp en time for samboeren</t>
  </si>
  <si>
    <t>4959ae904a0306796bdedb6e892e5ec0eeb35e55dd438808f5b3477d2a4c51e1</t>
  </si>
  <si>
    <t>8dd155bb841dead4aceafbf47ac5ed25ba0806ea658ac5a0b71624d7e9195e3c</t>
  </si>
  <si>
    <t>2026-05-04T08:16:47+00:00</t>
  </si>
  <si>
    <t>11:00</t>
  </si>
  <si>
    <t>Wilde Frank</t>
  </si>
  <si>
    <t>frankydiamant90@hotmail.com</t>
  </si>
  <si>
    <t>11.05.26</t>
  </si>
  <si>
    <t>9fd6a754ba28840a095e227e4d2cc4a3acfbbe0adbf2cc0d6bf33843caa4f61e</t>
  </si>
  <si>
    <t>59f019d018505301b95ba93f1c3d7eb680986b1de560db71c7e0dfce89de1f7b</t>
  </si>
  <si>
    <t>2026-05-04T09:00:48+00:00</t>
  </si>
  <si>
    <t>Tony</t>
  </si>
  <si>
    <t>sondbo@gmail.com</t>
  </si>
  <si>
    <t>8 mai kl 12</t>
  </si>
  <si>
    <t>Skal sjekke opp med jobb og ringe opp igjen</t>
  </si>
  <si>
    <t>19fe0ba2a8791a9d832327687ee4a71f5ea471582e62e32aff194ff058af67ab</t>
  </si>
  <si>
    <t>0112d1ec636bbdfda564e3e44cc5a4d09320021db86f9f28794dd31216febdec</t>
  </si>
  <si>
    <t>2026-05-04T12:42:34+00:00</t>
  </si>
  <si>
    <t>00:37</t>
  </si>
  <si>
    <t>Bimala Poudel Aryal</t>
  </si>
  <si>
    <t>poudelbimala98@gmail.com</t>
  </si>
  <si>
    <t>9/5/2026</t>
  </si>
  <si>
    <t>73788904571cf500d18535f930be65f2bdba10ad8d7662242211db78db2c48e0</t>
  </si>
  <si>
    <t>9e85cfec14ea4ed9f5f95af8772f2f07f990bfc48c35dbc056f9a7d688fc6d78</t>
  </si>
  <si>
    <t>2026-05-04T22:37:10+00:00</t>
  </si>
  <si>
    <t>08:22</t>
  </si>
  <si>
    <t>Iben</t>
  </si>
  <si>
    <t>ibenriefling@outlook.com</t>
  </si>
  <si>
    <t>23/05/26 Klokken 13:00</t>
  </si>
  <si>
    <t>d523f47a303bc3e41299bbee14249c01ee3d8f625fac6381a2d25ac115a05f07</t>
  </si>
  <si>
    <t>d7f6ddbacd11d023cc722bb44f0668f46d002dfb89cd89aa42f83e93889610dc</t>
  </si>
  <si>
    <t>2026-05-05T06:22:01+00:00</t>
  </si>
  <si>
    <t>13:02</t>
  </si>
  <si>
    <t>Hege Marie Sørlie</t>
  </si>
  <si>
    <t>hmsorlie@gmail.com</t>
  </si>
  <si>
    <t>29.05.26</t>
  </si>
  <si>
    <t>83ebfb6c15ee35b3e55164f288efb763c3d72277881504293fcded78df172018</t>
  </si>
  <si>
    <t>8c1d018697afdb7a336013885148413e5b70249e2a5f1128a3ee5ad47436233a</t>
  </si>
  <si>
    <t>2026-05-06T11:02:40+00:00</t>
  </si>
  <si>
    <t>13:06</t>
  </si>
  <si>
    <t>Chameli Lama</t>
  </si>
  <si>
    <t>jeshul15@yahoo.vom</t>
  </si>
  <si>
    <t>7May 12:00clock</t>
  </si>
  <si>
    <t>0855959a5cab338212ce8938f0de483d390b56d11cbbd8ecafe63a39cc6dd724</t>
  </si>
  <si>
    <t>af414adaa1f93f0a5eac5c4ad49a584849b748804a921f4447aba09226d0a832</t>
  </si>
  <si>
    <t>2026-05-06T11:06:39+00:00</t>
  </si>
  <si>
    <t>14:22</t>
  </si>
  <si>
    <t>Anila Hassan</t>
  </si>
  <si>
    <t>meerbalaj73@yahoo.co.uk</t>
  </si>
  <si>
    <t>Mandag morgen før 12:00</t>
  </si>
  <si>
    <t>68800d0d1bd4f514e6b68e63d61468798e543a26e1c1f7a7a643a58219cefb07</t>
  </si>
  <si>
    <t>bfb30c510b6afa2e2152ea8d0275ad6890b7d085df66e2513e8bbbc7771e760e</t>
  </si>
  <si>
    <t>2026-05-06T12:22:59+00:00</t>
  </si>
  <si>
    <t>03:09</t>
  </si>
  <si>
    <t>Al-amin Mohamed Kedir Yassin</t>
  </si>
  <si>
    <t>alamin.yassin@outlook.com</t>
  </si>
  <si>
    <t>15.05.2026</t>
  </si>
  <si>
    <t>bd0e9546d678f7bea4d6e2aeee2c8bd7ab1beefd7c81227ce820309bb80c853d</t>
  </si>
  <si>
    <t>8455e9b8b5f680109d9c12ae02e6c774dca49fbfe7da46f8bc9c170f7a57d3cf</t>
  </si>
  <si>
    <t>2026-05-07T01:09:32+00:00</t>
  </si>
  <si>
    <t>Sara Rønne</t>
  </si>
  <si>
    <t>sarajohanneronne@gmail.com</t>
  </si>
  <si>
    <t>Åpen for dato. Helst tidlig, eller litt sent på ettermiddagen. Ikke 12.5, 18.5, 20.5, 28.5 eller 29.5</t>
  </si>
  <si>
    <t>36f414f2a6b5935f800fa376839b6595397191c1ef17f0aaad6951c5801f9371</t>
  </si>
  <si>
    <t>20ea6f84836455ff3a47cbe659e1b246ae29a27a69227fe06f339c94a1386788</t>
  </si>
  <si>
    <t>2026-05-07T06:52:50+00:00</t>
  </si>
  <si>
    <t>Jette Iversen</t>
  </si>
  <si>
    <t>jette.iversen@outlook.com</t>
  </si>
  <si>
    <t>20. mai etter kl. 17.30</t>
  </si>
  <si>
    <t>839def71f424e7ac9db3f06797c4968e845c2db0b6dedca2afb7693ed8104fb7</t>
  </si>
  <si>
    <t>bc1eef2ed6d95c36dd045ae74b73f1f500d1e0c08ef95932b82a2feee4bddd64</t>
  </si>
  <si>
    <t>2026-05-08T08:14:38+00:00</t>
  </si>
  <si>
    <t>19:29</t>
  </si>
  <si>
    <t>Jane Sundby</t>
  </si>
  <si>
    <t>jsunby@hotmail.com</t>
  </si>
  <si>
    <t>e3add788076111a0f25589247908cf622dd05e5d2d8936b177f14e75b64895a1</t>
  </si>
  <si>
    <t>e4d96cdf1ed82ce66e3310584d4acf3eda2bafde2c6b69340fac4d23ad654142</t>
  </si>
  <si>
    <t>2026-05-08T17:29:54+00:00</t>
  </si>
  <si>
    <t>Mabel Akogyeram</t>
  </si>
  <si>
    <t>mabel.akogyeram@gmail.com</t>
  </si>
  <si>
    <t>15.05.26</t>
  </si>
  <si>
    <t>b299ea10566d66b5bee35ef870f57b729f3d903e1194e35898f6099ddf10e262</t>
  </si>
  <si>
    <t>426ff5c9db0712ed2aa50f1b01b96aed2097d75c20f9e8d4eae0b493712b79d5</t>
  </si>
  <si>
    <t>2026-05-09T06:33:02+00:00</t>
  </si>
  <si>
    <t>08:49</t>
  </si>
  <si>
    <t>Mathilde Arntzen</t>
  </si>
  <si>
    <t>mathildearntzen@hotmail.com</t>
  </si>
  <si>
    <t>18. mai</t>
  </si>
  <si>
    <t>ab973ccfc449fe38920e115e2a80c7bdbebf5315856cc7e68270b668e3ae387f</t>
  </si>
  <si>
    <t>0118b1ea643008cd3c447db54fdfaac30d0a7c99bd4e865bdf160899b57d1d3c</t>
  </si>
  <si>
    <t>2026-05-09T06:49:20+00:00</t>
  </si>
  <si>
    <t>Tanja Valsgård</t>
  </si>
  <si>
    <t>tanja_valsgard@hotmail.com</t>
  </si>
  <si>
    <t>En lørdag passer best, inkl i dag. Ikke 30.</t>
  </si>
  <si>
    <t>acbfd6582dee09f822fc732b5a185afb1e0cb1d8b6930a129fcda639598b4f10</t>
  </si>
  <si>
    <t>6ac0a78043ecc29445f039173aa0e485e8e2286b08e9545cd0554b0e0755254f</t>
  </si>
  <si>
    <t>2026-05-09T06:50:49+00:00</t>
  </si>
  <si>
    <t>13:04</t>
  </si>
  <si>
    <t>Mariam Ghaznavi</t>
  </si>
  <si>
    <t>mariam.-ghaznavi@hotmail.com</t>
  </si>
  <si>
    <t>Mandag 18 mai klokka 05:00</t>
  </si>
  <si>
    <t>7adc50e4a07744eec53bad574b45b38e9cbb13b1c2dfecb724a6f43f378412b8</t>
  </si>
  <si>
    <t>fe050c11677be7d6051a947609dd723619974c09b9bc9db3d25bbff363a3c5bf</t>
  </si>
  <si>
    <t>2026-05-09T11:04:51+00:00</t>
  </si>
  <si>
    <t>Adyam andyesus</t>
  </si>
  <si>
    <t>adyamandyesus@yahoo.com</t>
  </si>
  <si>
    <t>Fredag 15:/5 kl 11:30</t>
  </si>
  <si>
    <t>521f1ac260175cc5191d9468932976b51a5841c7933a51eea7156495ad858230</t>
  </si>
  <si>
    <t>1f2831357c733bfd3fa4219cfd2de64c27307ed4ebae219151d793f4d42d323d</t>
  </si>
  <si>
    <t>2026-05-10T08:15:31+00:00</t>
  </si>
  <si>
    <t>kristian bekken</t>
  </si>
  <si>
    <t>13.05</t>
  </si>
  <si>
    <t>CV9159 img=flow3&amp;h1=time4</t>
  </si>
  <si>
    <t>20cc722c471602141abe95a0922e5c96bb12139ff94a63dee0bd75ec001b3056</t>
  </si>
  <si>
    <t>2026-05-11T04:44:36+00:00</t>
  </si>
  <si>
    <t>Lumnije</t>
  </si>
  <si>
    <t>lumnije72@hotmail.com</t>
  </si>
  <si>
    <t>93834960</t>
  </si>
  <si>
    <t>8b996ee81eefeb0ab3318682392b9cdc8280eb268da1b38b15e975c230404f8e</t>
  </si>
  <si>
    <t>f9574916dba37475256eade28b938de63f2dffb498c4e89a6571f19543ab6d37</t>
  </si>
  <si>
    <t>2026-05-11T05:45:04+00:00</t>
  </si>
  <si>
    <t>Yassin Moussaoui</t>
  </si>
  <si>
    <t>yassin.m.m@hotmail.com</t>
  </si>
  <si>
    <t>26/05/26</t>
  </si>
  <si>
    <t>Har ringt 22.05</t>
  </si>
  <si>
    <t>a7050e35596015646f88ae93d462a4e5ebfc8df502bec4e46ec1a5d84ff3b823</t>
  </si>
  <si>
    <t>e215fcca15263810fd05a86bbe11130b3baecf42c68cebd603793684e3b0ecb4</t>
  </si>
  <si>
    <t>2026-05-12T05:46:02+00:00</t>
  </si>
  <si>
    <t>09:03</t>
  </si>
  <si>
    <t>Torgeir Menne</t>
  </si>
  <si>
    <t>vikerforingen@gmail.com</t>
  </si>
  <si>
    <t>19.mai etter klokken 10.00</t>
  </si>
  <si>
    <t>7c4f730d8402061bbe598e1f5ba4223b84d93c50813206f6bdf39739dce995e2</t>
  </si>
  <si>
    <t>89678f156c5193ec20af1ee1d2627226010c252a75b31e84330777b4faa0ed70</t>
  </si>
  <si>
    <t>2026-05-12T07:03:20+00:00</t>
  </si>
  <si>
    <t>Terje Andersen</t>
  </si>
  <si>
    <t>terjea91@live.no</t>
  </si>
  <si>
    <t>20.5.26</t>
  </si>
  <si>
    <t>cca7e518527850ff3115fe457348daad1323134d6abddec349494447f398ad98</t>
  </si>
  <si>
    <t>59ecf7d160c5cd34dc8dd50d70c2f8cc2e69ebc9e0c6b8a6601d084be852397c</t>
  </si>
  <si>
    <t>2026-05-13T06:08:33+00:00</t>
  </si>
  <si>
    <t>10:48</t>
  </si>
  <si>
    <t>Ole Richard Lund</t>
  </si>
  <si>
    <t>olerlund@gmail.com</t>
  </si>
  <si>
    <t>02. juni eller 03. juni</t>
  </si>
  <si>
    <t>8371c90d25950fc540656c41ee43ef659362d3a725f95667d8b3df122cb8ed16</t>
  </si>
  <si>
    <t>5966867fc8209df4000cbedadd689dbfe0db0ca0451b5694dff33165db99d56b</t>
  </si>
  <si>
    <t>2026-05-13T08:48:12+00:00</t>
  </si>
  <si>
    <t>00:21</t>
  </si>
  <si>
    <t>Bente</t>
  </si>
  <si>
    <t>bentebilder@gmail.com</t>
  </si>
  <si>
    <t>20 .05 26</t>
  </si>
  <si>
    <t>17e8d5155185974f53077cf9edab0be3e141879ff30b176fe311dae34d2525f8</t>
  </si>
  <si>
    <t>762de1cbc4506de4c4478f8671ac518d45f5830e670c0da5b907fdd5186f1b57</t>
  </si>
  <si>
    <t>2026-05-13T22:21:28+00:00</t>
  </si>
  <si>
    <t>00:26</t>
  </si>
  <si>
    <t>Ilias ouali</t>
  </si>
  <si>
    <t>iliasouali2712@gmail.com</t>
  </si>
  <si>
    <t>c5b6b8e1b205c633028200973655a779df8344849b622221e33e26d42b85fd5f</t>
  </si>
  <si>
    <t>52d10d5a5dd9cb76498768c064114e03897a791f724edf233e7498ffe94da9f7</t>
  </si>
  <si>
    <t>2026-05-13T22:26:35+00:00</t>
  </si>
  <si>
    <t>Richardt Døhlen</t>
  </si>
  <si>
    <t>richardtwillydee@hotmail.com</t>
  </si>
  <si>
    <t>Tirsdag 21mai</t>
  </si>
  <si>
    <t>dd151bdcc0ae478feed8bf33c3dab1105085a52930b0657a64808924a3364f35</t>
  </si>
  <si>
    <t>ef0041cdffd13b53e7abed7b5b72668b4913b29b37eb9b20787e49db1195862f</t>
  </si>
  <si>
    <t>2026-05-15T09:46:41+00:00</t>
  </si>
  <si>
    <t>Arild Møller</t>
  </si>
  <si>
    <t>arild.zaro@yahoo.no</t>
  </si>
  <si>
    <t>22.02.2025 kl. 10</t>
  </si>
  <si>
    <t>Ring på mandag - Har ringt 22.05</t>
  </si>
  <si>
    <t>211585c1a292d42c9f41e124f9acb2b2e3a3ac0ba5279da0a2227cda1ad38f26</t>
  </si>
  <si>
    <t>49400f4482b4d4214ace9c82d6b09193887c6d3ca9c8d60a43fb7282bca8d41a</t>
  </si>
  <si>
    <t>2026-05-15T21:29:08+00:00</t>
  </si>
  <si>
    <t>10:11</t>
  </si>
  <si>
    <t>Edyta Brygidyn-Zapotoczny</t>
  </si>
  <si>
    <t>edyta.zapotoczny@gmail.com</t>
  </si>
  <si>
    <t>Hverdag mellom 8-20</t>
  </si>
  <si>
    <t>f1944a1a78c7b0c29ac85b1c7cba2beb64d0ab55f3aa476f73deb0b82030c63f</t>
  </si>
  <si>
    <t>f1c4b500a911e4bccbeceb8a8076fba303cd31cb5b9389febace462e4c227cb9</t>
  </si>
  <si>
    <t>2026-05-16T08:11:31+00:00</t>
  </si>
  <si>
    <t>14:14</t>
  </si>
  <si>
    <t>Ukashah Aziz</t>
  </si>
  <si>
    <t>abdelzu_89@outlook.com</t>
  </si>
  <si>
    <t>Søndag kl 11</t>
  </si>
  <si>
    <t>5268c7d1748a5d373325d5216b82ed9b6dd2616a6cfdef26fc675bdd4768674f</t>
  </si>
  <si>
    <t>563bd9534795ba8663e3d99bfac3af5d14de7b527b8d6fe001fd511c3ddc8200</t>
  </si>
  <si>
    <t>2026-05-16T12:14:01+00:00</t>
  </si>
  <si>
    <t>Rhodora Cruzat Cruzat</t>
  </si>
  <si>
    <t>cruzatrhodora@yahoo.com</t>
  </si>
  <si>
    <t>18052026 kl08</t>
  </si>
  <si>
    <t>Går rett til telefonsvarer</t>
  </si>
  <si>
    <t>5cbaeddef08cdac3b8b358085e44b186b01a540855306a6c5eb550e936893a6f</t>
  </si>
  <si>
    <t>30c84327b8cf225c605a4b5fe0f9a64a843914d27ad7d096972b266395053cef</t>
  </si>
  <si>
    <t>2026-05-16T22:48:43+00:00</t>
  </si>
  <si>
    <t>07:15</t>
  </si>
  <si>
    <t>Elvir Cehajic</t>
  </si>
  <si>
    <t>elvir02@hotmail.com</t>
  </si>
  <si>
    <t>22/05/26 17.00</t>
  </si>
  <si>
    <t>e4ace121c9907622cd782d20e210fe1dd5668506265ba5fb071172a42cd1cc97</t>
  </si>
  <si>
    <t>a2b36beb4db9a8c49fa47e2c183a7b6a5ee368a05380b5016a5447e60af06ca2</t>
  </si>
  <si>
    <t>2026-05-17T05:15:09+00:00</t>
  </si>
  <si>
    <t>14:17</t>
  </si>
  <si>
    <t>Lindita Ameti</t>
  </si>
  <si>
    <t>linda31linda@gmail.com</t>
  </si>
  <si>
    <t>29. 05. 2026</t>
  </si>
  <si>
    <t>fe5d0bf9c16f3ec80c39bd229c405f1ddef4120c3a7e7a9917bdcbee27f5b6b3</t>
  </si>
  <si>
    <t>4c3b865879c5f7056795c04ad09b0bfe6ab717a5bf6ad89bb9d3027201e1055f</t>
  </si>
  <si>
    <t>2026-05-18T12:17:37+00:00</t>
  </si>
  <si>
    <t>17:54</t>
  </si>
  <si>
    <t>Jelena</t>
  </si>
  <si>
    <t>jelenadurisic@yahoo.com</t>
  </si>
  <si>
    <t>Dagtid</t>
  </si>
  <si>
    <t>b7954b979ea07ed6a17c9bbe0beecdff519bdf052f0c2704829a8b823b66a732</t>
  </si>
  <si>
    <t>87f098a6bdf2b3cbb4fcfb199676151f14d45d4253751841adebf23f74078e0a</t>
  </si>
  <si>
    <t>2026-05-18T15:54:48+00:00</t>
  </si>
  <si>
    <t>09:42</t>
  </si>
  <si>
    <t>Astri Alise Rødland</t>
  </si>
  <si>
    <t>astrialise@gmail.com</t>
  </si>
  <si>
    <t>22.5 eller  28.5 før kl 10 eller etter kl 18.30</t>
  </si>
  <si>
    <t>13b661f778fca9704c9e0aa13ed4e4e3cdeff75652f342b42130b14057696d9f</t>
  </si>
  <si>
    <t>9bd01786f272024b23cda55b2eeaf16cc99a4efdbadebb0941906872f2476052</t>
  </si>
  <si>
    <t>2026-05-19T07:42:32+00:00</t>
  </si>
  <si>
    <t>10:57</t>
  </si>
  <si>
    <t>sehrish</t>
  </si>
  <si>
    <t>sehrsehr58@yahoo.no</t>
  </si>
  <si>
    <t>19.05.26</t>
  </si>
  <si>
    <t>Sier hun skal reise og ringer tilbake for å sette opp time</t>
  </si>
  <si>
    <t>0bdf73238738e3f1c5a4836850d0ec7522d3c107f543dc9488a58618906d0ce0</t>
  </si>
  <si>
    <t>826edc25845887bd2145e44acb94d011ad7c070e04a44cda6b7edcc34194e8ed</t>
  </si>
  <si>
    <t>2026-05-19T08:57:55+00:00</t>
  </si>
  <si>
    <t>04:21</t>
  </si>
  <si>
    <t>Muhammad Fawad Haider</t>
  </si>
  <si>
    <t>fawadchaudhry1992@gmail.com</t>
  </si>
  <si>
    <t>29 mai</t>
  </si>
  <si>
    <t>9a6ceb244899392e2fad889250ea57cae6e8bfa38d0b8b9555696736d45c6288</t>
  </si>
  <si>
    <t>e3aa256eeb78eca5f6ec499fc71112a15dcd243f84d6e36ce5a5ea8de8c7b699</t>
  </si>
  <si>
    <t>2026-05-20T02:21:55+00:00</t>
  </si>
  <si>
    <t>08:35</t>
  </si>
  <si>
    <t>Sandra Gjendem</t>
  </si>
  <si>
    <t>sandragjendem@hotmail.com</t>
  </si>
  <si>
    <t>22.05.26</t>
  </si>
  <si>
    <t>3629b7141758367aee471e9a0ad43d20d009601ba799341101dfa8bfe726e7b6</t>
  </si>
  <si>
    <t>6de176bd68388d8206bd12fef811b387793ae0564e8066953a3c9884c8420b72</t>
  </si>
  <si>
    <t>2026-05-20T06:36:00+00:00</t>
  </si>
  <si>
    <t>00:23</t>
  </si>
  <si>
    <t>Arathy Anmaritha Konesh</t>
  </si>
  <si>
    <t>A.marithaKo@hotmail.com</t>
  </si>
  <si>
    <t>26/5/26</t>
  </si>
  <si>
    <t>f4cad413a0d1833402b9de95ac9ab113de5e65e860d08016d37fdd79aeb839e8</t>
  </si>
  <si>
    <t>64b03ce9e18df3d3e83053409b9fc2ec1a8b416148280adc7be3b091f768f954</t>
  </si>
  <si>
    <t>2026-05-20T22:23:55+00:00</t>
  </si>
  <si>
    <t>06:31</t>
  </si>
  <si>
    <t>Mic Jonathan Kingsleythasan</t>
  </si>
  <si>
    <t>micjonathan2403@gmail.com</t>
  </si>
  <si>
    <t>24.05.26</t>
  </si>
  <si>
    <t>7a24e48b2fa797ed2ea4d51e967ee5b6d3f87f98bc8c0928d8f15244779a45df</t>
  </si>
  <si>
    <t>cfe4d389a538e22209041d6301e1366623c15492ba8ed13038665d13028b7a2e</t>
  </si>
  <si>
    <t>2026-05-21T04:31:30+00:00</t>
  </si>
  <si>
    <t>Thamayanthi Nahules</t>
  </si>
  <si>
    <t>thama_n@hotmail.com</t>
  </si>
  <si>
    <t>02.06.2026 kl 18.00</t>
  </si>
  <si>
    <t>afd69cbf8d161d45afb57b215434b000a8f577406a5284faa4f0c0cbdf9c74a5</t>
  </si>
  <si>
    <t>3a1f3b1f0744a073038d424c3a9347c1298bed1745c61a7e6c82ea435304eb80</t>
  </si>
  <si>
    <t>2026-05-22T10:56:53+00:00</t>
  </si>
  <si>
    <t>Yosra raboudi</t>
  </si>
  <si>
    <t>yosra-raboudi@outlook.fr</t>
  </si>
  <si>
    <t>27/05/2025</t>
  </si>
  <si>
    <t>1533abbd78cc42c4fd76c1df00d4472e17aaa8832d7e89a81be81f445a8b39b4</t>
  </si>
  <si>
    <t>ee508d2fd76ca9eb8c67425bc0714a2a9d2a1595f526cba69ce79cca9b0fcef1</t>
  </si>
  <si>
    <t>2026-05-22T13:33:01+00:00</t>
  </si>
  <si>
    <t>08:44</t>
  </si>
  <si>
    <t>Jo Tandberg</t>
  </si>
  <si>
    <t>Tirsdag 26/5/26</t>
  </si>
  <si>
    <t>29f550a2aa389677391d97a4be075ca94b4f7a88e30e50069d71be8331daca75</t>
  </si>
  <si>
    <t>2026-05-23T06:44:44+00:00</t>
  </si>
  <si>
    <t>10:20</t>
  </si>
  <si>
    <t>Tatiana Dremukha</t>
  </si>
  <si>
    <t>dremulhatatiana@gmail.com</t>
  </si>
  <si>
    <t>25-27.05</t>
  </si>
  <si>
    <t>a382859224a4d856ad7bb2fe2038801037eb7acbe67aadf76bd9d8ac9e0ec26d</t>
  </si>
  <si>
    <t>bf3ef3090f158dbc109645a17fb05335e526c1ec4dae7ffbb3fdb49d7dc31a60</t>
  </si>
  <si>
    <t>2026-05-23T08:20:21+00:00</t>
  </si>
  <si>
    <t>00:20</t>
  </si>
  <si>
    <t>Busra Sariteke</t>
  </si>
  <si>
    <t>busra@live.no</t>
  </si>
  <si>
    <t>Uke 22 ettee klokken 14</t>
  </si>
  <si>
    <t>d3853631564299c342cc8c66475274a8c2995662623ee39b54c83c74f854ede9</t>
  </si>
  <si>
    <t>0b6f583e29e4974b8a73972ca45a2f15ba576d413d5e01a799212a17c8492507</t>
  </si>
  <si>
    <t>2026-05-23T22:20:44+00:00</t>
  </si>
  <si>
    <t>09:12</t>
  </si>
  <si>
    <t>Therese Busch</t>
  </si>
  <si>
    <t>tessabusch@gmail.com</t>
  </si>
  <si>
    <t>29.05.2026</t>
  </si>
  <si>
    <t>7a72dab91fe4d0bd1fbb985f13b62523acf3009c41570eda957a662d4b9b861d</t>
  </si>
  <si>
    <t>db27c4f12cdc0f7da3fcba479b9478a829634440e16009e2deafb663285aff72</t>
  </si>
  <si>
    <t>2026-05-24T07:12:28+00:00</t>
  </si>
  <si>
    <t>Wiam guennoun</t>
  </si>
  <si>
    <t>weammanar@gmail.com</t>
  </si>
  <si>
    <t>2.6</t>
  </si>
  <si>
    <t>85e050c006b8d8ea87e6dc7d3ce917d7eefb395225da57fc538e89d5bd358f8d</t>
  </si>
  <si>
    <t>932273cd1a1608b6b2958f8f1d69be9cda506e24dc17dfcd5562343551a5e81d</t>
  </si>
  <si>
    <t>2026-05-25T09:01:33+00:00</t>
  </si>
  <si>
    <t>12:48</t>
  </si>
  <si>
    <t>Divora</t>
  </si>
  <si>
    <t>divora96@gmail.com</t>
  </si>
  <si>
    <t>onsdag</t>
  </si>
  <si>
    <t>ed513f685fd9d61a394273475befe9eadeb9299abc93f55ccb6c5388ce5b9f2d</t>
  </si>
  <si>
    <t>14912f661d8f8acc783e47b4041b5fab995a8bbf08b875d8dbfa8a289dc8976a</t>
  </si>
  <si>
    <t>2026-05-25T10:48:34+00:00</t>
  </si>
  <si>
    <t>Dawit Gebregiorgis</t>
  </si>
  <si>
    <t>dawit_z2001@yahoo.com</t>
  </si>
  <si>
    <t>Denne Fredag 12:00- 20:00</t>
  </si>
  <si>
    <t>6b7bd176520c3423237b9e7b6989e7ea620036d4553bb0ab32752987ae313589</t>
  </si>
  <si>
    <t>569919eb0f3d235c835e9e31f6eed2e9fde1c18fe32b7811f7ebade9a5ddad5c</t>
  </si>
  <si>
    <t>2026-05-26T08:12:59+00:00</t>
  </si>
  <si>
    <t>Janet Abrahamsen</t>
  </si>
  <si>
    <t>janetabrahamsen@gmail.com</t>
  </si>
  <si>
    <t>29.05 2026</t>
  </si>
  <si>
    <t>sendt e-post 27.05</t>
  </si>
  <si>
    <t>864447b9f11eef1528fa934a9a85a8f21820dc222dba6469887a077c4677cf46</t>
  </si>
  <si>
    <t>f691992975ebd55f3cb449a7c558a4e0f6a11a49af19f5f1ae289f6910d2a243</t>
  </si>
  <si>
    <t>2026-05-26T08:43:53+00:00</t>
  </si>
  <si>
    <t>10:46</t>
  </si>
  <si>
    <t>29. mai 2026</t>
  </si>
  <si>
    <t>8c87ecab5b0b7fa7ee763fe035e21f52d8b6a58e860f45fdd93d6dfa2a6a7c38</t>
  </si>
  <si>
    <t>2026-05-26T08:46:59+00:00</t>
  </si>
  <si>
    <t>Rubab Shagufta</t>
  </si>
  <si>
    <t>waheedshabbir@live.no</t>
  </si>
  <si>
    <t>31-05-2026</t>
  </si>
  <si>
    <t>4c7c0969bdb838981e7db232f30b3871c5ae20c0b21b431bb41c09695d4e18aa</t>
  </si>
  <si>
    <t>5b89df1cc6afc2d0430b093ef938a14bbee3fb8d89a196999adc6c928ff4e39a</t>
  </si>
  <si>
    <t>2026-05-27T11:23:54+00:00</t>
  </si>
  <si>
    <t>20:06</t>
  </si>
  <si>
    <t>Ivar Ullestad</t>
  </si>
  <si>
    <t>ivar.ullestad@outlook.com</t>
  </si>
  <si>
    <t>bdb251b9a1c2db30e1b5b25acd221476b1e078cb0528d378645e072ac6dd9387</t>
  </si>
  <si>
    <t>6547a9f4e81492b8c7fe5981b1255cfb4fb0a361968fb0d1c4cc52cea7de2850</t>
  </si>
  <si>
    <t>2026-05-27T18:06:03+00:00</t>
  </si>
  <si>
    <t>05:29</t>
  </si>
  <si>
    <t>64864b46ba181a95011a3064a12ad29a111037a59cbabad4bc441fc4b1b57025</t>
  </si>
  <si>
    <t>2026-05-28T03:29:46+00:00</t>
  </si>
  <si>
    <t>Geir Arne Johansen</t>
  </si>
  <si>
    <t>geirbrett@hotmail.com</t>
  </si>
  <si>
    <t>5.6</t>
  </si>
  <si>
    <t>62e79502a44753a8c5c54408d6a89d09fec51b752bb0df6623eb148571639e58</t>
  </si>
  <si>
    <t>0a29d44ef38c6e60767ecba8bba4cd222189d9e783a4e9a3eee3410be07bd1d5</t>
  </si>
  <si>
    <t>2026-05-28T08:00:41+00:00</t>
  </si>
  <si>
    <t>02:42</t>
  </si>
  <si>
    <t>Olav Slåtta</t>
  </si>
  <si>
    <t>olavs73@getmail.no</t>
  </si>
  <si>
    <t>30 mai</t>
  </si>
  <si>
    <t>sendt e-post 29.05, ringt 02.06,10.06</t>
  </si>
  <si>
    <t>acf27ee23d3720580422ec2ed865acd426d3d3c5998ad8f1d33a5e4b10ad4f03</t>
  </si>
  <si>
    <t>f2f07204fd22f97af013b557e9febae18c131a899fa3cc08bd0a14012481978b</t>
  </si>
  <si>
    <t>2026-05-29T00:42:03+00:00</t>
  </si>
  <si>
    <t>17:21</t>
  </si>
  <si>
    <t>Marianne Håman Guldhav</t>
  </si>
  <si>
    <t>mhg75@live.no</t>
  </si>
  <si>
    <t>19.06.2026</t>
  </si>
  <si>
    <t>7eb6a5dc681b37f3ba35cff546f244c2fc130169f9f0b51c78949d081fea3c1b</t>
  </si>
  <si>
    <t>cccaf463cedaeff5e79fe2606dbe80228f106592671521b719f21b70aadf3b6d</t>
  </si>
  <si>
    <t>2026-05-29T15:21:45+00:00</t>
  </si>
  <si>
    <t>07:54</t>
  </si>
  <si>
    <t>Agnete Djupvik</t>
  </si>
  <si>
    <t>agnetedjupvik@gmail.com</t>
  </si>
  <si>
    <t>2. Juni</t>
  </si>
  <si>
    <t>be8a2827d947c4ac84c2de1fb101044283766ad6a433a41958b49035ee1b271f</t>
  </si>
  <si>
    <t>af4f15dbb61ad83cc4909bf5aeef7c2caecea471a6b79f7b2ea9e943e75eef76</t>
  </si>
  <si>
    <t>2026-05-30T05:54:32+00:00</t>
  </si>
  <si>
    <t>Hadera Solomon</t>
  </si>
  <si>
    <t>hadera.michael18@gmail.com</t>
  </si>
  <si>
    <t>Lørdag 6.6. 2026</t>
  </si>
  <si>
    <t>225121b208336484ae64479ef58c8d88839fbe81dfd34ebdce916f04c550b4a0</t>
  </si>
  <si>
    <t>255c77c924f84d470dcbcefc6803bc47aaaf31d84200030546df43f1db979747</t>
  </si>
  <si>
    <t>2026-05-30T09:55:03+00:00</t>
  </si>
  <si>
    <t>Bafana Isaac Nhlapo</t>
  </si>
  <si>
    <t>isaac.bafana@gmail.com</t>
  </si>
  <si>
    <t>Mandag 1. juni eller tirsdag 2. Juni</t>
  </si>
  <si>
    <t>e007f6d47ed3136945726dd6678f3c948857a7c68d9ccd12a14bb8f9e0c78ef7</t>
  </si>
  <si>
    <t>5a3e71c4330590746e59e29a488a5bddafef8041b6019098acd8d534d9b3e3c0</t>
  </si>
  <si>
    <t>2026-05-31T09:56:59+00:00</t>
  </si>
  <si>
    <t>13:25</t>
  </si>
  <si>
    <t>nadia</t>
  </si>
  <si>
    <t>astarien@hotmail.com</t>
  </si>
  <si>
    <t>04.06.26  etter kl 16</t>
  </si>
  <si>
    <t>e5d8d43adea7fc435f590e3f4da16504e99d24591bef91082b406fff8130f67b</t>
  </si>
  <si>
    <t>b0b64380824972dca16a792e95396a4459b19c998c7c61cffb72bb35af9e2e81</t>
  </si>
  <si>
    <t>2026-05-31T11:25:11+00:00</t>
  </si>
  <si>
    <t>Almaz Tsegay</t>
  </si>
  <si>
    <t>almazfgselasr@yahoo.com</t>
  </si>
  <si>
    <t>05.06.2026</t>
  </si>
  <si>
    <t>62c788618a3a186a220c771a6a4787d5aef26ff0fcb7b0393fb17f13e10178ed</t>
  </si>
  <si>
    <t>c2da994e959e0aa8cb658625be3e5ab6e57113464c5f16f89c8231e0e6950a2e</t>
  </si>
  <si>
    <t>2026-06-01T19:43:00+00:00</t>
  </si>
  <si>
    <t>22:56</t>
  </si>
  <si>
    <t>Suleman Ahmed</t>
  </si>
  <si>
    <t>sulema93@hotmail.com</t>
  </si>
  <si>
    <t>5 juni</t>
  </si>
  <si>
    <t>6210e816334d1849217430e097c7485d8416738af240049f842e54e75c1151af</t>
  </si>
  <si>
    <t>ed391dc684f8b6f6195bbdc3b953f39cf5db740ceabbc884f522be42e59de489</t>
  </si>
  <si>
    <t>2026-06-01T20:56:47+00:00</t>
  </si>
  <si>
    <t>11:59</t>
  </si>
  <si>
    <t>Khanh Vu Ngoc</t>
  </si>
  <si>
    <t>khanhvungoc@hotmail.com</t>
  </si>
  <si>
    <t>Torsdag 11 Juni</t>
  </si>
  <si>
    <t>17761f12aa762f41197648b01dc34992b173fcb1c159004072c55f990e29d002</t>
  </si>
  <si>
    <t>436d39c9b4d2896e1245c5fd4d0aeb6bc18799053647aee2689ef29e29e7c22f</t>
  </si>
  <si>
    <t>2026-06-02T09:59:07+00:00</t>
  </si>
  <si>
    <t>Marion Sundquist</t>
  </si>
  <si>
    <t>Marion.sundquist@gmail.comm</t>
  </si>
  <si>
    <t>290626  kl 10</t>
  </si>
  <si>
    <t>sendt e-post</t>
  </si>
  <si>
    <t>19581e27de7ced00ff1ce50b2047e7a567c76b1cbaebabe5ef03f7c3017bb5b7</t>
  </si>
  <si>
    <t>fefecf399bfd9b96924883c96248e4295389d9e20bc4afd387c0c70971470d0e</t>
  </si>
  <si>
    <t>2026-06-02T16:11:11+00:00</t>
  </si>
  <si>
    <t>Kessrin Haraldsen</t>
  </si>
  <si>
    <t>kessrin77@gmail.com</t>
  </si>
  <si>
    <t>8/6/26</t>
  </si>
  <si>
    <t>ea1f9d46ceb9d0d39f5570c545ceb3b3796acee2f9e459c857215f2cd45cf251</t>
  </si>
  <si>
    <t>7790b7489df591bdcd98eb46e56288ec9ee3b8ce371dcae90a327318f44440bd</t>
  </si>
  <si>
    <t>2026-06-03T15:54:48+00:00</t>
  </si>
  <si>
    <t>18:37</t>
  </si>
  <si>
    <t>Sindre Eivindsen</t>
  </si>
  <si>
    <t>shiwen.eiv@gmail.com</t>
  </si>
  <si>
    <t>04.06 / 05.06</t>
  </si>
  <si>
    <t>1b331fea6c14ae6ed9e7637142fbf43190d7bbc543b3886a2f1edb94ee05fa77</t>
  </si>
  <si>
    <t>a2dd598c1a82447e3c24c16e4c4a969f11a0c298732684aabf733e58e4bd09a0</t>
  </si>
  <si>
    <t>2026-06-03T16:37:10+00:00</t>
  </si>
  <si>
    <t>17:32</t>
  </si>
  <si>
    <t>Mona Anisdahl</t>
  </si>
  <si>
    <t>mmera@online.no</t>
  </si>
  <si>
    <t>8. juni</t>
  </si>
  <si>
    <t>0e643146598513b4419aeb770336af716a454f71183b605a2590cc552838dd73</t>
  </si>
  <si>
    <t>b24367cb34ac9d2c1890b366066e45402b02def812edcb6e8bf1cbbf047b3522</t>
  </si>
  <si>
    <t>2026-06-04T15:32:45+00:00</t>
  </si>
  <si>
    <t>Feben Germay</t>
  </si>
  <si>
    <t>tadelebest@yahoo.com</t>
  </si>
  <si>
    <t>8/6</t>
  </si>
  <si>
    <t>nr ikke i bruk</t>
  </si>
  <si>
    <t>390b20eef59a1bd0e9015432a264f4e5b6c3e29ffe28c99f8eeb7487baf552eb</t>
  </si>
  <si>
    <t>c716e8df333a0fd7cc7755408c93e13550f8f4074092cd3f122c488598223e82</t>
  </si>
  <si>
    <t>2026-06-05T09:46:06+00:00</t>
  </si>
  <si>
    <t>18:05</t>
  </si>
  <si>
    <t>Ole Jonny Sivertsen</t>
  </si>
  <si>
    <t>ojslonn@gmail.com</t>
  </si>
  <si>
    <t>16.06.26</t>
  </si>
  <si>
    <t>54fb57d3f327fd691ea99cf79835eb0a5a0aa030811d37e9d49e568299f777c0</t>
  </si>
  <si>
    <t>5d27f6fcb4f56b39dd22d487bf95b84cefb14532b5731dcb73651594c31e58ec</t>
  </si>
  <si>
    <t>2026-06-05T16:05:11+00:00</t>
  </si>
  <si>
    <t>00:17</t>
  </si>
  <si>
    <t>Njarra Jagne</t>
  </si>
  <si>
    <t>njarra4@gmail.com</t>
  </si>
  <si>
    <t>Mandag til fredag</t>
  </si>
  <si>
    <t>ba3fe8295530710df595861c15a305c482d44c3ddcbd7a381f236721e2970402</t>
  </si>
  <si>
    <t>6fa31bcd7d490baaba5eb923da59b4ffdca66bbd211711031bd408ae279e4ecf</t>
  </si>
  <si>
    <t>2026-06-05T22:17:11+00:00</t>
  </si>
  <si>
    <t>12:29</t>
  </si>
  <si>
    <t>Elena Madalina Ionascu</t>
  </si>
  <si>
    <t>madalina_ionascu86@yahoo.com</t>
  </si>
  <si>
    <t>9.06.2026</t>
  </si>
  <si>
    <t>8e0750e1d09edf3321523ecd4213ab4e33735525ca4e4e0d6cc430407a2e2b38</t>
  </si>
  <si>
    <t>489f0b1f4b19dd48ce1b5ff134dfbe4d7b0cf7b6b169294f3e0d4278555052c9</t>
  </si>
  <si>
    <t>2026-06-06T10:29:46+00:00</t>
  </si>
  <si>
    <t>08:17</t>
  </si>
  <si>
    <t>Yngvild Johannesen</t>
  </si>
  <si>
    <t>yngvild_vj@hotmail.com</t>
  </si>
  <si>
    <t>16.06.26 eller 17.06.26 etter klokken 15:00</t>
  </si>
  <si>
    <t>6a79d152ff4f36444833795d12ff44d33cb56e1b99c73078059c32031c601c52</t>
  </si>
  <si>
    <t>cb89b210e1e3809af84457950cf9068002577df4dc406d1db1d4bec8a4324d71</t>
  </si>
  <si>
    <t>2026-06-07T06:17:16+00:00</t>
  </si>
  <si>
    <t>14:04</t>
  </si>
  <si>
    <t>Oguz Demirbas</t>
  </si>
  <si>
    <t>frukt-hagen@hotmail.con</t>
  </si>
  <si>
    <t>Spiller ingen roller innen denne månden</t>
  </si>
  <si>
    <t>770f63c43978e61c9ba3e27afc3c932291a05c31a9249947ecddf8f83fcfa894</t>
  </si>
  <si>
    <t>ec1e2b9b451acc4c99465a82c33b28957a337f819677cf6e9031ed523db43744</t>
  </si>
  <si>
    <t>2026-06-07T12:04:36+00:00</t>
  </si>
  <si>
    <t>17:37</t>
  </si>
  <si>
    <t>Anna Tolik</t>
  </si>
  <si>
    <t>aniatolik@gmail.com</t>
  </si>
  <si>
    <t>08.06.2026 eller 12.06.2026</t>
  </si>
  <si>
    <t>6f2cfbf0577bba2d679dfccf0cb9987d478f344e8147d542ff7e833f3bf60bae</t>
  </si>
  <si>
    <t>9a3f1f21d20ecf7dd5bf5a75fb3c4091e0b6846ed324e6c6ec850245bf884522</t>
  </si>
  <si>
    <t>2026-06-07T15:37:32+00:00</t>
  </si>
  <si>
    <t>SHAHBAZ</t>
  </si>
  <si>
    <t>shahbaz1344m@gmail.com</t>
  </si>
  <si>
    <t>Fredag 12</t>
  </si>
  <si>
    <t>5b81573c32817d496256fd21668822e673182530b4ed6cde5ffa6de02c41ee01</t>
  </si>
  <si>
    <t>8a33a2c5181a0e602adf6bfa628628c80bb6a4ef13415f6925f3e137307f91ca</t>
  </si>
  <si>
    <t>2026-06-07T23:34:16+00:00</t>
  </si>
  <si>
    <t>Marlenny Marlenny Rosario Rodriguez</t>
  </si>
  <si>
    <t>yadirastilo@gmail.com</t>
  </si>
  <si>
    <t>Lørdag 10:00</t>
  </si>
  <si>
    <t>08.06, 09,06,</t>
  </si>
  <si>
    <t>e3a36f84d7ebe658f274833a638b0e2d8c9fa561b87e0acfe0117dd394ac904f</t>
  </si>
  <si>
    <t>d104449095fafe2f80b7d31815faa8d43de1a6f476097da4146f848167ea29aa</t>
  </si>
  <si>
    <t>2026-06-08T06:39:05+00:00</t>
  </si>
  <si>
    <t>Rebekka Chung Barmen</t>
  </si>
  <si>
    <t>rebekka_barmen@hotmail.com</t>
  </si>
  <si>
    <t>19/06/26</t>
  </si>
  <si>
    <t>c5dc31f2a6e33bf35887a328c8c311ab40be63e9d05923719eab78ef76f7143c</t>
  </si>
  <si>
    <t>9acd7a3ab97a514a70a1265eb34456f68f1d723da750a78975fd12d78eb6d7a7</t>
  </si>
  <si>
    <t>2026-06-09T08:10:44+00:00</t>
  </si>
  <si>
    <t>Tommy Bråten</t>
  </si>
  <si>
    <t>tommyfatboy.tbt@gmail.com</t>
  </si>
  <si>
    <t>10.06.</t>
  </si>
  <si>
    <t>b6a12a307a73f68ed4f5d362288ad0759bb5a9ef480058e923ffad83b25b791f</t>
  </si>
  <si>
    <t>4b340c1216e43c20cc057151adbfaff9f7f5c73704fedb3c03497dc588b9c0ee</t>
  </si>
  <si>
    <t>2026-06-09T11:12:30+00:00</t>
  </si>
  <si>
    <t>00:34</t>
  </si>
  <si>
    <t>Adnan Mehfooz</t>
  </si>
  <si>
    <t>idnan50@hotmail.com</t>
  </si>
  <si>
    <t>12.06.26</t>
  </si>
  <si>
    <t>5111815b08701ccb6fe25e6f2707a2af1b719a6d3e8654f52a44c247bc729fad</t>
  </si>
  <si>
    <t>b2ee653579741ff132edbbd861954b695f3447a47a06bee3fc1a86eb07125e30</t>
  </si>
  <si>
    <t>2026-06-09T22:34:35+00:00</t>
  </si>
  <si>
    <t>Wilfredo Garcia</t>
  </si>
  <si>
    <t>elbuellon45@gmail.com</t>
  </si>
  <si>
    <t>Rent</t>
  </si>
  <si>
    <t>da09db041a860633b12e80def040fe1fd4b6a310451431cfb28f3fd12983903e</t>
  </si>
  <si>
    <t>ceb7b1e6d304af01c8dccd5cdc50ac2e8fea72ed90492d446deb7784a7e949bf</t>
  </si>
  <si>
    <t>2026-06-09T22:53:01+00:00</t>
  </si>
  <si>
    <t>05:59</t>
  </si>
  <si>
    <t>Sharmin Gulzar</t>
  </si>
  <si>
    <t>sharmingulzar@hotmail.co.uk</t>
  </si>
  <si>
    <t>26th June</t>
  </si>
  <si>
    <t>b6164849f0f693f67fc5baf7f6291639dceecad8e0ace40cd65dd411279ba7d2</t>
  </si>
  <si>
    <t>c3fad6fb8a6dfdd2e5b2ccd8e907c37712f686b9d81b548ac1191f962423a114</t>
  </si>
  <si>
    <t>2026-06-11T03:59:50+00:00</t>
  </si>
  <si>
    <t>08:11</t>
  </si>
  <si>
    <t>Celine Iversen</t>
  </si>
  <si>
    <t>iversenceline@gmail.com</t>
  </si>
  <si>
    <t>db37f3fd579c3132b5e5209544b5120755e5bb3d24e8a2ca7e06210ca01f3cfd</t>
  </si>
  <si>
    <t>534a09cb4676f1bb2be1aac3ed911e70a558cf8e0f2e337dafb7b138b6bd502f</t>
  </si>
  <si>
    <t>2026-06-11T06:11:41+00:00</t>
  </si>
  <si>
    <t>Valbona</t>
  </si>
  <si>
    <t>valbonared.1@gmail.com</t>
  </si>
  <si>
    <t>13.06.2027</t>
  </si>
  <si>
    <t>CV3011 h1=time4</t>
  </si>
  <si>
    <t>55466823585bad4face84aa6d705c7ba337eefbf92c819eb23baf8b13d0e0514</t>
  </si>
  <si>
    <t>a93f981472e2bd69c143af1a6147059165111de4b97f9a8b5c7778364f750586</t>
  </si>
  <si>
    <t>2026-06-12T09:16:25+00:00</t>
  </si>
  <si>
    <t>14:12</t>
  </si>
  <si>
    <t>Rosanna Aquino ogando</t>
  </si>
  <si>
    <t>rosanna@live.no</t>
  </si>
  <si>
    <t>2777ef39242ab24d1e746b5ff2d2c1edff03275791e4c0c5373dcf6887c2a4a1</t>
  </si>
  <si>
    <t>5b7d6b6c987fa2ca0b58a4ad142aeaee2a4604a84c9ba24cef8fccd08b6a83ce</t>
  </si>
  <si>
    <t>2026-06-12T12:12:41+00:00</t>
  </si>
  <si>
    <t>Maria nervie baltazar</t>
  </si>
  <si>
    <t>marianervie55@gmail.com</t>
  </si>
  <si>
    <t>18.6 kl 08:30</t>
  </si>
  <si>
    <t>77cb380dd5621232fb350ad1ce5126d470493731ada076c34848ee8a8116b377</t>
  </si>
  <si>
    <t>92affc1d91e7501ff9e88451967428a49d74b47201d4a59265ae8a1da60d2b71</t>
  </si>
  <si>
    <t>2026-06-13T09:55:46+00:00</t>
  </si>
  <si>
    <t>21:21</t>
  </si>
  <si>
    <t>Raza Viktoryia</t>
  </si>
  <si>
    <t>vika.shnitkova@gmail.com</t>
  </si>
  <si>
    <t>15. juni</t>
  </si>
  <si>
    <t>6c46dcbe25591050f22490e7d12645a0a2c51bc2f793f6245557d64bec9b7db2</t>
  </si>
  <si>
    <t>8d9d0e634aefe75f4eea42ee83abc30a2f74a18d2b81f98bb4200b3d0be7cea9</t>
  </si>
  <si>
    <t>2026-06-13T19:21:45+00:00</t>
  </si>
  <si>
    <t>Niloofar Najafi</t>
  </si>
  <si>
    <t>niloofarnajafi85@gmail.com</t>
  </si>
  <si>
    <t>Mandag 15. eller Tirsdag 16. juni</t>
  </si>
  <si>
    <t>3840e3de28af1c4215ade700bdc6d733669431882540465e85c04f46789fc448</t>
  </si>
  <si>
    <t>667e31320e386c79662ac207c2c27019d9b28c886c8847fe8c1e42caf285f0eb</t>
  </si>
  <si>
    <t>2026-06-14T10:26:54+00:00</t>
  </si>
  <si>
    <t>Kabin Ghale</t>
  </si>
  <si>
    <t>kabinghale31@gmail.com</t>
  </si>
  <si>
    <t>18-06-2026</t>
  </si>
  <si>
    <t>f110555ecd29203e52b216ca88c484d96e1dc015135a0fc9100fe59f5b4a80da</t>
  </si>
  <si>
    <t>2a8f287d9684a5290dbad14f527fe21e329235b137f42d8b8554395f09da3226</t>
  </si>
  <si>
    <t>2026-06-14T15:54:34+00:00</t>
  </si>
  <si>
    <t>13:47</t>
  </si>
  <si>
    <t>Abdihakim Ibrahim</t>
  </si>
  <si>
    <t>hakimibr4@gmail.com</t>
  </si>
  <si>
    <t>16-17.06.26</t>
  </si>
  <si>
    <t>1a72e7dbbc3267dc6a186ee1923f430a01bf521690fb04a97b1bfecb4dad9bdb</t>
  </si>
  <si>
    <t>e2a6e34935b0287786c3cf72787a287d55a584f86dbafc1be4d85652575c37d7</t>
  </si>
  <si>
    <t>2026-06-15T11:47:20+00:00</t>
  </si>
  <si>
    <t>Kate Mayreni Diroche Henriquez</t>
  </si>
  <si>
    <t>kate_mayreni@hotmail.com</t>
  </si>
  <si>
    <t>dbb2937118319e6930b37e3fab232ca7635e48417bbb6a1c6d12895864177b70</t>
  </si>
  <si>
    <t>a176791c6a5738fab2ba905daf6bb8058bc2e7ea839d366bdff5da31648c3297</t>
  </si>
  <si>
    <t>2026-06-15T19:21:03+00:00</t>
  </si>
  <si>
    <t>Haroun</t>
  </si>
  <si>
    <t>harounkribaa113@gmail.com</t>
  </si>
  <si>
    <t>17.06.2026</t>
  </si>
  <si>
    <t>0371ccaa8612e50d6028908fd011c8a80290728a9fd900ba518d4ed767f21f62</t>
  </si>
  <si>
    <t>659d1959bcc253836249c592833d7696a385aebac99a51d6a1d16cd3a7e4a9f6</t>
  </si>
  <si>
    <t>2026-06-16T07:45:38+00:00</t>
  </si>
  <si>
    <t>13:39</t>
  </si>
  <si>
    <t>Nicolay Lier</t>
  </si>
  <si>
    <t>nicolaylier@gmail.com</t>
  </si>
  <si>
    <t>18/06-2026</t>
  </si>
  <si>
    <t>a1651bcf19b6553d2004d63a308b19f9d0db1ba4537d67896dad097b3e3cc908</t>
  </si>
  <si>
    <t>35d0afcc64e839052c202de54b394d970e1a7b0dc8949eded50f278e4130d812</t>
  </si>
  <si>
    <t>2026-06-16T11:39:49+00:00</t>
  </si>
  <si>
    <t>14:41</t>
  </si>
  <si>
    <t>Rodrigo A. Perez</t>
  </si>
  <si>
    <t>perez@bullyard.no</t>
  </si>
  <si>
    <t>18 juni 2026 mellom 11 og 12</t>
  </si>
  <si>
    <t>9f2d082eb4a58f9814a6a723eec3090bc1a840376921bfa0fa6b5a1e28fbdfc1</t>
  </si>
  <si>
    <t>76ae0aaee1f7a04fbe5dc59f6058621133af109d9800e2e9e12eeefddebee828</t>
  </si>
  <si>
    <t>2026-06-16T12:41:55+00:00</t>
  </si>
  <si>
    <t>13:32</t>
  </si>
  <si>
    <t>Nina Gundersen</t>
  </si>
  <si>
    <t>Torsdag morgen</t>
  </si>
  <si>
    <t>Har benyttet seg av kampanje tidligere</t>
  </si>
  <si>
    <t>cc55ae44dc788deaeab288494eb1dc5d5d48b1e1ecb84f0e1837e9e574e01758</t>
  </si>
  <si>
    <t>f5bfdf9de1015467d7ebc96cf273822e06d06ec4ee3f0ab3847fda6cfc4a53b8</t>
  </si>
  <si>
    <t>2026-06-17T11:32:58+00:00</t>
  </si>
  <si>
    <t>Pedro Diroche</t>
  </si>
  <si>
    <t>pedrodiroche@gmail.com</t>
  </si>
  <si>
    <t>Lørdag eller søndag</t>
  </si>
  <si>
    <t>e184aa8dd51f37c69a5e257f23ef4989c8d57bd7668cd3af2d314ff1bd21f673</t>
  </si>
  <si>
    <t>1677a0d24a73ac904a74dfef9b6ad05bf66b072ca422b8bdcfff80855e127a9b</t>
  </si>
  <si>
    <t>2026-06-18T08:31:25+00:00</t>
  </si>
  <si>
    <t>Mina Hosseini</t>
  </si>
  <si>
    <t>mostafajan114@yahoo.com</t>
  </si>
  <si>
    <t>Lørdag, søndag, onsdag, mandag, fredag</t>
  </si>
  <si>
    <t>0d6fb3df52c18bfcbd1a0f44e6febbdfdc2304c4fa21d9c9050cf1d6b9e8ba15</t>
  </si>
  <si>
    <t>ca451b9bc2886519f77a48709d1fb7d703f0f6f80851fd416e4bd4393c963597</t>
  </si>
  <si>
    <t>2026-06-18T11:43:04+00:00</t>
  </si>
  <si>
    <t>10:17</t>
  </si>
  <si>
    <t>Teuta Cervadiku</t>
  </si>
  <si>
    <t>teo_niti@iclaud.com</t>
  </si>
  <si>
    <t>22.06.2026</t>
  </si>
  <si>
    <t>af74bce4e2f50e7c20011ac6f401b90874937d3cd7c69422740a4f8321647edb</t>
  </si>
  <si>
    <t>2aa131855c9164b68e203d5a22a97c3c8d73f2ef18ef27a1353b490ca350fe13</t>
  </si>
  <si>
    <t>2026-06-19T08:17:24+00:00</t>
  </si>
  <si>
    <t>12:41</t>
  </si>
  <si>
    <t>Anne Norshus</t>
  </si>
  <si>
    <t>anne.norshus@gmail.com</t>
  </si>
  <si>
    <t>29.06.2026 kl.13.00</t>
  </si>
  <si>
    <t>56d719c40fd919f62f73247aac05a029b336977ecb005c3daeb8b1e199d8edc6</t>
  </si>
  <si>
    <t>28539b9b0ea1733a17ef31eb3f6f73458c74abf5034457c06fe53ee64937e604</t>
  </si>
  <si>
    <t>2026-06-19T10:41:02+00:00</t>
  </si>
  <si>
    <t>00:30</t>
  </si>
  <si>
    <t>Yaseen Ahmed</t>
  </si>
  <si>
    <t>yazeenee1@gmail.com</t>
  </si>
  <si>
    <t>41fcb664ac6b70edf561131119e3e6b3f3be1e671f8319197244564a17dcafa2</t>
  </si>
  <si>
    <t>f3a0be5cb86817e8556f4054738ed8acbfadb9447cbc13dfa01a6612e56fa8eb</t>
  </si>
  <si>
    <t>2026-06-19T22:30:31+00:00</t>
  </si>
  <si>
    <t>12:32</t>
  </si>
  <si>
    <t>Tidlig på morgen</t>
  </si>
  <si>
    <t>2026-06-20T10:32:24+00:00</t>
  </si>
  <si>
    <t>12:45</t>
  </si>
  <si>
    <t>Audun Rudshaug</t>
  </si>
  <si>
    <t>audunrudshaug@hotmail.com</t>
  </si>
  <si>
    <t>1.7.26</t>
  </si>
  <si>
    <t>c4a0805cf5f167c11b75eb67ce8a15bc24dde657d07ed716dbfe484c508010d6</t>
  </si>
  <si>
    <t>a78f48033c72fcd23e0c365ed7156f797dafef54b4378dcce301aad090cfa3d2</t>
  </si>
  <si>
    <t>2026-06-21T10:45:48+00:00</t>
  </si>
  <si>
    <t>30.06.26</t>
  </si>
  <si>
    <t>13d23f49f4e56155aa224f112dce0cb8477ac3d572461f592e71fae1514670c5</t>
  </si>
  <si>
    <t>2026-06-21T10:46:40+00:00</t>
  </si>
  <si>
    <t>00:19</t>
  </si>
  <si>
    <t>Yasin azouagh</t>
  </si>
  <si>
    <t>yasin28@live.no</t>
  </si>
  <si>
    <t>Mandag-fredag etter kl 17</t>
  </si>
  <si>
    <t>eac3b80be508f37aece53dcc3e1aefe894285a31b626133a146da4294396c117</t>
  </si>
  <si>
    <t>8b1910d1ea160596af4d82b9fac0024f95cfdc233cbcad30a9876cf4593e08be</t>
  </si>
  <si>
    <t>2026-06-21T22:19:01+00:00</t>
  </si>
  <si>
    <t>Karine Haukvik Larsen</t>
  </si>
  <si>
    <t>karine_larsen@hotmail.com</t>
  </si>
  <si>
    <t>29.06.26, 30.06.26</t>
  </si>
  <si>
    <t>3e4374dbaab3fadd58f367fe4c143cc5ee6e132b16af8e940c2ce83094f1d423</t>
  </si>
  <si>
    <t>ad1964573f1c201d0749063e1343a8cc5a0827514354803747a0c6b3d9a98b2a</t>
  </si>
  <si>
    <t>2026-06-22T09:59:24+00:00</t>
  </si>
  <si>
    <t>Aisha</t>
  </si>
  <si>
    <t>aishasana2208@outlook.com</t>
  </si>
  <si>
    <t>24.06.2026</t>
  </si>
  <si>
    <t>Trodde det er offentlig</t>
  </si>
  <si>
    <t>dae7bf8c74bb0d093c36e5b02c9b19749d333f95ad05b5e0d829d426814be293</t>
  </si>
  <si>
    <t>45e758ce7f3872e4678c64623a0fb22a245c6f6bc06a5af46c3d37870b6e9044</t>
  </si>
  <si>
    <t>2026-06-23T18:09:07+00:00</t>
  </si>
  <si>
    <t>21:40</t>
  </si>
  <si>
    <t>Charles Kashu</t>
  </si>
  <si>
    <t>loccha1@hotmail.com</t>
  </si>
  <si>
    <t>30.06.2026</t>
  </si>
  <si>
    <t>8418446e9ebd56d8feae0e0b8ed8741fe6dc0735c7ac1a89fd3285a7fa963bb5</t>
  </si>
  <si>
    <t>905515292a0ae7a4c3de5f30b3245346787f8bbc6027442d4eba9faf1e5aa00c</t>
  </si>
  <si>
    <t>2026-06-23T19:40:10+00:00</t>
  </si>
  <si>
    <t>10:21</t>
  </si>
  <si>
    <t>Aud Kristin Samuelsen</t>
  </si>
  <si>
    <t>audksamu@gmail.com</t>
  </si>
  <si>
    <t>29 juni eller 30 juni</t>
  </si>
  <si>
    <t>98c309df3378172616ba247d4b309e4d7efb9883a4d11bfc4f7caddafd80b19f</t>
  </si>
  <si>
    <t>dc9bf4bde2c06be2bf80bee284987f600f82db88f01845678a4161a9ef5b96c5</t>
  </si>
  <si>
    <t>2026-06-24T08:21:33+00:00</t>
  </si>
  <si>
    <t>13:59</t>
  </si>
  <si>
    <t>Bilal Raja Iqbal</t>
  </si>
  <si>
    <t>bilal.raja.iqbal@gmail.com</t>
  </si>
  <si>
    <t>Samme hvilken dag, helst på kveldtid etter kl 16</t>
  </si>
  <si>
    <t>f3596b43340d1e874ce3d73c1ddc20ce7af4d68e261c77ab8e455c0a5de79560</t>
  </si>
  <si>
    <t>bab089f8252093ad3f2723d1e69b84a5fa094e3cb895ff56b1c274715d2d79d3</t>
  </si>
  <si>
    <t>2026-06-24T11:59:06+00:00</t>
  </si>
  <si>
    <t>02:51</t>
  </si>
  <si>
    <t>Premaraja Thangavel</t>
  </si>
  <si>
    <t>premrajoslo@gmail.com</t>
  </si>
  <si>
    <t>27</t>
  </si>
  <si>
    <t>Ringer opp selv, må sjekke kalenderen</t>
  </si>
  <si>
    <t>5bfb79bc83e99dc8102652eb9919ee6c2a639f3946d6cf1aa384015f98725a2d</t>
  </si>
  <si>
    <t>fad3689b9c682f5dacfc3d7256eda1ec9aec4717d85067f2488356c24d20064a</t>
  </si>
  <si>
    <t>2026-06-25T00:51:51+00:00</t>
  </si>
  <si>
    <t>1e2f3a1a9a34ff44d0894ee20e0d10443634aa5b3e0b71caeb35e874050fa573</t>
  </si>
  <si>
    <t>2026-06-25T11:20:28+00:00</t>
  </si>
  <si>
    <t>00:08</t>
  </si>
  <si>
    <t>Anwar Mosa Abdulhasn</t>
  </si>
  <si>
    <t>anwaarmousaa@gmail.com</t>
  </si>
  <si>
    <t>24. juli</t>
  </si>
  <si>
    <t>3cad182bf4a2f418112fe8963b51c5d74dda13d13bcfefba7e6e4e90324ff551</t>
  </si>
  <si>
    <t>dc45e4616ad2a9c8f45c56023fad58b5290f924d154c4d0b570aba7a3ee96519</t>
  </si>
  <si>
    <t>2026-06-26T22:08:46+00:00</t>
  </si>
  <si>
    <t>14:07</t>
  </si>
  <si>
    <t>Besnik Rrustemi</t>
  </si>
  <si>
    <t>besnikrrustemi@hotmail.com</t>
  </si>
  <si>
    <t>Tannreness</t>
  </si>
  <si>
    <t xml:space="preserve">Feil mob nr. </t>
  </si>
  <si>
    <t>2bbddd4dbd667dc3ded0a066f718b9ec95a9e3a7c989e9849e424ad7089a577f</t>
  </si>
  <si>
    <t>737ed5b66afedf874cb25d72cc0e016c8c26cb7390dfa37ca5afe21c7111469e</t>
  </si>
  <si>
    <t>2026-06-27T12:07:06+00:00</t>
  </si>
  <si>
    <t>18:39</t>
  </si>
  <si>
    <t>Ole Skøien</t>
  </si>
  <si>
    <t>ole_norge@yahoo.no</t>
  </si>
  <si>
    <t>2.7.2026</t>
  </si>
  <si>
    <t>ac6cb0e5e501c82fa0ee8035d0f9be72c2d3e32f8a03ba050df17a7ff6910cca</t>
  </si>
  <si>
    <t>9846c11f92c821aebe4017b27f4a4d1a3c73b875d994770b51ee75cf7bfeee8c</t>
  </si>
  <si>
    <t>2026-06-28T16:39:50+00:00</t>
  </si>
  <si>
    <t>22:35</t>
  </si>
  <si>
    <t>Nadia Shahbaz</t>
  </si>
  <si>
    <t>nadiashahbaz3@gmail.com</t>
  </si>
  <si>
    <t>06 : 07 2026</t>
  </si>
  <si>
    <t>6a40b05294491c2365af1ff582c343620f3eaa04b48d91be28b0518478805bc1</t>
  </si>
  <si>
    <t>f8c0b46440b8b75a0988dfb0c5f4dc93a55bc1364e03bc968f52a41596490050</t>
  </si>
  <si>
    <t>2026-06-29T20:35:37+00:00</t>
  </si>
  <si>
    <t>23:49</t>
  </si>
  <si>
    <t>Susmita Ghimire Bajgai</t>
  </si>
  <si>
    <t>susmi.sus@hotmail.com</t>
  </si>
  <si>
    <t>30 Juni</t>
  </si>
  <si>
    <t>1ac419e7f93d2167089f108e91e352ce1e873714f7feb46d4e0706c89ae7d03c</t>
  </si>
  <si>
    <t>da040bca8f85863da43ad5d6dbeef8fdc2841cb52008b4fe0baa75c71650ac37</t>
  </si>
  <si>
    <t>2026-06-29T21:49:22+00:00</t>
  </si>
  <si>
    <t>Osama Zariouh</t>
  </si>
  <si>
    <t>o.zariouh@hotmail.com</t>
  </si>
  <si>
    <t>14.07.2026</t>
  </si>
  <si>
    <t>c4bc8f59e3e6f5422697ff0ad5532ef0edb9c336007537f4c00a4dd9263fd194</t>
  </si>
  <si>
    <t>d6672e6f248364184bf9895e6c78d19d27fd4fa586d02c3188ea79a8a2a3af2d</t>
  </si>
  <si>
    <t>2026-06-30T11:00:52+00:00</t>
  </si>
  <si>
    <t>14:10</t>
  </si>
  <si>
    <t>Abdarahmane sow ba</t>
  </si>
  <si>
    <t>sowbaabdarahmane@gmail.com</t>
  </si>
  <si>
    <t>8/07/26</t>
  </si>
  <si>
    <t xml:space="preserve">Fikk </t>
  </si>
  <si>
    <t>2d0a07375727f83335e696f2ff4a14ae01cde48a02a801ca66f1a1511444ed4b</t>
  </si>
  <si>
    <t>853683e032d3266223a624d998d00e567c6c10a9a5a94ef2cf6e86ef17268a4b</t>
  </si>
  <si>
    <t>2026-06-30T12:10:40+00:00</t>
  </si>
  <si>
    <t>Dato</t>
  </si>
  <si>
    <t>Tidspunkt</t>
  </si>
  <si>
    <t>14:57</t>
  </si>
  <si>
    <t>Vetle Robstad</t>
  </si>
  <si>
    <t>vetle.robstad85@gmail.com</t>
  </si>
  <si>
    <t>11:23</t>
  </si>
  <si>
    <t>Ole Tom Pettersen</t>
  </si>
  <si>
    <t>oletompettersen@gmail.com</t>
  </si>
  <si>
    <t>11:25</t>
  </si>
  <si>
    <t>14:30</t>
  </si>
  <si>
    <t>07:08</t>
  </si>
  <si>
    <t>08:31</t>
  </si>
  <si>
    <t>22:55</t>
  </si>
  <si>
    <t>17:26</t>
  </si>
  <si>
    <t>20:52</t>
  </si>
  <si>
    <t>09:09</t>
  </si>
  <si>
    <t>08:40</t>
  </si>
  <si>
    <t>20:22</t>
  </si>
  <si>
    <t>14:02</t>
  </si>
  <si>
    <t>01:23</t>
  </si>
  <si>
    <t>09:19</t>
  </si>
  <si>
    <t>10:18</t>
  </si>
  <si>
    <t>03:11</t>
  </si>
  <si>
    <t>2026 Kampanjeresultater - US 590 kr</t>
  </si>
  <si>
    <t>Kostnad per henvendelse</t>
  </si>
  <si>
    <t>Antall henvendelser</t>
  </si>
  <si>
    <t>Bookingsrate US</t>
  </si>
  <si>
    <t>Kostnad per pasient</t>
  </si>
  <si>
    <t>Antall nye pasienter</t>
  </si>
  <si>
    <t>Omsetning fra US</t>
  </si>
  <si>
    <t>Beløp brukt</t>
  </si>
  <si>
    <t>Omsetning fra kampanje</t>
  </si>
  <si>
    <t>Omsetning fra oppsalg</t>
  </si>
  <si>
    <t>Annonseavkastning</t>
  </si>
  <si>
    <t>Potensiell omsetning 2000 kr</t>
  </si>
  <si>
    <t>Antall oppsalg</t>
  </si>
  <si>
    <t>Måned</t>
  </si>
  <si>
    <t>Antall pasienter</t>
  </si>
  <si>
    <t>ROAS</t>
  </si>
  <si>
    <t>Potensiell omsetning</t>
  </si>
  <si>
    <t>US Bookingrate</t>
  </si>
  <si>
    <t>CVR Upsale</t>
  </si>
  <si>
    <t>Meta Link Clicks</t>
  </si>
  <si>
    <t>CVR Exam</t>
  </si>
  <si>
    <t>Januar</t>
  </si>
  <si>
    <t>April</t>
  </si>
  <si>
    <t>Mai</t>
  </si>
  <si>
    <t>Juni</t>
  </si>
  <si>
    <t>Juli</t>
  </si>
  <si>
    <t>September</t>
  </si>
  <si>
    <t>Oktober</t>
  </si>
  <si>
    <t>November</t>
  </si>
  <si>
    <t>Desember</t>
  </si>
  <si>
    <t>Totalt</t>
  </si>
  <si>
    <t>Omsetning</t>
  </si>
  <si>
    <t>URL</t>
  </si>
  <si>
    <t>Oppsalg tannbleking</t>
  </si>
  <si>
    <t>US Leads yesterday</t>
  </si>
  <si>
    <t>US Leads today</t>
  </si>
  <si>
    <t>US Leads this month</t>
  </si>
  <si>
    <t>META</t>
  </si>
  <si>
    <t>TIKTOK</t>
  </si>
  <si>
    <t>Januar 2025</t>
  </si>
  <si>
    <t>Februar 2025</t>
  </si>
  <si>
    <t xml:space="preserve"> Antall oppsalg</t>
  </si>
  <si>
    <t>Mars 2025</t>
  </si>
  <si>
    <t>April 2025</t>
  </si>
  <si>
    <t>Mai 2025</t>
  </si>
  <si>
    <t>Juni 2025</t>
  </si>
  <si>
    <t>Juli 2025</t>
  </si>
  <si>
    <t>Oktober 2025</t>
  </si>
  <si>
    <t>2025 Kampanjeresultater - US 590 kr</t>
  </si>
  <si>
    <t>Total annonsespend</t>
  </si>
  <si>
    <t>Oppdateres hver dag kl. 07:00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</si>
</sst>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&quot;/&quot;mm&quot;/&quot;yyyy"/>
    <numFmt numFmtId="165" formatCode="dd.mm, &quot;kl.&quot; hh.mm"/>
    <numFmt numFmtId="166" formatCode="dd/mm/yyyy"/>
    <numFmt numFmtId="167" formatCode="d/m/yyyy"/>
    <numFmt numFmtId="168" formatCode="[$kr] # ##0"/>
    <numFmt numFmtId="169" formatCode="#,##0.0"/>
    <numFmt numFmtId="170" formatCode="#,##0\ [$kr-414]"/>
    <numFmt numFmtId="171" formatCode="0.0"/>
    <numFmt numFmtId="172" formatCode="mmmm yyyy"/>
  </numFmts>
  <fonts count="36">
    <font>
      <sz val="10.0"/>
      <color rgb="FF000000"/>
      <name val="Arial"/>
      <scheme val="minor"/>
    </font>
    <font>
      <sz val="11.0"/>
      <color rgb="FFFFFFFF"/>
      <name val="Arial"/>
    </font>
    <font>
      <sz val="11.0"/>
      <color rgb="FF181818"/>
      <name val="Arial"/>
    </font>
    <font>
      <b/>
      <sz val="11.0"/>
      <color rgb="FF181818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1C4587"/>
      <name val="Arial"/>
      <scheme val="minor"/>
    </font>
    <font>
      <b/>
      <sz val="12.0"/>
      <color rgb="FF181818"/>
      <name val="Arial"/>
      <scheme val="minor"/>
    </font>
    <font>
      <sz val="11.0"/>
      <color rgb="FF181818"/>
      <name val="Arial"/>
      <scheme val="minor"/>
    </font>
    <font>
      <sz val="11.0"/>
      <color rgb="FF434343"/>
      <name val="Arial"/>
    </font>
    <font>
      <color rgb="FF434343"/>
      <name val="Arial"/>
    </font>
    <font>
      <b/>
      <color rgb="FF434343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sz val="11.0"/>
      <color rgb="FFFFFFFF"/>
      <name val="Arial"/>
      <scheme val="minor"/>
    </font>
    <font>
      <sz val="11.0"/>
      <color theme="0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color rgb="FF434343"/>
      <name val="Arial"/>
      <scheme val="minor"/>
    </font>
    <font>
      <b/>
      <sz val="18.0"/>
      <color theme="1"/>
      <name val="Arial"/>
    </font>
    <font>
      <b/>
      <sz val="10.0"/>
      <color rgb="FFFFFFFF"/>
      <name val="Arial"/>
    </font>
    <font>
      <sz val="21.0"/>
      <color rgb="FFFFFFFF"/>
      <name val="Arial"/>
    </font>
    <font>
      <sz val="21.0"/>
      <color theme="1"/>
      <name val="Arial"/>
    </font>
    <font>
      <b/>
      <sz val="10.0"/>
      <color rgb="FFFBBC03"/>
      <name val="Arial"/>
    </font>
    <font>
      <sz val="21.0"/>
      <color rgb="FFFBBC03"/>
      <name val="Arial"/>
    </font>
    <font>
      <sz val="21.0"/>
      <color theme="0"/>
      <name val="Arial"/>
    </font>
    <font>
      <color rgb="FFCCCCCC"/>
      <name val="Arial"/>
    </font>
    <font>
      <color rgb="FF666666"/>
      <name val="Arial"/>
      <scheme val="minor"/>
    </font>
    <font>
      <b/>
      <color rgb="FF666666"/>
      <name val="Arial"/>
    </font>
    <font>
      <b/>
      <color rgb="FF666666"/>
      <name val="Arial"/>
      <scheme val="minor"/>
    </font>
    <font>
      <color rgb="FF666666"/>
      <name val="Arial"/>
    </font>
    <font>
      <color rgb="FF999999"/>
      <name val="Arial"/>
      <scheme val="minor"/>
    </font>
    <font>
      <sz val="21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81818"/>
        <bgColor rgb="FF181818"/>
      </patternFill>
    </fill>
    <fill>
      <patternFill patternType="solid">
        <fgColor rgb="FF242424"/>
        <bgColor rgb="FF242424"/>
      </patternFill>
    </fill>
    <fill>
      <patternFill patternType="solid">
        <fgColor rgb="FFFF6D01"/>
        <bgColor rgb="FFFF6D01"/>
      </patternFill>
    </fill>
  </fills>
  <borders count="12">
    <border/>
    <border>
      <left style="thin">
        <color rgb="FF000000"/>
      </left>
      <top style="medium">
        <color rgb="FF1C4587"/>
      </top>
      <bottom style="thin">
        <color rgb="FFFF6D01"/>
      </bottom>
    </border>
    <border>
      <top style="medium">
        <color rgb="FF1C4587"/>
      </top>
      <bottom style="thin">
        <color rgb="FFFF6D01"/>
      </bottom>
    </border>
    <border>
      <bottom style="thin">
        <color rgb="FFFF6D01"/>
      </bottom>
    </border>
    <border>
      <right style="medium">
        <color rgb="FF1C4587"/>
      </right>
      <top style="medium">
        <color rgb="FF1C4587"/>
      </top>
      <bottom style="thin">
        <color rgb="FFFF6D01"/>
      </bottom>
    </border>
    <border>
      <left style="thin">
        <color rgb="FF000000"/>
      </left>
    </border>
    <border>
      <left style="medium">
        <color rgb="FF1C4587"/>
      </left>
      <top style="medium">
        <color rgb="FF1C4587"/>
      </top>
      <bottom style="thin">
        <color rgb="FFFF6D01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FFFFFF"/>
      </bottom>
    </border>
    <border>
      <right style="thin">
        <color rgb="FF000000"/>
      </right>
      <bottom style="thin">
        <color rgb="FF000000"/>
      </bottom>
    </border>
    <border>
      <bottom style="thin">
        <color rgb="FFFFFFFF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49" xfId="0" applyAlignment="1" applyBorder="1" applyFont="1" applyNumberFormat="1">
      <alignment horizontal="center" readingOrder="0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left" vertical="center"/>
    </xf>
    <xf borderId="3" fillId="2" fontId="1" numFmtId="49" xfId="0" applyAlignment="1" applyBorder="1" applyFont="1" applyNumberFormat="1">
      <alignment horizontal="left" vertical="center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vertical="center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right" vertical="center"/>
    </xf>
    <xf borderId="0" fillId="2" fontId="2" numFmtId="0" xfId="0" applyAlignment="1" applyFont="1">
      <alignment vertical="center"/>
    </xf>
    <xf borderId="0" fillId="2" fontId="3" numFmtId="49" xfId="0" applyAlignment="1" applyFont="1" applyNumberFormat="1">
      <alignment horizontal="center" readingOrder="0" shrinkToFit="0" vertical="center" wrapText="1"/>
    </xf>
    <xf borderId="0" fillId="2" fontId="2" numFmtId="49" xfId="0" applyAlignment="1" applyFont="1" applyNumberForma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5" fillId="0" fontId="4" numFmtId="164" xfId="0" applyAlignment="1" applyBorder="1" applyFont="1" applyNumberFormat="1">
      <alignment readingOrder="0" vertical="center"/>
    </xf>
    <xf borderId="0" fillId="0" fontId="4" numFmtId="49" xfId="0" applyAlignment="1" applyFont="1" applyNumberFormat="1">
      <alignment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49" xfId="0" applyAlignment="1" applyFont="1" applyNumberFormat="1">
      <alignment horizontal="left" readingOrder="0" vertic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 vertical="center"/>
    </xf>
    <xf borderId="0" fillId="2" fontId="7" numFmtId="0" xfId="0" applyAlignment="1" applyFont="1">
      <alignment horizontal="center" readingOrder="0" vertical="center"/>
    </xf>
    <xf borderId="0" fillId="2" fontId="8" numFmtId="0" xfId="0" applyAlignment="1" applyFont="1">
      <alignment horizontal="right" vertical="center"/>
    </xf>
    <xf borderId="0" fillId="2" fontId="8" numFmtId="0" xfId="0" applyAlignment="1" applyFont="1">
      <alignment horizontal="left" vertical="center"/>
    </xf>
    <xf borderId="0" fillId="2" fontId="8" numFmtId="1" xfId="0" applyAlignment="1" applyFont="1" applyNumberFormat="1">
      <alignment horizontal="left" vertical="center"/>
    </xf>
    <xf borderId="0" fillId="2" fontId="8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5" numFmtId="0" xfId="0" applyFont="1"/>
    <xf borderId="0" fillId="0" fontId="4" numFmtId="49" xfId="0" applyAlignment="1" applyFont="1" applyNumberFormat="1">
      <alignment horizontal="left" vertical="center"/>
    </xf>
    <xf borderId="0" fillId="0" fontId="4" numFmtId="0" xfId="0" applyAlignment="1" applyFont="1">
      <alignment horizontal="center" readingOrder="0" vertical="center"/>
    </xf>
    <xf borderId="5" fillId="0" fontId="4" numFmtId="164" xfId="0" applyAlignment="1" applyBorder="1" applyFont="1" applyNumberFormat="1">
      <alignment vertical="center"/>
    </xf>
    <xf borderId="0" fillId="0" fontId="4" numFmtId="49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5" fillId="0" fontId="5" numFmtId="164" xfId="0" applyAlignment="1" applyBorder="1" applyFont="1" applyNumberFormat="1">
      <alignment horizontal="center" readingOrder="0" vertical="center"/>
    </xf>
    <xf borderId="0" fillId="0" fontId="5" numFmtId="49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left" vertical="center"/>
    </xf>
    <xf borderId="0" fillId="0" fontId="5" numFmtId="49" xfId="0" applyAlignment="1" applyFont="1" applyNumberFormat="1">
      <alignment horizontal="left" readingOrder="0" shrinkToFit="0" vertical="center" wrapText="1"/>
    </xf>
    <xf borderId="0" fillId="0" fontId="5" numFmtId="0" xfId="0" applyAlignment="1" applyFont="1">
      <alignment readingOrder="0" vertical="center"/>
    </xf>
    <xf borderId="0" fillId="2" fontId="5" numFmtId="0" xfId="0" applyAlignment="1" applyFont="1">
      <alignment vertical="center"/>
    </xf>
    <xf borderId="0" fillId="2" fontId="9" numFmtId="0" xfId="0" applyAlignment="1" applyFont="1">
      <alignment horizontal="right" readingOrder="0" vertical="center"/>
    </xf>
    <xf borderId="0" fillId="2" fontId="9" numFmtId="0" xfId="0" applyAlignment="1" applyFont="1">
      <alignment readingOrder="0" vertical="center"/>
    </xf>
    <xf borderId="0" fillId="2" fontId="9" numFmtId="1" xfId="0" applyAlignment="1" applyFont="1" applyNumberFormat="1">
      <alignment readingOrder="0" vertical="center"/>
    </xf>
    <xf borderId="0" fillId="2" fontId="5" numFmtId="1" xfId="0" applyAlignment="1" applyFont="1" applyNumberFormat="1">
      <alignment readingOrder="0" vertical="center"/>
    </xf>
    <xf borderId="0" fillId="2" fontId="5" numFmtId="0" xfId="0" applyAlignment="1" applyFont="1">
      <alignment vertical="center"/>
    </xf>
    <xf borderId="0" fillId="2" fontId="10" numFmtId="49" xfId="0" applyAlignment="1" applyFont="1" applyNumberFormat="1">
      <alignment horizontal="right" vertical="center"/>
    </xf>
    <xf borderId="0" fillId="2" fontId="11" numFmtId="1" xfId="0" applyAlignment="1" applyFont="1" applyNumberFormat="1">
      <alignment horizontal="right" shrinkToFit="0" vertical="center" wrapText="1"/>
    </xf>
    <xf borderId="0" fillId="2" fontId="5" numFmtId="0" xfId="0" applyAlignment="1" applyFont="1">
      <alignment readingOrder="0" vertical="center"/>
    </xf>
    <xf borderId="0" fillId="2" fontId="12" numFmtId="0" xfId="0" applyAlignment="1" applyFont="1">
      <alignment readingOrder="0" vertical="center"/>
    </xf>
    <xf borderId="0" fillId="2" fontId="8" numFmtId="0" xfId="0" applyAlignment="1" applyFont="1">
      <alignment readingOrder="0" vertical="center"/>
    </xf>
    <xf borderId="0" fillId="0" fontId="5" numFmtId="0" xfId="0" applyAlignment="1" applyFont="1">
      <alignment horizontal="center" vertical="center"/>
    </xf>
    <xf borderId="0" fillId="2" fontId="5" numFmtId="1" xfId="0" applyAlignment="1" applyFont="1" applyNumberFormat="1">
      <alignment vertical="center"/>
    </xf>
    <xf borderId="0" fillId="0" fontId="5" numFmtId="0" xfId="0" applyAlignment="1" applyFont="1">
      <alignment horizontal="left" readingOrder="0" vertical="center"/>
    </xf>
    <xf borderId="5" fillId="0" fontId="5" numFmtId="164" xfId="0" applyAlignment="1" applyBorder="1" applyFont="1" applyNumberFormat="1">
      <alignment horizontal="center"/>
    </xf>
    <xf borderId="0" fillId="0" fontId="5" numFmtId="49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49" xfId="0" applyAlignment="1" applyFont="1" applyNumberFormat="1">
      <alignment horizontal="left" shrinkToFit="0" wrapText="1"/>
    </xf>
    <xf borderId="0" fillId="0" fontId="5" numFmtId="0" xfId="0" applyFont="1"/>
    <xf borderId="0" fillId="2" fontId="5" numFmtId="0" xfId="0" applyFont="1"/>
    <xf borderId="0" fillId="2" fontId="9" numFmtId="0" xfId="0" applyAlignment="1" applyFont="1">
      <alignment horizontal="right"/>
    </xf>
    <xf borderId="0" fillId="2" fontId="9" numFmtId="0" xfId="0" applyFont="1"/>
    <xf borderId="0" fillId="2" fontId="9" numFmtId="1" xfId="0" applyAlignment="1" applyFont="1" applyNumberFormat="1">
      <alignment horizontal="right"/>
    </xf>
    <xf borderId="0" fillId="2" fontId="5" numFmtId="1" xfId="0" applyFont="1" applyNumberFormat="1"/>
    <xf borderId="0" fillId="2" fontId="5" numFmtId="0" xfId="0" applyAlignment="1" applyFont="1">
      <alignment horizontal="right"/>
    </xf>
    <xf borderId="0" fillId="2" fontId="5" numFmtId="49" xfId="0" applyFont="1" applyNumberFormat="1"/>
    <xf borderId="0" fillId="2" fontId="5" numFmtId="0" xfId="0" applyFont="1"/>
    <xf borderId="0" fillId="2" fontId="13" numFmtId="0" xfId="0" applyFont="1"/>
    <xf borderId="0" fillId="2" fontId="2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2" fontId="9" numFmtId="0" xfId="0" applyAlignment="1" applyFont="1">
      <alignment horizontal="right"/>
    </xf>
    <xf borderId="0" fillId="2" fontId="9" numFmtId="0" xfId="0" applyFont="1"/>
    <xf borderId="0" fillId="2" fontId="14" numFmtId="0" xfId="0" applyFont="1"/>
    <xf borderId="0" fillId="2" fontId="2" numFmtId="0" xfId="0" applyFont="1"/>
    <xf borderId="0" fillId="0" fontId="5" numFmtId="165" xfId="0" applyAlignment="1" applyFont="1" applyNumberFormat="1">
      <alignment horizontal="right"/>
    </xf>
    <xf borderId="6" fillId="2" fontId="15" numFmtId="0" xfId="0" applyAlignment="1" applyBorder="1" applyFont="1">
      <alignment horizontal="center" readingOrder="0" vertical="center"/>
    </xf>
    <xf borderId="2" fillId="2" fontId="15" numFmtId="0" xfId="0" applyAlignment="1" applyBorder="1" applyFont="1">
      <alignment horizontal="center" readingOrder="0" vertical="center"/>
    </xf>
    <xf borderId="2" fillId="2" fontId="16" numFmtId="0" xfId="0" applyAlignment="1" applyBorder="1" applyFont="1">
      <alignment horizontal="center" readingOrder="0" vertical="center"/>
    </xf>
    <xf borderId="3" fillId="2" fontId="16" numFmtId="0" xfId="0" applyAlignment="1" applyBorder="1" applyFont="1">
      <alignment horizontal="center" readingOrder="0" vertical="center"/>
    </xf>
    <xf borderId="4" fillId="2" fontId="16" numFmtId="0" xfId="0" applyAlignment="1" applyBorder="1" applyFont="1">
      <alignment readingOrder="0" vertical="center"/>
    </xf>
    <xf borderId="0" fillId="0" fontId="17" numFmtId="0" xfId="0" applyFont="1"/>
    <xf borderId="0" fillId="0" fontId="18" numFmtId="166" xfId="0" applyAlignment="1" applyFont="1" applyNumberFormat="1">
      <alignment horizontal="center" readingOrder="0" vertical="bottom"/>
    </xf>
    <xf borderId="0" fillId="0" fontId="18" numFmtId="0" xfId="0" applyAlignment="1" applyFont="1">
      <alignment horizontal="center" readingOrder="0" vertical="bottom"/>
    </xf>
    <xf borderId="0" fillId="0" fontId="18" numFmtId="0" xfId="0" applyAlignment="1" applyFont="1">
      <alignment horizontal="right" readingOrder="0" vertical="bottom"/>
    </xf>
    <xf borderId="0" fillId="0" fontId="18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9" numFmtId="0" xfId="0" applyFont="1"/>
    <xf borderId="0" fillId="0" fontId="18" numFmtId="167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2" fontId="20" numFmtId="0" xfId="0" applyFont="1"/>
    <xf borderId="0" fillId="2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21" numFmtId="0" xfId="0" applyAlignment="1" applyFont="1">
      <alignment readingOrder="0" shrinkToFit="0" vertical="bottom" wrapText="0"/>
    </xf>
    <xf borderId="0" fillId="2" fontId="10" numFmtId="0" xfId="0" applyAlignment="1" applyFont="1">
      <alignment vertical="bottom"/>
    </xf>
    <xf borderId="7" fillId="0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9" fillId="2" fontId="22" numFmtId="0" xfId="0" applyAlignment="1" applyBorder="1" applyFont="1">
      <alignment horizontal="center" vertical="center"/>
    </xf>
    <xf borderId="9" fillId="2" fontId="22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vertical="center"/>
    </xf>
    <xf borderId="10" fillId="3" fontId="23" numFmtId="168" xfId="0" applyAlignment="1" applyBorder="1" applyFill="1" applyFont="1" applyNumberFormat="1">
      <alignment horizontal="center" readingOrder="0" vertical="center"/>
    </xf>
    <xf borderId="8" fillId="0" fontId="24" numFmtId="0" xfId="0" applyAlignment="1" applyBorder="1" applyFont="1">
      <alignment vertical="center"/>
    </xf>
    <xf borderId="10" fillId="3" fontId="23" numFmtId="3" xfId="0" applyAlignment="1" applyBorder="1" applyFont="1" applyNumberFormat="1">
      <alignment horizontal="center" vertical="center"/>
    </xf>
    <xf borderId="10" fillId="3" fontId="23" numFmtId="9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2" fontId="10" numFmtId="0" xfId="0" applyAlignment="1" applyFont="1">
      <alignment vertical="center"/>
    </xf>
    <xf borderId="11" fillId="2" fontId="25" numFmtId="0" xfId="0" applyAlignment="1" applyBorder="1" applyFont="1">
      <alignment horizontal="center" readingOrder="0" vertical="center"/>
    </xf>
    <xf borderId="0" fillId="3" fontId="26" numFmtId="3" xfId="0" applyAlignment="1" applyFont="1" applyNumberFormat="1">
      <alignment horizontal="center" vertical="center"/>
    </xf>
    <xf borderId="0" fillId="0" fontId="24" numFmtId="0" xfId="0" applyAlignment="1" applyFont="1">
      <alignment vertical="center"/>
    </xf>
    <xf borderId="0" fillId="3" fontId="27" numFmtId="168" xfId="0" applyAlignment="1" applyFont="1" applyNumberFormat="1">
      <alignment horizontal="center" vertical="center"/>
    </xf>
    <xf borderId="0" fillId="3" fontId="26" numFmtId="168" xfId="0" applyAlignment="1" applyFont="1" applyNumberFormat="1">
      <alignment horizontal="center" vertical="center"/>
    </xf>
    <xf borderId="0" fillId="0" fontId="28" numFmtId="10" xfId="0" applyAlignment="1" applyFont="1" applyNumberFormat="1">
      <alignment vertical="bottom"/>
    </xf>
    <xf borderId="10" fillId="3" fontId="23" numFmtId="169" xfId="0" applyAlignment="1" applyBorder="1" applyFont="1" applyNumberFormat="1">
      <alignment horizontal="center" vertical="center"/>
    </xf>
    <xf borderId="0" fillId="0" fontId="24" numFmtId="0" xfId="0" applyAlignment="1" applyFont="1">
      <alignment vertical="bottom"/>
    </xf>
    <xf borderId="0" fillId="2" fontId="29" numFmtId="0" xfId="0" applyFont="1"/>
    <xf borderId="0" fillId="2" fontId="30" numFmtId="0" xfId="0" applyAlignment="1" applyFont="1">
      <alignment vertical="bottom"/>
    </xf>
    <xf borderId="0" fillId="2" fontId="31" numFmtId="0" xfId="0" applyAlignment="1" applyFont="1">
      <alignment readingOrder="0"/>
    </xf>
    <xf borderId="0" fillId="2" fontId="30" numFmtId="0" xfId="0" applyAlignment="1" applyFont="1">
      <alignment readingOrder="0" vertical="bottom"/>
    </xf>
    <xf borderId="0" fillId="2" fontId="30" numFmtId="0" xfId="0" applyAlignment="1" applyFont="1">
      <alignment vertical="bottom"/>
    </xf>
    <xf borderId="0" fillId="2" fontId="30" numFmtId="0" xfId="0" applyAlignment="1" applyFont="1">
      <alignment readingOrder="0" vertical="bottom"/>
    </xf>
    <xf borderId="0" fillId="2" fontId="29" numFmtId="0" xfId="0" applyAlignment="1" applyFont="1">
      <alignment readingOrder="0"/>
    </xf>
    <xf borderId="0" fillId="4" fontId="29" numFmtId="170" xfId="0" applyAlignment="1" applyFill="1" applyFont="1" applyNumberFormat="1">
      <alignment readingOrder="0"/>
    </xf>
    <xf borderId="0" fillId="2" fontId="32" numFmtId="0" xfId="0" applyAlignment="1" applyFont="1">
      <alignment horizontal="right" vertical="bottom"/>
    </xf>
    <xf borderId="0" fillId="2" fontId="29" numFmtId="170" xfId="0" applyFont="1" applyNumberFormat="1"/>
    <xf borderId="0" fillId="2" fontId="32" numFmtId="171" xfId="0" applyAlignment="1" applyFont="1" applyNumberFormat="1">
      <alignment horizontal="right" vertical="bottom"/>
    </xf>
    <xf borderId="0" fillId="2" fontId="32" numFmtId="9" xfId="0" applyAlignment="1" applyFont="1" applyNumberFormat="1">
      <alignment horizontal="right" vertical="bottom"/>
    </xf>
    <xf borderId="0" fillId="2" fontId="32" numFmtId="170" xfId="0" applyAlignment="1" applyFont="1" applyNumberFormat="1">
      <alignment horizontal="right" readingOrder="0" vertical="bottom"/>
    </xf>
    <xf borderId="0" fillId="2" fontId="32" numFmtId="0" xfId="0" applyAlignment="1" applyFont="1">
      <alignment horizontal="right" vertical="bottom"/>
    </xf>
    <xf borderId="0" fillId="2" fontId="32" numFmtId="10" xfId="0" applyAlignment="1" applyFont="1" applyNumberFormat="1">
      <alignment horizontal="right" vertical="bottom"/>
    </xf>
    <xf borderId="0" fillId="4" fontId="29" numFmtId="0" xfId="0" applyAlignment="1" applyFont="1">
      <alignment readingOrder="0"/>
    </xf>
    <xf borderId="0" fillId="2" fontId="32" numFmtId="3" xfId="0" applyAlignment="1" applyFont="1" applyNumberFormat="1">
      <alignment horizontal="right" vertical="bottom"/>
    </xf>
    <xf borderId="0" fillId="2" fontId="29" numFmtId="170" xfId="0" applyAlignment="1" applyFont="1" applyNumberFormat="1">
      <alignment readingOrder="0"/>
    </xf>
    <xf borderId="0" fillId="2" fontId="29" numFmtId="9" xfId="0" applyAlignment="1" applyFont="1" applyNumberFormat="1">
      <alignment readingOrder="0"/>
    </xf>
    <xf borderId="0" fillId="2" fontId="32" numFmtId="0" xfId="0" applyAlignment="1" applyFont="1">
      <alignment horizontal="right" readingOrder="0" vertical="bottom"/>
    </xf>
    <xf borderId="0" fillId="2" fontId="33" numFmtId="0" xfId="0" applyFont="1"/>
    <xf borderId="0" fillId="2" fontId="33" numFmtId="0" xfId="0" applyAlignment="1" applyFont="1">
      <alignment readingOrder="0"/>
    </xf>
    <xf borderId="0" fillId="2" fontId="10" numFmtId="0" xfId="0" applyAlignment="1" applyFont="1">
      <alignment horizontal="right" vertical="bottom"/>
    </xf>
    <xf borderId="0" fillId="2" fontId="29" numFmtId="169" xfId="0" applyFont="1" applyNumberFormat="1"/>
    <xf borderId="0" fillId="2" fontId="32" numFmtId="3" xfId="0" applyAlignment="1" applyFont="1" applyNumberFormat="1">
      <alignment horizontal="right" readingOrder="0" vertical="bottom"/>
    </xf>
    <xf borderId="0" fillId="2" fontId="29" numFmtId="171" xfId="0" applyAlignment="1" applyFont="1" applyNumberFormat="1">
      <alignment readingOrder="0"/>
    </xf>
    <xf borderId="0" fillId="2" fontId="29" numFmtId="10" xfId="0" applyAlignment="1" applyFont="1" applyNumberFormat="1">
      <alignment readingOrder="0"/>
    </xf>
    <xf borderId="0" fillId="0" fontId="34" numFmtId="0" xfId="0" applyFont="1"/>
    <xf borderId="7" fillId="0" fontId="5" numFmtId="10" xfId="0" applyAlignment="1" applyBorder="1" applyFont="1" applyNumberFormat="1">
      <alignment vertical="bottom"/>
    </xf>
    <xf borderId="10" fillId="3" fontId="23" numFmtId="3" xfId="0" applyAlignment="1" applyBorder="1" applyFont="1" applyNumberFormat="1">
      <alignment horizontal="center" readingOrder="0" vertical="center"/>
    </xf>
    <xf borderId="0" fillId="3" fontId="26" numFmtId="3" xfId="0" applyAlignment="1" applyFont="1" applyNumberFormat="1">
      <alignment horizontal="center" readingOrder="0" vertical="center"/>
    </xf>
    <xf borderId="0" fillId="0" fontId="21" numFmtId="49" xfId="0" applyAlignment="1" applyFont="1" applyNumberFormat="1">
      <alignment horizontal="left" readingOrder="0" shrinkToFit="0" vertical="bottom" wrapText="0"/>
    </xf>
    <xf borderId="0" fillId="0" fontId="21" numFmtId="0" xfId="0" applyAlignment="1" applyFont="1">
      <alignment horizontal="left" readingOrder="0" shrinkToFit="0" vertical="bottom" wrapText="0"/>
    </xf>
    <xf borderId="0" fillId="0" fontId="21" numFmtId="172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readingOrder="0"/>
    </xf>
    <xf borderId="0" fillId="0" fontId="4" numFmtId="168" xfId="0" applyAlignment="1" applyFont="1" applyNumberFormat="1">
      <alignment readingOrder="0"/>
    </xf>
    <xf borderId="0" fillId="0" fontId="3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'Totalt US 2026'!$S$17</c:f>
            </c:strRef>
          </c:tx>
          <c:spPr>
            <a:solidFill>
              <a:srgbClr val="FFFFFF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'Totalt US 2026'!$Q$18:$Q$29</c:f>
            </c:strRef>
          </c:cat>
          <c:val>
            <c:numRef>
              <c:f>'Totalt US 2026'!$S$18:$S$29</c:f>
              <c:numCache/>
            </c:numRef>
          </c:val>
        </c:ser>
        <c:ser>
          <c:idx val="1"/>
          <c:order val="1"/>
          <c:tx>
            <c:strRef>
              <c:f>'Totalt US 2026'!$T$17</c:f>
            </c:strRef>
          </c:tx>
          <c:spPr>
            <a:solidFill>
              <a:srgbClr val="FF6D01"/>
            </a:solidFill>
            <a:ln cmpd="sng">
              <a:noFill/>
            </a:ln>
          </c:spPr>
          <c:dPt>
            <c:idx val="7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'Totalt US 2026'!$Q$18:$Q$29</c:f>
            </c:strRef>
          </c:cat>
          <c:val>
            <c:numRef>
              <c:f>'Totalt US 2026'!$T$18:$T$29</c:f>
              <c:numCache/>
            </c:numRef>
          </c:val>
        </c:ser>
        <c:axId val="907170380"/>
        <c:axId val="2039747262"/>
      </c:barChart>
      <c:catAx>
        <c:axId val="907170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FFFFFF"/>
                </a:solidFill>
                <a:latin typeface="Arial"/>
              </a:defRPr>
            </a:pPr>
          </a:p>
        </c:txPr>
        <c:crossAx val="2039747262"/>
      </c:catAx>
      <c:valAx>
        <c:axId val="203974726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Arial"/>
              </a:defRPr>
            </a:pPr>
          </a:p>
        </c:txPr>
        <c:crossAx val="907170380"/>
      </c:valAx>
      <c:lineChart>
        <c:varyColors val="0"/>
        <c:ser>
          <c:idx val="2"/>
          <c:order val="2"/>
          <c:tx>
            <c:strRef>
              <c:f>'Totalt US 2026'!$Z$17</c:f>
            </c:strRef>
          </c:tx>
          <c:spPr>
            <a:ln cmpd="sng">
              <a:solidFill>
                <a:srgbClr val="FBBC03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'Totalt US 2026'!$Q$18:$Q$29</c:f>
            </c:strRef>
          </c:cat>
          <c:val>
            <c:numRef>
              <c:f>'Totalt US 2026'!$Z$18:$Z$29</c:f>
              <c:numCache/>
            </c:numRef>
          </c:val>
          <c:smooth val="0"/>
        </c:ser>
        <c:axId val="1127652843"/>
        <c:axId val="1104091881"/>
      </c:lineChart>
      <c:catAx>
        <c:axId val="11276528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FFFFFF"/>
                </a:solidFill>
                <a:latin typeface="Arial"/>
              </a:defRPr>
            </a:pPr>
          </a:p>
        </c:txPr>
        <c:crossAx val="1104091881"/>
      </c:catAx>
      <c:valAx>
        <c:axId val="1104091881"/>
        <c:scaling>
          <c:orientation val="minMax"/>
          <c:max val="1.2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Arial"/>
              </a:defRPr>
            </a:pPr>
          </a:p>
        </c:txPr>
        <c:crossAx val="1127652843"/>
        <c:crosses val="max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FFFFFF"/>
              </a:solidFill>
              <a:latin typeface="Arial"/>
            </a:defRPr>
          </a:pPr>
        </a:p>
      </c:txPr>
    </c:legend>
    <c:plotVisOnly val="1"/>
  </c:chart>
  <c:spPr>
    <a:solidFill>
      <a:srgbClr val="181818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'Totalt US 2026'!$U$17</c:f>
            </c:strRef>
          </c:tx>
          <c:spPr>
            <a:solidFill>
              <a:srgbClr val="FFFFFF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'Totalt US 2026'!$Q$18:$Q$29</c:f>
            </c:strRef>
          </c:cat>
          <c:val>
            <c:numRef>
              <c:f>'Totalt US 2026'!$U$18:$U$29</c:f>
              <c:numCache/>
            </c:numRef>
          </c:val>
        </c:ser>
        <c:ser>
          <c:idx val="1"/>
          <c:order val="1"/>
          <c:tx>
            <c:strRef>
              <c:f>'Totalt US 2026'!$V$17</c:f>
            </c:strRef>
          </c:tx>
          <c:spPr>
            <a:solidFill>
              <a:srgbClr val="FF6D0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'Totalt US 2026'!$Q$18:$Q$29</c:f>
            </c:strRef>
          </c:cat>
          <c:val>
            <c:numRef>
              <c:f>'Totalt US 2026'!$V$18:$V$29</c:f>
              <c:numCache/>
            </c:numRef>
          </c:val>
        </c:ser>
        <c:axId val="183504063"/>
        <c:axId val="1339849269"/>
      </c:barChart>
      <c:catAx>
        <c:axId val="183504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200">
                <a:solidFill>
                  <a:srgbClr val="FFFFFF"/>
                </a:solidFill>
                <a:latin typeface="Arial"/>
              </a:defRPr>
            </a:pPr>
          </a:p>
        </c:txPr>
        <c:crossAx val="1339849269"/>
      </c:catAx>
      <c:valAx>
        <c:axId val="1339849269"/>
        <c:scaling>
          <c:orientation val="minMax"/>
          <c:max val="125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Arial"/>
              </a:defRPr>
            </a:pPr>
          </a:p>
        </c:txPr>
        <c:crossAx val="183504063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 sz="1400">
              <a:solidFill>
                <a:srgbClr val="FFFFFF"/>
              </a:solidFill>
              <a:latin typeface="Arial"/>
            </a:defRPr>
          </a:pPr>
        </a:p>
      </c:txPr>
    </c:legend>
    <c:plotVisOnly val="1"/>
  </c:chart>
  <c:spPr>
    <a:solidFill>
      <a:srgbClr val="181818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'Totalt US 2026'!$R$17</c:f>
            </c:strRef>
          </c:tx>
          <c:spPr>
            <a:solidFill>
              <a:schemeClr val="lt1"/>
            </a:solidFill>
            <a:ln cmpd="sng">
              <a:noFill/>
            </a:ln>
          </c:spPr>
          <c:dPt>
            <c:idx val="5"/>
          </c:dPt>
          <c:dPt>
            <c:idx val="7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'Totalt US 2026'!$Q$18:$Q$29</c:f>
            </c:strRef>
          </c:cat>
          <c:val>
            <c:numRef>
              <c:f>'Totalt US 2026'!$R$18:$R$29</c:f>
              <c:numCache/>
            </c:numRef>
          </c:val>
        </c:ser>
        <c:axId val="1071297219"/>
        <c:axId val="404593469"/>
      </c:barChart>
      <c:catAx>
        <c:axId val="1071297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FFFFFF"/>
                </a:solidFill>
                <a:latin typeface="Arial"/>
              </a:defRPr>
            </a:pPr>
          </a:p>
        </c:txPr>
        <c:crossAx val="404593469"/>
      </c:catAx>
      <c:valAx>
        <c:axId val="40459346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Arial"/>
              </a:defRPr>
            </a:pPr>
          </a:p>
        </c:txPr>
        <c:crossAx val="1071297219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FFFFFF"/>
              </a:solidFill>
              <a:latin typeface="Arial"/>
            </a:defRPr>
          </a:pPr>
        </a:p>
      </c:txPr>
    </c:legend>
    <c:plotVisOnly val="1"/>
  </c:chart>
  <c:spPr>
    <a:solidFill>
      <a:srgbClr val="181818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'Totalt US 2026'!$X$17</c:f>
            </c:strRef>
          </c:tx>
          <c:spPr>
            <a:solidFill>
              <a:schemeClr val="lt1"/>
            </a:solidFill>
            <a:ln cmpd="sng">
              <a:noFill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'Totalt US 2026'!$Q$18:$Q$29</c:f>
            </c:strRef>
          </c:cat>
          <c:val>
            <c:numRef>
              <c:f>'Totalt US 2026'!$X$18:$X$29</c:f>
              <c:numCache/>
            </c:numRef>
          </c:val>
        </c:ser>
        <c:ser>
          <c:idx val="1"/>
          <c:order val="1"/>
          <c:tx>
            <c:strRef>
              <c:f>'Totalt US 2026'!$Y$17</c:f>
            </c:strRef>
          </c:tx>
          <c:spPr>
            <a:solidFill>
              <a:srgbClr val="FF6D0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'Totalt US 2026'!$Q$18:$Q$29</c:f>
            </c:strRef>
          </c:cat>
          <c:val>
            <c:numRef>
              <c:f>'Totalt US 2026'!$Y$18:$Y$29</c:f>
              <c:numCache/>
            </c:numRef>
          </c:val>
        </c:ser>
        <c:axId val="834380387"/>
        <c:axId val="1956460771"/>
      </c:barChart>
      <c:catAx>
        <c:axId val="834380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FFFFFF"/>
                </a:solidFill>
                <a:latin typeface="Arial"/>
              </a:defRPr>
            </a:pPr>
          </a:p>
        </c:txPr>
        <c:crossAx val="1956460771"/>
      </c:catAx>
      <c:valAx>
        <c:axId val="19564607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Arial"/>
              </a:defRPr>
            </a:pPr>
          </a:p>
        </c:txPr>
        <c:crossAx val="834380387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FFFFFF"/>
              </a:solidFill>
              <a:latin typeface="Arial"/>
            </a:defRPr>
          </a:pPr>
        </a:p>
      </c:txPr>
    </c:legend>
    <c:plotVisOnly val="1"/>
  </c:chart>
  <c:spPr>
    <a:solidFill>
      <a:srgbClr val="181818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'Totalt US 2026'!$T$17</c:f>
            </c:strRef>
          </c:tx>
          <c:spPr>
            <a:solidFill>
              <a:srgbClr val="FFFFFF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'Totalt US 2026'!$Q$18:$Q$29</c:f>
            </c:strRef>
          </c:cat>
          <c:val>
            <c:numRef>
              <c:f>'Totalt US 2026'!$T$18:$T$29</c:f>
              <c:numCache/>
            </c:numRef>
          </c:val>
        </c:ser>
        <c:axId val="388547608"/>
        <c:axId val="968710544"/>
      </c:barChart>
      <c:catAx>
        <c:axId val="388547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FFFFFF"/>
                </a:solidFill>
                <a:latin typeface="Arial"/>
              </a:defRPr>
            </a:pPr>
          </a:p>
        </c:txPr>
        <c:crossAx val="968710544"/>
      </c:catAx>
      <c:valAx>
        <c:axId val="9687105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Arial"/>
              </a:defRPr>
            </a:pPr>
          </a:p>
        </c:txPr>
        <c:crossAx val="388547608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FFFFFF"/>
              </a:solidFill>
              <a:latin typeface="Arial"/>
            </a:defRPr>
          </a:pPr>
        </a:p>
      </c:txPr>
    </c:legend>
    <c:plotVisOnly val="1"/>
  </c:chart>
  <c:spPr>
    <a:solidFill>
      <a:srgbClr val="181818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'Totalt US 2025'!$S$17</c:f>
            </c:strRef>
          </c:tx>
          <c:spPr>
            <a:solidFill>
              <a:srgbClr val="FFFFFF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'Totalt US 2025'!$Q$18:$Q$29</c:f>
            </c:strRef>
          </c:cat>
          <c:val>
            <c:numRef>
              <c:f>'Totalt US 2025'!$S$18:$S$29</c:f>
              <c:numCache/>
            </c:numRef>
          </c:val>
        </c:ser>
        <c:ser>
          <c:idx val="1"/>
          <c:order val="1"/>
          <c:tx>
            <c:strRef>
              <c:f>'Totalt US 2025'!$T$17</c:f>
            </c:strRef>
          </c:tx>
          <c:spPr>
            <a:solidFill>
              <a:srgbClr val="FF6D01"/>
            </a:solidFill>
            <a:ln cmpd="sng">
              <a:noFill/>
            </a:ln>
          </c:spPr>
          <c:dPt>
            <c:idx val="7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'Totalt US 2025'!$Q$18:$Q$29</c:f>
            </c:strRef>
          </c:cat>
          <c:val>
            <c:numRef>
              <c:f>'Totalt US 2025'!$T$18:$T$29</c:f>
              <c:numCache/>
            </c:numRef>
          </c:val>
        </c:ser>
        <c:axId val="1507506422"/>
        <c:axId val="1977160672"/>
      </c:barChart>
      <c:catAx>
        <c:axId val="1507506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FFFFFF"/>
                </a:solidFill>
                <a:latin typeface="Arial"/>
              </a:defRPr>
            </a:pPr>
          </a:p>
        </c:txPr>
        <c:crossAx val="1977160672"/>
      </c:catAx>
      <c:valAx>
        <c:axId val="19771606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Arial"/>
              </a:defRPr>
            </a:pPr>
          </a:p>
        </c:txPr>
        <c:crossAx val="1507506422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FFFFFF"/>
              </a:solidFill>
              <a:latin typeface="Arial"/>
            </a:defRPr>
          </a:pPr>
        </a:p>
      </c:txPr>
    </c:legend>
    <c:plotVisOnly val="1"/>
  </c:chart>
  <c:spPr>
    <a:solidFill>
      <a:srgbClr val="181818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'Totalt US 2025'!$R$17</c:f>
            </c:strRef>
          </c:tx>
          <c:spPr>
            <a:solidFill>
              <a:schemeClr val="lt1"/>
            </a:solidFill>
            <a:ln cmpd="sng">
              <a:noFill/>
            </a:ln>
          </c:spPr>
          <c:dPt>
            <c:idx val="5"/>
          </c:dPt>
          <c:dPt>
            <c:idx val="7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'Totalt US 2025'!$Q$18:$Q$29</c:f>
            </c:strRef>
          </c:cat>
          <c:val>
            <c:numRef>
              <c:f>'Totalt US 2025'!$R$18:$R$29</c:f>
              <c:numCache/>
            </c:numRef>
          </c:val>
        </c:ser>
        <c:axId val="1577246580"/>
        <c:axId val="672348852"/>
      </c:barChart>
      <c:catAx>
        <c:axId val="1577246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FFFFFF"/>
                </a:solidFill>
                <a:latin typeface="Arial"/>
              </a:defRPr>
            </a:pPr>
          </a:p>
        </c:txPr>
        <c:crossAx val="672348852"/>
      </c:catAx>
      <c:valAx>
        <c:axId val="6723488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Arial"/>
              </a:defRPr>
            </a:pPr>
          </a:p>
        </c:txPr>
        <c:crossAx val="1577246580"/>
      </c:valAx>
      <c:lineChart>
        <c:varyColors val="0"/>
        <c:ser>
          <c:idx val="1"/>
          <c:order val="1"/>
          <c:tx>
            <c:strRef>
              <c:f>'Totalt US 2025'!$W$17</c:f>
            </c:strRef>
          </c:tx>
          <c:spPr>
            <a:ln cmpd="sng">
              <a:solidFill>
                <a:srgbClr val="FF6D01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'Totalt US 2025'!$Q$18:$Q$29</c:f>
            </c:strRef>
          </c:cat>
          <c:val>
            <c:numRef>
              <c:f>'Totalt US 2025'!$W$18:$W$29</c:f>
              <c:numCache/>
            </c:numRef>
          </c:val>
          <c:smooth val="0"/>
        </c:ser>
        <c:axId val="389541856"/>
        <c:axId val="1942624922"/>
      </c:lineChart>
      <c:catAx>
        <c:axId val="389541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FFFFFF"/>
                </a:solidFill>
                <a:latin typeface="Arial"/>
              </a:defRPr>
            </a:pPr>
          </a:p>
        </c:txPr>
        <c:crossAx val="1942624922"/>
      </c:catAx>
      <c:valAx>
        <c:axId val="1942624922"/>
        <c:scaling>
          <c:orientation val="minMax"/>
        </c:scaling>
        <c:delete val="0"/>
        <c:axPos val="r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Arial"/>
              </a:defRPr>
            </a:pPr>
          </a:p>
        </c:txPr>
        <c:crossAx val="389541856"/>
        <c:crosses val="max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FFFFFF"/>
              </a:solidFill>
              <a:latin typeface="Arial"/>
            </a:defRPr>
          </a:pPr>
        </a:p>
      </c:txPr>
    </c:legend>
    <c:plotVisOnly val="1"/>
  </c:chart>
  <c:spPr>
    <a:solidFill>
      <a:srgbClr val="181818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'Totalt US 2025'!$X$17</c:f>
            </c:strRef>
          </c:tx>
          <c:spPr>
            <a:solidFill>
              <a:schemeClr val="lt1"/>
            </a:solidFill>
            <a:ln cmpd="sng">
              <a:noFill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'Totalt US 2025'!$Q$18:$Q$29</c:f>
            </c:strRef>
          </c:cat>
          <c:val>
            <c:numRef>
              <c:f>'Totalt US 2025'!$X$18:$X$29</c:f>
              <c:numCache/>
            </c:numRef>
          </c:val>
        </c:ser>
        <c:ser>
          <c:idx val="1"/>
          <c:order val="1"/>
          <c:tx>
            <c:strRef>
              <c:f>'Totalt US 2025'!$Y$17</c:f>
            </c:strRef>
          </c:tx>
          <c:spPr>
            <a:solidFill>
              <a:srgbClr val="FF6D0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'Totalt US 2025'!$Q$18:$Q$29</c:f>
            </c:strRef>
          </c:cat>
          <c:val>
            <c:numRef>
              <c:f>'Totalt US 2025'!$Y$18:$Y$29</c:f>
              <c:numCache/>
            </c:numRef>
          </c:val>
        </c:ser>
        <c:axId val="1775129651"/>
        <c:axId val="1629175623"/>
      </c:barChart>
      <c:catAx>
        <c:axId val="1775129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FFFFFF"/>
                </a:solidFill>
                <a:latin typeface="Arial"/>
              </a:defRPr>
            </a:pPr>
          </a:p>
        </c:txPr>
        <c:crossAx val="1629175623"/>
      </c:catAx>
      <c:valAx>
        <c:axId val="16291756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Arial"/>
              </a:defRPr>
            </a:pPr>
          </a:p>
        </c:txPr>
        <c:crossAx val="1775129651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FFFFFF"/>
              </a:solidFill>
              <a:latin typeface="Arial"/>
            </a:defRPr>
          </a:pPr>
        </a:p>
      </c:txPr>
    </c:legend>
    <c:plotVisOnly val="1"/>
  </c:chart>
  <c:spPr>
    <a:solidFill>
      <a:srgbClr val="181818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'Totalt US 2025'!$T$17</c:f>
            </c:strRef>
          </c:tx>
          <c:spPr>
            <a:solidFill>
              <a:srgbClr val="FFFFFF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'Totalt US 2025'!$Q$18:$Q$29</c:f>
            </c:strRef>
          </c:cat>
          <c:val>
            <c:numRef>
              <c:f>'Totalt US 2025'!$T$18:$T$29</c:f>
              <c:numCache/>
            </c:numRef>
          </c:val>
        </c:ser>
        <c:axId val="1872090067"/>
        <c:axId val="886942666"/>
      </c:barChart>
      <c:catAx>
        <c:axId val="1872090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FFFFFF"/>
                </a:solidFill>
                <a:latin typeface="Arial"/>
              </a:defRPr>
            </a:pPr>
          </a:p>
        </c:txPr>
        <c:crossAx val="886942666"/>
      </c:catAx>
      <c:valAx>
        <c:axId val="88694266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Arial"/>
              </a:defRPr>
            </a:pPr>
          </a:p>
        </c:txPr>
        <c:crossAx val="1872090067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FFFFFF"/>
              </a:solidFill>
              <a:latin typeface="Arial"/>
            </a:defRPr>
          </a:pPr>
        </a:p>
      </c:txPr>
    </c:legend>
    <c:plotVisOnly val="1"/>
  </c:chart>
  <c:spPr>
    <a:solidFill>
      <a:srgbClr val="181818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Input!$A$5:$A$17</c:f>
            </c:strRef>
          </c:cat>
          <c:val>
            <c:numRef>
              <c:f>Input!$C$5:$C$17</c:f>
              <c:numCache/>
            </c:numRef>
          </c:val>
        </c:ser>
        <c:ser>
          <c:idx val="1"/>
          <c:order val="1"/>
          <c:cat>
            <c:strRef>
              <c:f>Input!$A$5:$A$17</c:f>
            </c:strRef>
          </c:cat>
          <c:val>
            <c:numRef>
              <c:f>Input!$D$5:$D$17</c:f>
              <c:numCache/>
            </c:numRef>
          </c:val>
        </c:ser>
        <c:axId val="152224333"/>
        <c:axId val="1378865494"/>
      </c:barChart>
      <c:catAx>
        <c:axId val="152224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8865494"/>
      </c:catAx>
      <c:valAx>
        <c:axId val="137886549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2224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Input!$A$5:$A$17</c:f>
            </c:strRef>
          </c:cat>
          <c:val>
            <c:numRef>
              <c:f>Input!$E$5:$E$17</c:f>
              <c:numCache/>
            </c:numRef>
          </c:val>
        </c:ser>
        <c:ser>
          <c:idx val="1"/>
          <c:order val="1"/>
          <c:cat>
            <c:strRef>
              <c:f>Input!$A$5:$A$17</c:f>
            </c:strRef>
          </c:cat>
          <c:val>
            <c:numRef>
              <c:f>Input!$F$5:$F$17</c:f>
              <c:numCache/>
            </c:numRef>
          </c:val>
        </c:ser>
        <c:axId val="1695232238"/>
        <c:axId val="1820835111"/>
      </c:barChart>
      <c:catAx>
        <c:axId val="1695232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0835111"/>
      </c:catAx>
      <c:valAx>
        <c:axId val="182083511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952322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30</xdr:row>
      <xdr:rowOff>190500</xdr:rowOff>
    </xdr:from>
    <xdr:ext cx="14420850" cy="2562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45</xdr:row>
      <xdr:rowOff>9525</xdr:rowOff>
    </xdr:from>
    <xdr:ext cx="14420850" cy="2562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59</xdr:row>
      <xdr:rowOff>28575</xdr:rowOff>
    </xdr:from>
    <xdr:ext cx="14420850" cy="25622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0</xdr:colOff>
      <xdr:row>16</xdr:row>
      <xdr:rowOff>171450</xdr:rowOff>
    </xdr:from>
    <xdr:ext cx="14420850" cy="25622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177</xdr:row>
      <xdr:rowOff>190500</xdr:rowOff>
    </xdr:from>
    <xdr:ext cx="14420850" cy="25622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30</xdr:row>
      <xdr:rowOff>190500</xdr:rowOff>
    </xdr:from>
    <xdr:ext cx="14420850" cy="25622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59</xdr:row>
      <xdr:rowOff>28575</xdr:rowOff>
    </xdr:from>
    <xdr:ext cx="14420850" cy="25622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16</xdr:row>
      <xdr:rowOff>171450</xdr:rowOff>
    </xdr:from>
    <xdr:ext cx="14420850" cy="25622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0</xdr:colOff>
      <xdr:row>177</xdr:row>
      <xdr:rowOff>190500</xdr:rowOff>
    </xdr:from>
    <xdr:ext cx="14420850" cy="25622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666750</xdr:colOff>
      <xdr:row>21</xdr:row>
      <xdr:rowOff>47625</xdr:rowOff>
    </xdr:from>
    <xdr:ext cx="8439150" cy="28860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666750</xdr:colOff>
      <xdr:row>37</xdr:row>
      <xdr:rowOff>152400</xdr:rowOff>
    </xdr:from>
    <xdr:ext cx="843915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tannskjema.no/groruddalen-tannlegesenter" TargetMode="External"/><Relationship Id="rId194" Type="http://schemas.openxmlformats.org/officeDocument/2006/relationships/hyperlink" Target="https://tannskjema.no/groruddalen-tannlegesenter" TargetMode="External"/><Relationship Id="rId193" Type="http://schemas.openxmlformats.org/officeDocument/2006/relationships/hyperlink" Target="https://tannskjema.no" TargetMode="External"/><Relationship Id="rId192" Type="http://schemas.openxmlformats.org/officeDocument/2006/relationships/hyperlink" Target="https://tannskjema.no/groruddalen-tannlegesenter" TargetMode="External"/><Relationship Id="rId191" Type="http://schemas.openxmlformats.org/officeDocument/2006/relationships/hyperlink" Target="https://tannskjema.no" TargetMode="External"/><Relationship Id="rId187" Type="http://schemas.openxmlformats.org/officeDocument/2006/relationships/hyperlink" Target="https://tannskjema.no" TargetMode="External"/><Relationship Id="rId186" Type="http://schemas.openxmlformats.org/officeDocument/2006/relationships/hyperlink" Target="https://tannskjema.no/groruddalen-tannlegesenter" TargetMode="External"/><Relationship Id="rId185" Type="http://schemas.openxmlformats.org/officeDocument/2006/relationships/hyperlink" Target="https://tannskjema.no" TargetMode="External"/><Relationship Id="rId184" Type="http://schemas.openxmlformats.org/officeDocument/2006/relationships/hyperlink" Target="https://tannskjema.no/groruddalen-tannlegesenter" TargetMode="External"/><Relationship Id="rId189" Type="http://schemas.openxmlformats.org/officeDocument/2006/relationships/hyperlink" Target="https://tannskjema.no" TargetMode="External"/><Relationship Id="rId188" Type="http://schemas.openxmlformats.org/officeDocument/2006/relationships/hyperlink" Target="https://tannskjema.no/groruddalen-tannlegesenter" TargetMode="External"/><Relationship Id="rId183" Type="http://schemas.openxmlformats.org/officeDocument/2006/relationships/hyperlink" Target="https://tannskjema.no" TargetMode="External"/><Relationship Id="rId182" Type="http://schemas.openxmlformats.org/officeDocument/2006/relationships/hyperlink" Target="https://tannskjema.no/groruddalen-tannlegesenter" TargetMode="External"/><Relationship Id="rId181" Type="http://schemas.openxmlformats.org/officeDocument/2006/relationships/hyperlink" Target="https://tannskjema.no" TargetMode="External"/><Relationship Id="rId180" Type="http://schemas.openxmlformats.org/officeDocument/2006/relationships/hyperlink" Target="https://tannskjema.no/groruddalen-tannlegesenter" TargetMode="External"/><Relationship Id="rId176" Type="http://schemas.openxmlformats.org/officeDocument/2006/relationships/hyperlink" Target="https://tannskjema.no/groruddalen-tannlegesenter" TargetMode="External"/><Relationship Id="rId175" Type="http://schemas.openxmlformats.org/officeDocument/2006/relationships/hyperlink" Target="https://tannskjema.no" TargetMode="External"/><Relationship Id="rId174" Type="http://schemas.openxmlformats.org/officeDocument/2006/relationships/hyperlink" Target="https://tannskjema.no/groruddalen-tannlegesenter" TargetMode="External"/><Relationship Id="rId173" Type="http://schemas.openxmlformats.org/officeDocument/2006/relationships/hyperlink" Target="https://tannskjema.no" TargetMode="External"/><Relationship Id="rId179" Type="http://schemas.openxmlformats.org/officeDocument/2006/relationships/hyperlink" Target="https://tannskjema.no" TargetMode="External"/><Relationship Id="rId178" Type="http://schemas.openxmlformats.org/officeDocument/2006/relationships/hyperlink" Target="https://tannskjema.no/groruddalen-tannlegesenter" TargetMode="External"/><Relationship Id="rId177" Type="http://schemas.openxmlformats.org/officeDocument/2006/relationships/hyperlink" Target="https://tannskjema.no" TargetMode="External"/><Relationship Id="rId198" Type="http://schemas.openxmlformats.org/officeDocument/2006/relationships/hyperlink" Target="https://tannskjema.no/groruddalen-tannlegesenter" TargetMode="External"/><Relationship Id="rId197" Type="http://schemas.openxmlformats.org/officeDocument/2006/relationships/hyperlink" Target="https://tannskjema.no" TargetMode="External"/><Relationship Id="rId196" Type="http://schemas.openxmlformats.org/officeDocument/2006/relationships/hyperlink" Target="https://tannskjema.no/groruddalen-tannlegesenter" TargetMode="External"/><Relationship Id="rId195" Type="http://schemas.openxmlformats.org/officeDocument/2006/relationships/hyperlink" Target="https://tannskjema.no" TargetMode="External"/><Relationship Id="rId199" Type="http://schemas.openxmlformats.org/officeDocument/2006/relationships/hyperlink" Target="https://tannskjema.no" TargetMode="External"/><Relationship Id="rId150" Type="http://schemas.openxmlformats.org/officeDocument/2006/relationships/hyperlink" Target="https://tannskjema.no/groruddalen-tannlegesenter" TargetMode="External"/><Relationship Id="rId392" Type="http://schemas.openxmlformats.org/officeDocument/2006/relationships/hyperlink" Target="https://tannskjema.no/groruddalen-tannlegesenter" TargetMode="External"/><Relationship Id="rId391" Type="http://schemas.openxmlformats.org/officeDocument/2006/relationships/hyperlink" Target="https://tannskjema.no" TargetMode="External"/><Relationship Id="rId390" Type="http://schemas.openxmlformats.org/officeDocument/2006/relationships/hyperlink" Target="https://tannskjema.no/groruddalen-tannlegesenter" TargetMode="External"/><Relationship Id="rId1" Type="http://schemas.openxmlformats.org/officeDocument/2006/relationships/hyperlink" Target="https://tannskjema.no" TargetMode="External"/><Relationship Id="rId2" Type="http://schemas.openxmlformats.org/officeDocument/2006/relationships/hyperlink" Target="https://tannskjema.no/groruddalen-tannlegesenter" TargetMode="External"/><Relationship Id="rId3" Type="http://schemas.openxmlformats.org/officeDocument/2006/relationships/hyperlink" Target="https://tannskjema.no" TargetMode="External"/><Relationship Id="rId149" Type="http://schemas.openxmlformats.org/officeDocument/2006/relationships/hyperlink" Target="https://tannskjema.no" TargetMode="External"/><Relationship Id="rId4" Type="http://schemas.openxmlformats.org/officeDocument/2006/relationships/hyperlink" Target="https://tannskjema.no/groruddalen-tannlegesenter" TargetMode="External"/><Relationship Id="rId148" Type="http://schemas.openxmlformats.org/officeDocument/2006/relationships/hyperlink" Target="https://tannskjema.no/groruddalen-tannlegesenter" TargetMode="External"/><Relationship Id="rId1090" Type="http://schemas.openxmlformats.org/officeDocument/2006/relationships/hyperlink" Target="https://tannskjema.no/groruddalen-tannlegesenter" TargetMode="External"/><Relationship Id="rId1091" Type="http://schemas.openxmlformats.org/officeDocument/2006/relationships/hyperlink" Target="https://tannskjema.no" TargetMode="External"/><Relationship Id="rId1092" Type="http://schemas.openxmlformats.org/officeDocument/2006/relationships/hyperlink" Target="https://tannskjema.no/groruddalen-tannlegesenter" TargetMode="External"/><Relationship Id="rId1093" Type="http://schemas.openxmlformats.org/officeDocument/2006/relationships/hyperlink" Target="https://tannskjema.no" TargetMode="External"/><Relationship Id="rId1094" Type="http://schemas.openxmlformats.org/officeDocument/2006/relationships/hyperlink" Target="https://tannskjema.no/groruddalen-tannlegesenter" TargetMode="External"/><Relationship Id="rId9" Type="http://schemas.openxmlformats.org/officeDocument/2006/relationships/hyperlink" Target="https://tannskjema.no" TargetMode="External"/><Relationship Id="rId143" Type="http://schemas.openxmlformats.org/officeDocument/2006/relationships/hyperlink" Target="https://tannskjema.no" TargetMode="External"/><Relationship Id="rId385" Type="http://schemas.openxmlformats.org/officeDocument/2006/relationships/hyperlink" Target="https://tannskjema.no" TargetMode="External"/><Relationship Id="rId1095" Type="http://schemas.openxmlformats.org/officeDocument/2006/relationships/hyperlink" Target="https://tannskjema.no" TargetMode="External"/><Relationship Id="rId142" Type="http://schemas.openxmlformats.org/officeDocument/2006/relationships/hyperlink" Target="https://tannskjema.no/groruddalen-tannlegesenter" TargetMode="External"/><Relationship Id="rId384" Type="http://schemas.openxmlformats.org/officeDocument/2006/relationships/hyperlink" Target="https://tannskjema.no/groruddalen-tannlegesenter" TargetMode="External"/><Relationship Id="rId1096" Type="http://schemas.openxmlformats.org/officeDocument/2006/relationships/hyperlink" Target="https://tannskjema.no/groruddalen-tannlegesenter" TargetMode="External"/><Relationship Id="rId141" Type="http://schemas.openxmlformats.org/officeDocument/2006/relationships/hyperlink" Target="https://tannskjema.no" TargetMode="External"/><Relationship Id="rId383" Type="http://schemas.openxmlformats.org/officeDocument/2006/relationships/hyperlink" Target="https://tannskjema.no" TargetMode="External"/><Relationship Id="rId1097" Type="http://schemas.openxmlformats.org/officeDocument/2006/relationships/hyperlink" Target="https://tannskjema.no" TargetMode="External"/><Relationship Id="rId140" Type="http://schemas.openxmlformats.org/officeDocument/2006/relationships/hyperlink" Target="https://tannskjema.no/groruddalen-tannlegesenter" TargetMode="External"/><Relationship Id="rId382" Type="http://schemas.openxmlformats.org/officeDocument/2006/relationships/hyperlink" Target="https://tannskjema.no/groruddalen-tannlegesenter" TargetMode="External"/><Relationship Id="rId1098" Type="http://schemas.openxmlformats.org/officeDocument/2006/relationships/hyperlink" Target="https://tannskjema.no/groruddalen-tannlegesenter" TargetMode="External"/><Relationship Id="rId5" Type="http://schemas.openxmlformats.org/officeDocument/2006/relationships/hyperlink" Target="https://tannskjema.no" TargetMode="External"/><Relationship Id="rId147" Type="http://schemas.openxmlformats.org/officeDocument/2006/relationships/hyperlink" Target="https://tannskjema.no" TargetMode="External"/><Relationship Id="rId389" Type="http://schemas.openxmlformats.org/officeDocument/2006/relationships/hyperlink" Target="https://tannskjema.no" TargetMode="External"/><Relationship Id="rId1099" Type="http://schemas.openxmlformats.org/officeDocument/2006/relationships/hyperlink" Target="https://tannskjema.no" TargetMode="External"/><Relationship Id="rId6" Type="http://schemas.openxmlformats.org/officeDocument/2006/relationships/hyperlink" Target="https://tannskjema.no/groruddalen-tannlegesenter" TargetMode="External"/><Relationship Id="rId146" Type="http://schemas.openxmlformats.org/officeDocument/2006/relationships/hyperlink" Target="https://tannskjema.no/groruddalen-tannlegesenter" TargetMode="External"/><Relationship Id="rId388" Type="http://schemas.openxmlformats.org/officeDocument/2006/relationships/hyperlink" Target="https://tannskjema.no/groruddalen-tannlegesenter" TargetMode="External"/><Relationship Id="rId7" Type="http://schemas.openxmlformats.org/officeDocument/2006/relationships/hyperlink" Target="https://tannskjema.no" TargetMode="External"/><Relationship Id="rId145" Type="http://schemas.openxmlformats.org/officeDocument/2006/relationships/hyperlink" Target="https://tannskjema.no" TargetMode="External"/><Relationship Id="rId387" Type="http://schemas.openxmlformats.org/officeDocument/2006/relationships/hyperlink" Target="https://tannskjema.no" TargetMode="External"/><Relationship Id="rId8" Type="http://schemas.openxmlformats.org/officeDocument/2006/relationships/hyperlink" Target="https://tannskjema.no/groruddalen-tannlegesenter" TargetMode="External"/><Relationship Id="rId144" Type="http://schemas.openxmlformats.org/officeDocument/2006/relationships/hyperlink" Target="https://tannskjema.no/groruddalen-tannlegesenter" TargetMode="External"/><Relationship Id="rId386" Type="http://schemas.openxmlformats.org/officeDocument/2006/relationships/hyperlink" Target="https://tannskjema.no/groruddalen-tannlegesenter" TargetMode="External"/><Relationship Id="rId381" Type="http://schemas.openxmlformats.org/officeDocument/2006/relationships/hyperlink" Target="https://tannskjema.no" TargetMode="External"/><Relationship Id="rId380" Type="http://schemas.openxmlformats.org/officeDocument/2006/relationships/hyperlink" Target="https://tannskjema.no/groruddalen-tannlegesenter" TargetMode="External"/><Relationship Id="rId139" Type="http://schemas.openxmlformats.org/officeDocument/2006/relationships/hyperlink" Target="https://tannskjema.no" TargetMode="External"/><Relationship Id="rId138" Type="http://schemas.openxmlformats.org/officeDocument/2006/relationships/hyperlink" Target="https://tannskjema.no/groruddalen-tannlegesenter" TargetMode="External"/><Relationship Id="rId137" Type="http://schemas.openxmlformats.org/officeDocument/2006/relationships/hyperlink" Target="https://tannskjema.no" TargetMode="External"/><Relationship Id="rId379" Type="http://schemas.openxmlformats.org/officeDocument/2006/relationships/hyperlink" Target="https://tannskjema.no" TargetMode="External"/><Relationship Id="rId1080" Type="http://schemas.openxmlformats.org/officeDocument/2006/relationships/hyperlink" Target="https://tannskjema.no/groruddalen-tannlegesenter" TargetMode="External"/><Relationship Id="rId1081" Type="http://schemas.openxmlformats.org/officeDocument/2006/relationships/hyperlink" Target="https://tannskjema.no" TargetMode="External"/><Relationship Id="rId1082" Type="http://schemas.openxmlformats.org/officeDocument/2006/relationships/hyperlink" Target="https://tannskjema.no/groruddalen-tannlegesenter" TargetMode="External"/><Relationship Id="rId1083" Type="http://schemas.openxmlformats.org/officeDocument/2006/relationships/hyperlink" Target="https://tannskjema.no" TargetMode="External"/><Relationship Id="rId132" Type="http://schemas.openxmlformats.org/officeDocument/2006/relationships/hyperlink" Target="https://tannskjema.no/groruddalen-tannlegesenter" TargetMode="External"/><Relationship Id="rId374" Type="http://schemas.openxmlformats.org/officeDocument/2006/relationships/hyperlink" Target="https://tannskjema.no/groruddalen-tannlegesenter" TargetMode="External"/><Relationship Id="rId1084" Type="http://schemas.openxmlformats.org/officeDocument/2006/relationships/hyperlink" Target="https://tannskjema.no/groruddalen-tannlegesenter" TargetMode="External"/><Relationship Id="rId131" Type="http://schemas.openxmlformats.org/officeDocument/2006/relationships/hyperlink" Target="https://tannskjema.no" TargetMode="External"/><Relationship Id="rId373" Type="http://schemas.openxmlformats.org/officeDocument/2006/relationships/hyperlink" Target="https://tannskjema.no" TargetMode="External"/><Relationship Id="rId1085" Type="http://schemas.openxmlformats.org/officeDocument/2006/relationships/hyperlink" Target="https://tannskjema.no" TargetMode="External"/><Relationship Id="rId130" Type="http://schemas.openxmlformats.org/officeDocument/2006/relationships/hyperlink" Target="https://tannskjema.no/groruddalen-tannlegesenter" TargetMode="External"/><Relationship Id="rId372" Type="http://schemas.openxmlformats.org/officeDocument/2006/relationships/hyperlink" Target="https://tannskjema.no/groruddalen-tannlegesenter" TargetMode="External"/><Relationship Id="rId1086" Type="http://schemas.openxmlformats.org/officeDocument/2006/relationships/hyperlink" Target="https://tannskjema.no/groruddalen-tannlegesenter" TargetMode="External"/><Relationship Id="rId371" Type="http://schemas.openxmlformats.org/officeDocument/2006/relationships/hyperlink" Target="https://tannskjema.no" TargetMode="External"/><Relationship Id="rId1087" Type="http://schemas.openxmlformats.org/officeDocument/2006/relationships/hyperlink" Target="https://tannskjema.no" TargetMode="External"/><Relationship Id="rId136" Type="http://schemas.openxmlformats.org/officeDocument/2006/relationships/hyperlink" Target="https://tannskjema.no/groruddalen-tannlegesenter" TargetMode="External"/><Relationship Id="rId378" Type="http://schemas.openxmlformats.org/officeDocument/2006/relationships/hyperlink" Target="https://tannskjema.no/groruddalen-tannlegesenter" TargetMode="External"/><Relationship Id="rId1088" Type="http://schemas.openxmlformats.org/officeDocument/2006/relationships/hyperlink" Target="https://tannskjema.no/groruddalen-tannlegesenter" TargetMode="External"/><Relationship Id="rId135" Type="http://schemas.openxmlformats.org/officeDocument/2006/relationships/hyperlink" Target="https://tannskjema.no" TargetMode="External"/><Relationship Id="rId377" Type="http://schemas.openxmlformats.org/officeDocument/2006/relationships/hyperlink" Target="https://tannskjema.no" TargetMode="External"/><Relationship Id="rId1089" Type="http://schemas.openxmlformats.org/officeDocument/2006/relationships/hyperlink" Target="https://tannskjema.no" TargetMode="External"/><Relationship Id="rId134" Type="http://schemas.openxmlformats.org/officeDocument/2006/relationships/hyperlink" Target="https://tannskjema.no/groruddalen-tannlegesenter" TargetMode="External"/><Relationship Id="rId376" Type="http://schemas.openxmlformats.org/officeDocument/2006/relationships/hyperlink" Target="https://tannskjema.no/groruddalen-tannlegesenter" TargetMode="External"/><Relationship Id="rId133" Type="http://schemas.openxmlformats.org/officeDocument/2006/relationships/hyperlink" Target="https://tannskjema.no" TargetMode="External"/><Relationship Id="rId375" Type="http://schemas.openxmlformats.org/officeDocument/2006/relationships/hyperlink" Target="https://tannskjema.no" TargetMode="External"/><Relationship Id="rId172" Type="http://schemas.openxmlformats.org/officeDocument/2006/relationships/hyperlink" Target="https://tannskjema.no/groruddalen-tannlegesenter" TargetMode="External"/><Relationship Id="rId171" Type="http://schemas.openxmlformats.org/officeDocument/2006/relationships/hyperlink" Target="https://tannskjema.no" TargetMode="External"/><Relationship Id="rId170" Type="http://schemas.openxmlformats.org/officeDocument/2006/relationships/hyperlink" Target="https://tannskjema.no/groruddalen-tannlegesenter" TargetMode="External"/><Relationship Id="rId165" Type="http://schemas.openxmlformats.org/officeDocument/2006/relationships/hyperlink" Target="https://tannskjema.no" TargetMode="External"/><Relationship Id="rId164" Type="http://schemas.openxmlformats.org/officeDocument/2006/relationships/hyperlink" Target="https://tannskjema.no/groruddalen-tannlegesenter" TargetMode="External"/><Relationship Id="rId163" Type="http://schemas.openxmlformats.org/officeDocument/2006/relationships/hyperlink" Target="https://tannskjema.no" TargetMode="External"/><Relationship Id="rId162" Type="http://schemas.openxmlformats.org/officeDocument/2006/relationships/hyperlink" Target="https://tannskjema.no/groruddalen-tannlegesenter" TargetMode="External"/><Relationship Id="rId169" Type="http://schemas.openxmlformats.org/officeDocument/2006/relationships/hyperlink" Target="https://tannskjema.no" TargetMode="External"/><Relationship Id="rId168" Type="http://schemas.openxmlformats.org/officeDocument/2006/relationships/hyperlink" Target="https://tannskjema.no/groruddalen-tannlegesenter" TargetMode="External"/><Relationship Id="rId167" Type="http://schemas.openxmlformats.org/officeDocument/2006/relationships/hyperlink" Target="https://tannskjema.no" TargetMode="External"/><Relationship Id="rId166" Type="http://schemas.openxmlformats.org/officeDocument/2006/relationships/hyperlink" Target="https://tannskjema.no/groruddalen-tannlegesenter" TargetMode="External"/><Relationship Id="rId161" Type="http://schemas.openxmlformats.org/officeDocument/2006/relationships/hyperlink" Target="https://tannskjema.no" TargetMode="External"/><Relationship Id="rId160" Type="http://schemas.openxmlformats.org/officeDocument/2006/relationships/hyperlink" Target="https://tannskjema.no/groruddalen-tannlegesenter" TargetMode="External"/><Relationship Id="rId159" Type="http://schemas.openxmlformats.org/officeDocument/2006/relationships/hyperlink" Target="https://tannskjema.no" TargetMode="External"/><Relationship Id="rId154" Type="http://schemas.openxmlformats.org/officeDocument/2006/relationships/hyperlink" Target="https://tannskjema.no/groruddalen-tannlegesenter" TargetMode="External"/><Relationship Id="rId396" Type="http://schemas.openxmlformats.org/officeDocument/2006/relationships/hyperlink" Target="https://tannskjema.no/groruddalen-tannlegesenter" TargetMode="External"/><Relationship Id="rId153" Type="http://schemas.openxmlformats.org/officeDocument/2006/relationships/hyperlink" Target="https://tannskjema.no" TargetMode="External"/><Relationship Id="rId395" Type="http://schemas.openxmlformats.org/officeDocument/2006/relationships/hyperlink" Target="https://tannskjema.no" TargetMode="External"/><Relationship Id="rId152" Type="http://schemas.openxmlformats.org/officeDocument/2006/relationships/hyperlink" Target="https://tannskjema.no/groruddalen-tannlegesenter" TargetMode="External"/><Relationship Id="rId394" Type="http://schemas.openxmlformats.org/officeDocument/2006/relationships/hyperlink" Target="https://tannskjema.no/groruddalen-tannlegesenter" TargetMode="External"/><Relationship Id="rId151" Type="http://schemas.openxmlformats.org/officeDocument/2006/relationships/hyperlink" Target="https://tannskjema.no" TargetMode="External"/><Relationship Id="rId393" Type="http://schemas.openxmlformats.org/officeDocument/2006/relationships/hyperlink" Target="https://tannskjema.no" TargetMode="External"/><Relationship Id="rId158" Type="http://schemas.openxmlformats.org/officeDocument/2006/relationships/hyperlink" Target="https://tannskjema.no/groruddalen-tannlegesenter" TargetMode="External"/><Relationship Id="rId157" Type="http://schemas.openxmlformats.org/officeDocument/2006/relationships/hyperlink" Target="https://tannskjema.no" TargetMode="External"/><Relationship Id="rId399" Type="http://schemas.openxmlformats.org/officeDocument/2006/relationships/hyperlink" Target="https://tannskjema.no" TargetMode="External"/><Relationship Id="rId156" Type="http://schemas.openxmlformats.org/officeDocument/2006/relationships/hyperlink" Target="https://tannskjema.no/groruddalen-tannlegesenter" TargetMode="External"/><Relationship Id="rId398" Type="http://schemas.openxmlformats.org/officeDocument/2006/relationships/hyperlink" Target="https://tannskjema.no/groruddalen-tannlegesenter" TargetMode="External"/><Relationship Id="rId155" Type="http://schemas.openxmlformats.org/officeDocument/2006/relationships/hyperlink" Target="https://tannskjema.no" TargetMode="External"/><Relationship Id="rId397" Type="http://schemas.openxmlformats.org/officeDocument/2006/relationships/hyperlink" Target="https://tannskjema.no" TargetMode="External"/><Relationship Id="rId808" Type="http://schemas.openxmlformats.org/officeDocument/2006/relationships/hyperlink" Target="https://tannskjema.no/groruddalen-tannlegesenter" TargetMode="External"/><Relationship Id="rId807" Type="http://schemas.openxmlformats.org/officeDocument/2006/relationships/hyperlink" Target="https://tannskjema.no" TargetMode="External"/><Relationship Id="rId806" Type="http://schemas.openxmlformats.org/officeDocument/2006/relationships/hyperlink" Target="https://tannskjema.no/groruddalen-tannlegesenter" TargetMode="External"/><Relationship Id="rId805" Type="http://schemas.openxmlformats.org/officeDocument/2006/relationships/hyperlink" Target="https://tannskjema.no" TargetMode="External"/><Relationship Id="rId809" Type="http://schemas.openxmlformats.org/officeDocument/2006/relationships/hyperlink" Target="https://tannskjema.no" TargetMode="External"/><Relationship Id="rId800" Type="http://schemas.openxmlformats.org/officeDocument/2006/relationships/hyperlink" Target="https://tannskjema.no/groruddalen-tannlegesenter" TargetMode="External"/><Relationship Id="rId804" Type="http://schemas.openxmlformats.org/officeDocument/2006/relationships/hyperlink" Target="https://tannskjema.no/groruddalen-tannlegesenter" TargetMode="External"/><Relationship Id="rId803" Type="http://schemas.openxmlformats.org/officeDocument/2006/relationships/hyperlink" Target="https://tannskjema.no" TargetMode="External"/><Relationship Id="rId802" Type="http://schemas.openxmlformats.org/officeDocument/2006/relationships/hyperlink" Target="https://tannskjema.no/groruddalen-tannlegesenter" TargetMode="External"/><Relationship Id="rId801" Type="http://schemas.openxmlformats.org/officeDocument/2006/relationships/hyperlink" Target="https://tannskjema.no" TargetMode="External"/><Relationship Id="rId40" Type="http://schemas.openxmlformats.org/officeDocument/2006/relationships/hyperlink" Target="https://tannskjema.no/groruddalen-tannlegesenter" TargetMode="External"/><Relationship Id="rId42" Type="http://schemas.openxmlformats.org/officeDocument/2006/relationships/hyperlink" Target="https://tannskjema.no/groruddalen-tannlegesenter" TargetMode="External"/><Relationship Id="rId41" Type="http://schemas.openxmlformats.org/officeDocument/2006/relationships/hyperlink" Target="https://tannskjema.no" TargetMode="External"/><Relationship Id="rId44" Type="http://schemas.openxmlformats.org/officeDocument/2006/relationships/hyperlink" Target="https://tannskjema.no/groruddalen-tannlegesenter" TargetMode="External"/><Relationship Id="rId43" Type="http://schemas.openxmlformats.org/officeDocument/2006/relationships/hyperlink" Target="https://tannskjema.no" TargetMode="External"/><Relationship Id="rId46" Type="http://schemas.openxmlformats.org/officeDocument/2006/relationships/hyperlink" Target="https://tannskjema.no/groruddalen-tannlegesenter" TargetMode="External"/><Relationship Id="rId45" Type="http://schemas.openxmlformats.org/officeDocument/2006/relationships/hyperlink" Target="https://tannskjema.no" TargetMode="External"/><Relationship Id="rId509" Type="http://schemas.openxmlformats.org/officeDocument/2006/relationships/hyperlink" Target="https://tannskjema.no" TargetMode="External"/><Relationship Id="rId508" Type="http://schemas.openxmlformats.org/officeDocument/2006/relationships/hyperlink" Target="https://tannskjema.no/groruddalen-tannlegesenter" TargetMode="External"/><Relationship Id="rId503" Type="http://schemas.openxmlformats.org/officeDocument/2006/relationships/hyperlink" Target="https://tannskjema.no" TargetMode="External"/><Relationship Id="rId745" Type="http://schemas.openxmlformats.org/officeDocument/2006/relationships/hyperlink" Target="https://tannskjema.no" TargetMode="External"/><Relationship Id="rId987" Type="http://schemas.openxmlformats.org/officeDocument/2006/relationships/hyperlink" Target="https://tannskjema.no" TargetMode="External"/><Relationship Id="rId502" Type="http://schemas.openxmlformats.org/officeDocument/2006/relationships/hyperlink" Target="https://tannskjema.no/groruddalen-tannlegesenter" TargetMode="External"/><Relationship Id="rId744" Type="http://schemas.openxmlformats.org/officeDocument/2006/relationships/hyperlink" Target="https://tannskjema.no/groruddalen-tannlegesenter" TargetMode="External"/><Relationship Id="rId986" Type="http://schemas.openxmlformats.org/officeDocument/2006/relationships/hyperlink" Target="https://tannskjema.no/groruddalen-tannlegesenter" TargetMode="External"/><Relationship Id="rId501" Type="http://schemas.openxmlformats.org/officeDocument/2006/relationships/hyperlink" Target="https://tannskjema.no" TargetMode="External"/><Relationship Id="rId743" Type="http://schemas.openxmlformats.org/officeDocument/2006/relationships/hyperlink" Target="https://tannskjema.no" TargetMode="External"/><Relationship Id="rId985" Type="http://schemas.openxmlformats.org/officeDocument/2006/relationships/hyperlink" Target="https://tannskjema.no" TargetMode="External"/><Relationship Id="rId500" Type="http://schemas.openxmlformats.org/officeDocument/2006/relationships/hyperlink" Target="https://tannskjema.no/groruddalen-tannlegesenter" TargetMode="External"/><Relationship Id="rId742" Type="http://schemas.openxmlformats.org/officeDocument/2006/relationships/hyperlink" Target="https://tannskjema.no/groruddalen-tannlegesenter" TargetMode="External"/><Relationship Id="rId984" Type="http://schemas.openxmlformats.org/officeDocument/2006/relationships/hyperlink" Target="https://tannskjema.no/groruddalen-tannlegesenter" TargetMode="External"/><Relationship Id="rId507" Type="http://schemas.openxmlformats.org/officeDocument/2006/relationships/hyperlink" Target="https://tannskjema.no" TargetMode="External"/><Relationship Id="rId749" Type="http://schemas.openxmlformats.org/officeDocument/2006/relationships/hyperlink" Target="https://tannskjema.no" TargetMode="External"/><Relationship Id="rId506" Type="http://schemas.openxmlformats.org/officeDocument/2006/relationships/hyperlink" Target="https://tannskjema.no/groruddalen-tannlegesenter" TargetMode="External"/><Relationship Id="rId748" Type="http://schemas.openxmlformats.org/officeDocument/2006/relationships/hyperlink" Target="https://tannskjema.no/groruddalen-tannlegesenter" TargetMode="External"/><Relationship Id="rId505" Type="http://schemas.openxmlformats.org/officeDocument/2006/relationships/hyperlink" Target="https://tannskjema.no" TargetMode="External"/><Relationship Id="rId747" Type="http://schemas.openxmlformats.org/officeDocument/2006/relationships/hyperlink" Target="https://tannskjema.no" TargetMode="External"/><Relationship Id="rId989" Type="http://schemas.openxmlformats.org/officeDocument/2006/relationships/hyperlink" Target="https://tannskjema.no" TargetMode="External"/><Relationship Id="rId504" Type="http://schemas.openxmlformats.org/officeDocument/2006/relationships/hyperlink" Target="https://tannskjema.no/groruddalen-tannlegesenter" TargetMode="External"/><Relationship Id="rId746" Type="http://schemas.openxmlformats.org/officeDocument/2006/relationships/hyperlink" Target="https://tannskjema.no/groruddalen-tannlegesenter" TargetMode="External"/><Relationship Id="rId988" Type="http://schemas.openxmlformats.org/officeDocument/2006/relationships/hyperlink" Target="https://tannskjema.no/groruddalen-tannlegesenter" TargetMode="External"/><Relationship Id="rId48" Type="http://schemas.openxmlformats.org/officeDocument/2006/relationships/hyperlink" Target="https://tannskjema.no/groruddalen-tannlegesenter" TargetMode="External"/><Relationship Id="rId47" Type="http://schemas.openxmlformats.org/officeDocument/2006/relationships/hyperlink" Target="https://tannskjema.no" TargetMode="External"/><Relationship Id="rId49" Type="http://schemas.openxmlformats.org/officeDocument/2006/relationships/hyperlink" Target="https://tannskjema.no" TargetMode="External"/><Relationship Id="rId741" Type="http://schemas.openxmlformats.org/officeDocument/2006/relationships/hyperlink" Target="https://tannskjema.no" TargetMode="External"/><Relationship Id="rId983" Type="http://schemas.openxmlformats.org/officeDocument/2006/relationships/hyperlink" Target="https://tannskjema.no" TargetMode="External"/><Relationship Id="rId740" Type="http://schemas.openxmlformats.org/officeDocument/2006/relationships/hyperlink" Target="https://tannskjema.no/groruddalen-tannlegesenter" TargetMode="External"/><Relationship Id="rId982" Type="http://schemas.openxmlformats.org/officeDocument/2006/relationships/hyperlink" Target="https://tannskjema.no/groruddalen-tannlegesenter" TargetMode="External"/><Relationship Id="rId981" Type="http://schemas.openxmlformats.org/officeDocument/2006/relationships/hyperlink" Target="https://tannskjema.no" TargetMode="External"/><Relationship Id="rId980" Type="http://schemas.openxmlformats.org/officeDocument/2006/relationships/hyperlink" Target="https://tannskjema.no/groruddalen-tannlegesenter" TargetMode="External"/><Relationship Id="rId31" Type="http://schemas.openxmlformats.org/officeDocument/2006/relationships/hyperlink" Target="https://tannskjema.no" TargetMode="External"/><Relationship Id="rId30" Type="http://schemas.openxmlformats.org/officeDocument/2006/relationships/hyperlink" Target="https://tannskjema.no/groruddalen-tannlegesenter" TargetMode="External"/><Relationship Id="rId33" Type="http://schemas.openxmlformats.org/officeDocument/2006/relationships/hyperlink" Target="https://tannskjema.no" TargetMode="External"/><Relationship Id="rId32" Type="http://schemas.openxmlformats.org/officeDocument/2006/relationships/hyperlink" Target="https://tannskjema.no/groruddalen-tannlegesenter" TargetMode="External"/><Relationship Id="rId35" Type="http://schemas.openxmlformats.org/officeDocument/2006/relationships/hyperlink" Target="https://tannskjema.no" TargetMode="External"/><Relationship Id="rId34" Type="http://schemas.openxmlformats.org/officeDocument/2006/relationships/hyperlink" Target="https://tannskjema.no/groruddalen-tannlegesenter" TargetMode="External"/><Relationship Id="rId739" Type="http://schemas.openxmlformats.org/officeDocument/2006/relationships/hyperlink" Target="https://tannskjema.no" TargetMode="External"/><Relationship Id="rId734" Type="http://schemas.openxmlformats.org/officeDocument/2006/relationships/hyperlink" Target="https://tannskjema.no/groruddalen-tannlegesenter" TargetMode="External"/><Relationship Id="rId976" Type="http://schemas.openxmlformats.org/officeDocument/2006/relationships/hyperlink" Target="https://tannskjema.no/groruddalen-tannlegesenter" TargetMode="External"/><Relationship Id="rId733" Type="http://schemas.openxmlformats.org/officeDocument/2006/relationships/hyperlink" Target="https://tannskjema.no" TargetMode="External"/><Relationship Id="rId975" Type="http://schemas.openxmlformats.org/officeDocument/2006/relationships/hyperlink" Target="https://tannskjema.no" TargetMode="External"/><Relationship Id="rId732" Type="http://schemas.openxmlformats.org/officeDocument/2006/relationships/hyperlink" Target="https://tannskjema.no/groruddalen-tannlegesenter" TargetMode="External"/><Relationship Id="rId974" Type="http://schemas.openxmlformats.org/officeDocument/2006/relationships/hyperlink" Target="https://tannskjema.no/groruddalen-tannlegesenter" TargetMode="External"/><Relationship Id="rId731" Type="http://schemas.openxmlformats.org/officeDocument/2006/relationships/hyperlink" Target="https://tannskjema.no" TargetMode="External"/><Relationship Id="rId973" Type="http://schemas.openxmlformats.org/officeDocument/2006/relationships/hyperlink" Target="https://tannskjema.no" TargetMode="External"/><Relationship Id="rId738" Type="http://schemas.openxmlformats.org/officeDocument/2006/relationships/hyperlink" Target="https://tannskjema.no/groruddalen-tannlegesenter" TargetMode="External"/><Relationship Id="rId737" Type="http://schemas.openxmlformats.org/officeDocument/2006/relationships/hyperlink" Target="https://tannskjema.no" TargetMode="External"/><Relationship Id="rId979" Type="http://schemas.openxmlformats.org/officeDocument/2006/relationships/hyperlink" Target="https://tannskjema.no" TargetMode="External"/><Relationship Id="rId736" Type="http://schemas.openxmlformats.org/officeDocument/2006/relationships/hyperlink" Target="https://tannskjema.no/groruddalen-tannlegesenter" TargetMode="External"/><Relationship Id="rId978" Type="http://schemas.openxmlformats.org/officeDocument/2006/relationships/hyperlink" Target="https://tannskjema.no/groruddalen-tannlegesenter" TargetMode="External"/><Relationship Id="rId735" Type="http://schemas.openxmlformats.org/officeDocument/2006/relationships/hyperlink" Target="https://tannskjema.no" TargetMode="External"/><Relationship Id="rId977" Type="http://schemas.openxmlformats.org/officeDocument/2006/relationships/hyperlink" Target="https://tannskjema.no" TargetMode="External"/><Relationship Id="rId37" Type="http://schemas.openxmlformats.org/officeDocument/2006/relationships/hyperlink" Target="https://tannskjema.no" TargetMode="External"/><Relationship Id="rId36" Type="http://schemas.openxmlformats.org/officeDocument/2006/relationships/hyperlink" Target="https://tannskjema.no/groruddalen-tannlegesenter" TargetMode="External"/><Relationship Id="rId39" Type="http://schemas.openxmlformats.org/officeDocument/2006/relationships/hyperlink" Target="https://tannskjema.no" TargetMode="External"/><Relationship Id="rId38" Type="http://schemas.openxmlformats.org/officeDocument/2006/relationships/hyperlink" Target="https://tannskjema.no/groruddalen-tannlegesenter" TargetMode="External"/><Relationship Id="rId730" Type="http://schemas.openxmlformats.org/officeDocument/2006/relationships/hyperlink" Target="https://tannskjema.no/groruddalen-tannlegesenter" TargetMode="External"/><Relationship Id="rId972" Type="http://schemas.openxmlformats.org/officeDocument/2006/relationships/hyperlink" Target="https://tannskjema.no/groruddalen-tannlegesenter" TargetMode="External"/><Relationship Id="rId971" Type="http://schemas.openxmlformats.org/officeDocument/2006/relationships/hyperlink" Target="https://tannskjema.no" TargetMode="External"/><Relationship Id="rId970" Type="http://schemas.openxmlformats.org/officeDocument/2006/relationships/hyperlink" Target="https://tannskjema.no/groruddalen-tannlegesenter" TargetMode="External"/><Relationship Id="rId1114" Type="http://schemas.openxmlformats.org/officeDocument/2006/relationships/hyperlink" Target="https://tannskjema.no/groruddalen-tannlegesenter" TargetMode="External"/><Relationship Id="rId1115" Type="http://schemas.openxmlformats.org/officeDocument/2006/relationships/hyperlink" Target="https://tannskjema.no" TargetMode="External"/><Relationship Id="rId20" Type="http://schemas.openxmlformats.org/officeDocument/2006/relationships/hyperlink" Target="https://tannskjema.no/groruddalen-tannlegesenter" TargetMode="External"/><Relationship Id="rId1116" Type="http://schemas.openxmlformats.org/officeDocument/2006/relationships/hyperlink" Target="https://tannskjema.no/groruddalen-tannlegesenter" TargetMode="External"/><Relationship Id="rId1117" Type="http://schemas.openxmlformats.org/officeDocument/2006/relationships/hyperlink" Target="https://tannskjema.no" TargetMode="External"/><Relationship Id="rId22" Type="http://schemas.openxmlformats.org/officeDocument/2006/relationships/hyperlink" Target="https://tannskjema.no/groruddalen-tannlegesenter" TargetMode="External"/><Relationship Id="rId1118" Type="http://schemas.openxmlformats.org/officeDocument/2006/relationships/hyperlink" Target="https://tannskjema.no/groruddalen-tannlegesenter" TargetMode="External"/><Relationship Id="rId21" Type="http://schemas.openxmlformats.org/officeDocument/2006/relationships/hyperlink" Target="https://tannskjema.no" TargetMode="External"/><Relationship Id="rId1119" Type="http://schemas.openxmlformats.org/officeDocument/2006/relationships/hyperlink" Target="https://tannskjema.no" TargetMode="External"/><Relationship Id="rId24" Type="http://schemas.openxmlformats.org/officeDocument/2006/relationships/hyperlink" Target="https://tannskjema.no/groruddalen-tannlegesenter" TargetMode="External"/><Relationship Id="rId23" Type="http://schemas.openxmlformats.org/officeDocument/2006/relationships/hyperlink" Target="https://tannskjema.no" TargetMode="External"/><Relationship Id="rId525" Type="http://schemas.openxmlformats.org/officeDocument/2006/relationships/hyperlink" Target="https://tannskjema.no" TargetMode="External"/><Relationship Id="rId767" Type="http://schemas.openxmlformats.org/officeDocument/2006/relationships/hyperlink" Target="https://tannskjema.no" TargetMode="External"/><Relationship Id="rId524" Type="http://schemas.openxmlformats.org/officeDocument/2006/relationships/hyperlink" Target="https://tannskjema.no/groruddalen-tannlegesenter" TargetMode="External"/><Relationship Id="rId766" Type="http://schemas.openxmlformats.org/officeDocument/2006/relationships/hyperlink" Target="https://tannskjema.no/groruddalen-tannlegesenter" TargetMode="External"/><Relationship Id="rId523" Type="http://schemas.openxmlformats.org/officeDocument/2006/relationships/hyperlink" Target="https://tannskjema.no" TargetMode="External"/><Relationship Id="rId765" Type="http://schemas.openxmlformats.org/officeDocument/2006/relationships/hyperlink" Target="https://tannskjema.no" TargetMode="External"/><Relationship Id="rId522" Type="http://schemas.openxmlformats.org/officeDocument/2006/relationships/hyperlink" Target="https://tannskjema.no/groruddalen-tannlegesenter" TargetMode="External"/><Relationship Id="rId764" Type="http://schemas.openxmlformats.org/officeDocument/2006/relationships/hyperlink" Target="https://tannskjema.no/groruddalen-tannlegesenter" TargetMode="External"/><Relationship Id="rId529" Type="http://schemas.openxmlformats.org/officeDocument/2006/relationships/hyperlink" Target="https://tannskjema.no" TargetMode="External"/><Relationship Id="rId528" Type="http://schemas.openxmlformats.org/officeDocument/2006/relationships/hyperlink" Target="https://tannskjema.no/groruddalen-tannlegesenter" TargetMode="External"/><Relationship Id="rId527" Type="http://schemas.openxmlformats.org/officeDocument/2006/relationships/hyperlink" Target="https://tannskjema.no" TargetMode="External"/><Relationship Id="rId769" Type="http://schemas.openxmlformats.org/officeDocument/2006/relationships/hyperlink" Target="https://tannskjema.no" TargetMode="External"/><Relationship Id="rId526" Type="http://schemas.openxmlformats.org/officeDocument/2006/relationships/hyperlink" Target="https://tannskjema.no/groruddalen-tannlegesenter" TargetMode="External"/><Relationship Id="rId768" Type="http://schemas.openxmlformats.org/officeDocument/2006/relationships/hyperlink" Target="https://tannskjema.no/groruddalen-tannlegesenter" TargetMode="External"/><Relationship Id="rId26" Type="http://schemas.openxmlformats.org/officeDocument/2006/relationships/hyperlink" Target="https://tannskjema.no/groruddalen-tannlegesenter" TargetMode="External"/><Relationship Id="rId25" Type="http://schemas.openxmlformats.org/officeDocument/2006/relationships/hyperlink" Target="https://tannskjema.no" TargetMode="External"/><Relationship Id="rId28" Type="http://schemas.openxmlformats.org/officeDocument/2006/relationships/hyperlink" Target="https://tannskjema.no/groruddalen-tannlegesenter" TargetMode="External"/><Relationship Id="rId27" Type="http://schemas.openxmlformats.org/officeDocument/2006/relationships/hyperlink" Target="https://tannskjema.no" TargetMode="External"/><Relationship Id="rId521" Type="http://schemas.openxmlformats.org/officeDocument/2006/relationships/hyperlink" Target="https://tannskjema.no" TargetMode="External"/><Relationship Id="rId763" Type="http://schemas.openxmlformats.org/officeDocument/2006/relationships/hyperlink" Target="https://tannskjema.no" TargetMode="External"/><Relationship Id="rId1110" Type="http://schemas.openxmlformats.org/officeDocument/2006/relationships/hyperlink" Target="https://tannskjema.no/groruddalen-tannlegesenter" TargetMode="External"/><Relationship Id="rId29" Type="http://schemas.openxmlformats.org/officeDocument/2006/relationships/hyperlink" Target="https://tannskjema.no" TargetMode="External"/><Relationship Id="rId520" Type="http://schemas.openxmlformats.org/officeDocument/2006/relationships/hyperlink" Target="https://tannskjema.no/groruddalen-tannlegesenter" TargetMode="External"/><Relationship Id="rId762" Type="http://schemas.openxmlformats.org/officeDocument/2006/relationships/hyperlink" Target="https://tannskjema.no/groruddalen-tannlegesenter" TargetMode="External"/><Relationship Id="rId1111" Type="http://schemas.openxmlformats.org/officeDocument/2006/relationships/hyperlink" Target="https://tannskjema.no" TargetMode="External"/><Relationship Id="rId761" Type="http://schemas.openxmlformats.org/officeDocument/2006/relationships/hyperlink" Target="https://tannskjema.no" TargetMode="External"/><Relationship Id="rId1112" Type="http://schemas.openxmlformats.org/officeDocument/2006/relationships/hyperlink" Target="https://tannskjema.no/groruddalen-tannlegesenter" TargetMode="External"/><Relationship Id="rId760" Type="http://schemas.openxmlformats.org/officeDocument/2006/relationships/hyperlink" Target="https://tannskjema.no/groruddalen-tannlegesenter" TargetMode="External"/><Relationship Id="rId1113" Type="http://schemas.openxmlformats.org/officeDocument/2006/relationships/hyperlink" Target="https://tannskjema.no" TargetMode="External"/><Relationship Id="rId1103" Type="http://schemas.openxmlformats.org/officeDocument/2006/relationships/hyperlink" Target="https://tannskjema.no" TargetMode="External"/><Relationship Id="rId1104" Type="http://schemas.openxmlformats.org/officeDocument/2006/relationships/hyperlink" Target="https://tannskjema.no/groruddalen-tannlegesenter" TargetMode="External"/><Relationship Id="rId1105" Type="http://schemas.openxmlformats.org/officeDocument/2006/relationships/hyperlink" Target="https://tannskjema.no" TargetMode="External"/><Relationship Id="rId1106" Type="http://schemas.openxmlformats.org/officeDocument/2006/relationships/hyperlink" Target="https://tannskjema.no/groruddalen-tannlegesenter" TargetMode="External"/><Relationship Id="rId11" Type="http://schemas.openxmlformats.org/officeDocument/2006/relationships/hyperlink" Target="https://tannskjema.no" TargetMode="External"/><Relationship Id="rId1107" Type="http://schemas.openxmlformats.org/officeDocument/2006/relationships/hyperlink" Target="https://tannskjema.no" TargetMode="External"/><Relationship Id="rId10" Type="http://schemas.openxmlformats.org/officeDocument/2006/relationships/hyperlink" Target="https://tannskjema.no/groruddalen-tannlegesenter" TargetMode="External"/><Relationship Id="rId1108" Type="http://schemas.openxmlformats.org/officeDocument/2006/relationships/hyperlink" Target="https://tannskjema.no/groruddalen-tannlegesenter" TargetMode="External"/><Relationship Id="rId13" Type="http://schemas.openxmlformats.org/officeDocument/2006/relationships/hyperlink" Target="https://tannskjema.no" TargetMode="External"/><Relationship Id="rId1109" Type="http://schemas.openxmlformats.org/officeDocument/2006/relationships/hyperlink" Target="https://tannskjema.no" TargetMode="External"/><Relationship Id="rId12" Type="http://schemas.openxmlformats.org/officeDocument/2006/relationships/hyperlink" Target="https://tannskjema.no/groruddalen-tannlegesenter" TargetMode="External"/><Relationship Id="rId519" Type="http://schemas.openxmlformats.org/officeDocument/2006/relationships/hyperlink" Target="https://tannskjema.no" TargetMode="External"/><Relationship Id="rId514" Type="http://schemas.openxmlformats.org/officeDocument/2006/relationships/hyperlink" Target="https://tannskjema.no/groruddalen-tannlegesenter" TargetMode="External"/><Relationship Id="rId756" Type="http://schemas.openxmlformats.org/officeDocument/2006/relationships/hyperlink" Target="https://tannskjema.no/groruddalen-tannlegesenter" TargetMode="External"/><Relationship Id="rId998" Type="http://schemas.openxmlformats.org/officeDocument/2006/relationships/hyperlink" Target="https://tannskjema.no/groruddalen-tannlegesenter" TargetMode="External"/><Relationship Id="rId513" Type="http://schemas.openxmlformats.org/officeDocument/2006/relationships/hyperlink" Target="https://tannskjema.no" TargetMode="External"/><Relationship Id="rId755" Type="http://schemas.openxmlformats.org/officeDocument/2006/relationships/hyperlink" Target="https://tannskjema.no" TargetMode="External"/><Relationship Id="rId997" Type="http://schemas.openxmlformats.org/officeDocument/2006/relationships/hyperlink" Target="https://tannskjema.no" TargetMode="External"/><Relationship Id="rId512" Type="http://schemas.openxmlformats.org/officeDocument/2006/relationships/hyperlink" Target="https://tannskjema.no/groruddalen-tannlegesenter" TargetMode="External"/><Relationship Id="rId754" Type="http://schemas.openxmlformats.org/officeDocument/2006/relationships/hyperlink" Target="https://tannskjema.no/groruddalen-tannlegesenter" TargetMode="External"/><Relationship Id="rId996" Type="http://schemas.openxmlformats.org/officeDocument/2006/relationships/hyperlink" Target="https://tannskjema.no/groruddalen-tannlegesenter" TargetMode="External"/><Relationship Id="rId511" Type="http://schemas.openxmlformats.org/officeDocument/2006/relationships/hyperlink" Target="https://tannskjema.no" TargetMode="External"/><Relationship Id="rId753" Type="http://schemas.openxmlformats.org/officeDocument/2006/relationships/hyperlink" Target="https://tannskjema.no" TargetMode="External"/><Relationship Id="rId995" Type="http://schemas.openxmlformats.org/officeDocument/2006/relationships/hyperlink" Target="https://tannskjema.no" TargetMode="External"/><Relationship Id="rId518" Type="http://schemas.openxmlformats.org/officeDocument/2006/relationships/hyperlink" Target="https://tannskjema.no/groruddalen-tannlegesenter" TargetMode="External"/><Relationship Id="rId517" Type="http://schemas.openxmlformats.org/officeDocument/2006/relationships/hyperlink" Target="https://tannskjema.no" TargetMode="External"/><Relationship Id="rId759" Type="http://schemas.openxmlformats.org/officeDocument/2006/relationships/hyperlink" Target="https://tannskjema.no" TargetMode="External"/><Relationship Id="rId516" Type="http://schemas.openxmlformats.org/officeDocument/2006/relationships/hyperlink" Target="https://tannskjema.no/groruddalen-tannlegesenter" TargetMode="External"/><Relationship Id="rId758" Type="http://schemas.openxmlformats.org/officeDocument/2006/relationships/hyperlink" Target="https://tannskjema.no/groruddalen-tannlegesenter" TargetMode="External"/><Relationship Id="rId515" Type="http://schemas.openxmlformats.org/officeDocument/2006/relationships/hyperlink" Target="https://tannskjema.no" TargetMode="External"/><Relationship Id="rId757" Type="http://schemas.openxmlformats.org/officeDocument/2006/relationships/hyperlink" Target="https://tannskjema.no" TargetMode="External"/><Relationship Id="rId999" Type="http://schemas.openxmlformats.org/officeDocument/2006/relationships/hyperlink" Target="https://tannskjema.no" TargetMode="External"/><Relationship Id="rId15" Type="http://schemas.openxmlformats.org/officeDocument/2006/relationships/hyperlink" Target="https://tannskjema.no" TargetMode="External"/><Relationship Id="rId990" Type="http://schemas.openxmlformats.org/officeDocument/2006/relationships/hyperlink" Target="https://tannskjema.no/groruddalen-tannlegesenter" TargetMode="External"/><Relationship Id="rId14" Type="http://schemas.openxmlformats.org/officeDocument/2006/relationships/hyperlink" Target="https://tannskjema.no/groruddalen-tannlegesenter" TargetMode="External"/><Relationship Id="rId17" Type="http://schemas.openxmlformats.org/officeDocument/2006/relationships/hyperlink" Target="https://tannskjema.no" TargetMode="External"/><Relationship Id="rId16" Type="http://schemas.openxmlformats.org/officeDocument/2006/relationships/hyperlink" Target="https://tannskjema.no/groruddalen-tannlegesenter" TargetMode="External"/><Relationship Id="rId19" Type="http://schemas.openxmlformats.org/officeDocument/2006/relationships/hyperlink" Target="https://tannskjema.no" TargetMode="External"/><Relationship Id="rId510" Type="http://schemas.openxmlformats.org/officeDocument/2006/relationships/hyperlink" Target="https://tannskjema.no/groruddalen-tannlegesenter" TargetMode="External"/><Relationship Id="rId752" Type="http://schemas.openxmlformats.org/officeDocument/2006/relationships/hyperlink" Target="https://tannskjema.no/groruddalen-tannlegesenter" TargetMode="External"/><Relationship Id="rId994" Type="http://schemas.openxmlformats.org/officeDocument/2006/relationships/hyperlink" Target="https://tannskjema.no/groruddalen-tannlegesenter" TargetMode="External"/><Relationship Id="rId18" Type="http://schemas.openxmlformats.org/officeDocument/2006/relationships/hyperlink" Target="https://tannskjema.no/groruddalen-tannlegesenter" TargetMode="External"/><Relationship Id="rId751" Type="http://schemas.openxmlformats.org/officeDocument/2006/relationships/hyperlink" Target="https://tannskjema.no" TargetMode="External"/><Relationship Id="rId993" Type="http://schemas.openxmlformats.org/officeDocument/2006/relationships/hyperlink" Target="https://tannskjema.no" TargetMode="External"/><Relationship Id="rId1100" Type="http://schemas.openxmlformats.org/officeDocument/2006/relationships/hyperlink" Target="https://tannskjema.no/groruddalen-tannlegesenter" TargetMode="External"/><Relationship Id="rId750" Type="http://schemas.openxmlformats.org/officeDocument/2006/relationships/hyperlink" Target="https://tannskjema.no/groruddalen-tannlegesenter" TargetMode="External"/><Relationship Id="rId992" Type="http://schemas.openxmlformats.org/officeDocument/2006/relationships/hyperlink" Target="https://tannskjema.no/groruddalen-tannlegesenter" TargetMode="External"/><Relationship Id="rId1101" Type="http://schemas.openxmlformats.org/officeDocument/2006/relationships/hyperlink" Target="https://tannskjema.no" TargetMode="External"/><Relationship Id="rId991" Type="http://schemas.openxmlformats.org/officeDocument/2006/relationships/hyperlink" Target="https://tannskjema.no" TargetMode="External"/><Relationship Id="rId1102" Type="http://schemas.openxmlformats.org/officeDocument/2006/relationships/hyperlink" Target="https://tannskjema.no/groruddalen-tannlegesenter" TargetMode="External"/><Relationship Id="rId84" Type="http://schemas.openxmlformats.org/officeDocument/2006/relationships/hyperlink" Target="https://tannskjema.no/groruddalen-tannlegesenter" TargetMode="External"/><Relationship Id="rId83" Type="http://schemas.openxmlformats.org/officeDocument/2006/relationships/hyperlink" Target="https://tannskjema.no" TargetMode="External"/><Relationship Id="rId86" Type="http://schemas.openxmlformats.org/officeDocument/2006/relationships/hyperlink" Target="https://tannskjema.no/groruddalen-tannlegesenter" TargetMode="External"/><Relationship Id="rId85" Type="http://schemas.openxmlformats.org/officeDocument/2006/relationships/hyperlink" Target="https://tannskjema.no" TargetMode="External"/><Relationship Id="rId88" Type="http://schemas.openxmlformats.org/officeDocument/2006/relationships/hyperlink" Target="https://tannskjema.no/groruddalen-tannlegesenter" TargetMode="External"/><Relationship Id="rId87" Type="http://schemas.openxmlformats.org/officeDocument/2006/relationships/hyperlink" Target="https://tannskjema.no" TargetMode="External"/><Relationship Id="rId89" Type="http://schemas.openxmlformats.org/officeDocument/2006/relationships/hyperlink" Target="https://tannskjema.no" TargetMode="External"/><Relationship Id="rId709" Type="http://schemas.openxmlformats.org/officeDocument/2006/relationships/hyperlink" Target="https://tannskjema.no" TargetMode="External"/><Relationship Id="rId708" Type="http://schemas.openxmlformats.org/officeDocument/2006/relationships/hyperlink" Target="https://tannskjema.no/groruddalen-tannlegesenter" TargetMode="External"/><Relationship Id="rId707" Type="http://schemas.openxmlformats.org/officeDocument/2006/relationships/hyperlink" Target="https://tannskjema.no" TargetMode="External"/><Relationship Id="rId949" Type="http://schemas.openxmlformats.org/officeDocument/2006/relationships/hyperlink" Target="https://tannskjema.no" TargetMode="External"/><Relationship Id="rId706" Type="http://schemas.openxmlformats.org/officeDocument/2006/relationships/hyperlink" Target="https://tannskjema.no/groruddalen-tannlegesenter" TargetMode="External"/><Relationship Id="rId948" Type="http://schemas.openxmlformats.org/officeDocument/2006/relationships/hyperlink" Target="https://tannskjema.no/groruddalen-tannlegesenter" TargetMode="External"/><Relationship Id="rId80" Type="http://schemas.openxmlformats.org/officeDocument/2006/relationships/hyperlink" Target="https://tannskjema.no/groruddalen-tannlegesenter" TargetMode="External"/><Relationship Id="rId82" Type="http://schemas.openxmlformats.org/officeDocument/2006/relationships/hyperlink" Target="https://tannskjema.no/groruddalen-tannlegesenter" TargetMode="External"/><Relationship Id="rId81" Type="http://schemas.openxmlformats.org/officeDocument/2006/relationships/hyperlink" Target="https://tannskjema.no" TargetMode="External"/><Relationship Id="rId701" Type="http://schemas.openxmlformats.org/officeDocument/2006/relationships/hyperlink" Target="https://tannskjema.no" TargetMode="External"/><Relationship Id="rId943" Type="http://schemas.openxmlformats.org/officeDocument/2006/relationships/hyperlink" Target="https://tannskjema.no" TargetMode="External"/><Relationship Id="rId700" Type="http://schemas.openxmlformats.org/officeDocument/2006/relationships/hyperlink" Target="https://tannskjema.no/groruddalen-tannlegesenter" TargetMode="External"/><Relationship Id="rId942" Type="http://schemas.openxmlformats.org/officeDocument/2006/relationships/hyperlink" Target="https://tannskjema.no/groruddalen-tannlegesenter" TargetMode="External"/><Relationship Id="rId941" Type="http://schemas.openxmlformats.org/officeDocument/2006/relationships/hyperlink" Target="https://tannskjema.no" TargetMode="External"/><Relationship Id="rId940" Type="http://schemas.openxmlformats.org/officeDocument/2006/relationships/hyperlink" Target="https://tannskjema.no/groruddalen-tannlegesenter" TargetMode="External"/><Relationship Id="rId705" Type="http://schemas.openxmlformats.org/officeDocument/2006/relationships/hyperlink" Target="https://tannskjema.no" TargetMode="External"/><Relationship Id="rId947" Type="http://schemas.openxmlformats.org/officeDocument/2006/relationships/hyperlink" Target="https://tannskjema.no" TargetMode="External"/><Relationship Id="rId704" Type="http://schemas.openxmlformats.org/officeDocument/2006/relationships/hyperlink" Target="https://tannskjema.no/groruddalen-tannlegesenter" TargetMode="External"/><Relationship Id="rId946" Type="http://schemas.openxmlformats.org/officeDocument/2006/relationships/hyperlink" Target="https://tannskjema.no/groruddalen-tannlegesenter" TargetMode="External"/><Relationship Id="rId703" Type="http://schemas.openxmlformats.org/officeDocument/2006/relationships/hyperlink" Target="https://tannskjema.no" TargetMode="External"/><Relationship Id="rId945" Type="http://schemas.openxmlformats.org/officeDocument/2006/relationships/hyperlink" Target="https://tannskjema.no" TargetMode="External"/><Relationship Id="rId702" Type="http://schemas.openxmlformats.org/officeDocument/2006/relationships/hyperlink" Target="https://tannskjema.no/groruddalen-tannlegesenter" TargetMode="External"/><Relationship Id="rId944" Type="http://schemas.openxmlformats.org/officeDocument/2006/relationships/hyperlink" Target="https://tannskjema.no/groruddalen-tannlegesenter" TargetMode="External"/><Relationship Id="rId73" Type="http://schemas.openxmlformats.org/officeDocument/2006/relationships/hyperlink" Target="https://tannskjema.no" TargetMode="External"/><Relationship Id="rId72" Type="http://schemas.openxmlformats.org/officeDocument/2006/relationships/hyperlink" Target="https://tannskjema.no/groruddalen-tannlegesenter" TargetMode="External"/><Relationship Id="rId75" Type="http://schemas.openxmlformats.org/officeDocument/2006/relationships/hyperlink" Target="https://tannskjema.no" TargetMode="External"/><Relationship Id="rId74" Type="http://schemas.openxmlformats.org/officeDocument/2006/relationships/hyperlink" Target="https://tannskjema.no/groruddalen-tannlegesenter" TargetMode="External"/><Relationship Id="rId77" Type="http://schemas.openxmlformats.org/officeDocument/2006/relationships/hyperlink" Target="https://tannskjema.no" TargetMode="External"/><Relationship Id="rId76" Type="http://schemas.openxmlformats.org/officeDocument/2006/relationships/hyperlink" Target="https://tannskjema.no/groruddalen-tannlegesenter" TargetMode="External"/><Relationship Id="rId79" Type="http://schemas.openxmlformats.org/officeDocument/2006/relationships/hyperlink" Target="https://tannskjema.no" TargetMode="External"/><Relationship Id="rId78" Type="http://schemas.openxmlformats.org/officeDocument/2006/relationships/hyperlink" Target="https://tannskjema.no/groruddalen-tannlegesenter" TargetMode="External"/><Relationship Id="rId939" Type="http://schemas.openxmlformats.org/officeDocument/2006/relationships/hyperlink" Target="https://tannskjema.no" TargetMode="External"/><Relationship Id="rId938" Type="http://schemas.openxmlformats.org/officeDocument/2006/relationships/hyperlink" Target="https://tannskjema.no/groruddalen-tannlegesenter" TargetMode="External"/><Relationship Id="rId937" Type="http://schemas.openxmlformats.org/officeDocument/2006/relationships/hyperlink" Target="https://tannskjema.no" TargetMode="External"/><Relationship Id="rId71" Type="http://schemas.openxmlformats.org/officeDocument/2006/relationships/hyperlink" Target="https://tannskjema.no" TargetMode="External"/><Relationship Id="rId70" Type="http://schemas.openxmlformats.org/officeDocument/2006/relationships/hyperlink" Target="https://tannskjema.no/groruddalen-tannlegesenter" TargetMode="External"/><Relationship Id="rId932" Type="http://schemas.openxmlformats.org/officeDocument/2006/relationships/hyperlink" Target="https://tannskjema.no/groruddalen-tannlegesenter" TargetMode="External"/><Relationship Id="rId931" Type="http://schemas.openxmlformats.org/officeDocument/2006/relationships/hyperlink" Target="https://tannskjema.no" TargetMode="External"/><Relationship Id="rId930" Type="http://schemas.openxmlformats.org/officeDocument/2006/relationships/hyperlink" Target="https://tannskjema.no/groruddalen-tannlegesenter" TargetMode="External"/><Relationship Id="rId936" Type="http://schemas.openxmlformats.org/officeDocument/2006/relationships/hyperlink" Target="https://tannskjema.no/groruddalen-tannlegesenter" TargetMode="External"/><Relationship Id="rId935" Type="http://schemas.openxmlformats.org/officeDocument/2006/relationships/hyperlink" Target="https://tannskjema.no" TargetMode="External"/><Relationship Id="rId934" Type="http://schemas.openxmlformats.org/officeDocument/2006/relationships/hyperlink" Target="https://tannskjema.no/groruddalen-tannlegesenter" TargetMode="External"/><Relationship Id="rId933" Type="http://schemas.openxmlformats.org/officeDocument/2006/relationships/hyperlink" Target="https://tannskjema.no" TargetMode="External"/><Relationship Id="rId62" Type="http://schemas.openxmlformats.org/officeDocument/2006/relationships/hyperlink" Target="https://tannskjema.no/groruddalen-tannlegesenter" TargetMode="External"/><Relationship Id="rId61" Type="http://schemas.openxmlformats.org/officeDocument/2006/relationships/hyperlink" Target="https://tannskjema.no" TargetMode="External"/><Relationship Id="rId64" Type="http://schemas.openxmlformats.org/officeDocument/2006/relationships/hyperlink" Target="https://tannskjema.no/groruddalen-tannlegesenter" TargetMode="External"/><Relationship Id="rId63" Type="http://schemas.openxmlformats.org/officeDocument/2006/relationships/hyperlink" Target="https://tannskjema.no" TargetMode="External"/><Relationship Id="rId66" Type="http://schemas.openxmlformats.org/officeDocument/2006/relationships/hyperlink" Target="https://tannskjema.no/groruddalen-tannlegesenter" TargetMode="External"/><Relationship Id="rId65" Type="http://schemas.openxmlformats.org/officeDocument/2006/relationships/hyperlink" Target="https://tannskjema.no" TargetMode="External"/><Relationship Id="rId68" Type="http://schemas.openxmlformats.org/officeDocument/2006/relationships/hyperlink" Target="https://tannskjema.no/groruddalen-tannlegesenter" TargetMode="External"/><Relationship Id="rId67" Type="http://schemas.openxmlformats.org/officeDocument/2006/relationships/hyperlink" Target="https://tannskjema.no" TargetMode="External"/><Relationship Id="rId729" Type="http://schemas.openxmlformats.org/officeDocument/2006/relationships/hyperlink" Target="https://tannskjema.no" TargetMode="External"/><Relationship Id="rId728" Type="http://schemas.openxmlformats.org/officeDocument/2006/relationships/hyperlink" Target="https://tannskjema.no/groruddalen-tannlegesenter" TargetMode="External"/><Relationship Id="rId60" Type="http://schemas.openxmlformats.org/officeDocument/2006/relationships/hyperlink" Target="https://tannskjema.no/groruddalen-tannlegesenter" TargetMode="External"/><Relationship Id="rId723" Type="http://schemas.openxmlformats.org/officeDocument/2006/relationships/hyperlink" Target="https://tannskjema.no" TargetMode="External"/><Relationship Id="rId965" Type="http://schemas.openxmlformats.org/officeDocument/2006/relationships/hyperlink" Target="https://tannskjema.no" TargetMode="External"/><Relationship Id="rId722" Type="http://schemas.openxmlformats.org/officeDocument/2006/relationships/hyperlink" Target="https://tannskjema.no/groruddalen-tannlegesenter" TargetMode="External"/><Relationship Id="rId964" Type="http://schemas.openxmlformats.org/officeDocument/2006/relationships/hyperlink" Target="https://tannskjema.no/groruddalen-tannlegesenter" TargetMode="External"/><Relationship Id="rId721" Type="http://schemas.openxmlformats.org/officeDocument/2006/relationships/hyperlink" Target="https://tannskjema.no" TargetMode="External"/><Relationship Id="rId963" Type="http://schemas.openxmlformats.org/officeDocument/2006/relationships/hyperlink" Target="https://tannskjema.no" TargetMode="External"/><Relationship Id="rId720" Type="http://schemas.openxmlformats.org/officeDocument/2006/relationships/hyperlink" Target="https://tannskjema.no/groruddalen-tannlegesenter" TargetMode="External"/><Relationship Id="rId962" Type="http://schemas.openxmlformats.org/officeDocument/2006/relationships/hyperlink" Target="https://tannskjema.no/groruddalen-tannlegesenter" TargetMode="External"/><Relationship Id="rId727" Type="http://schemas.openxmlformats.org/officeDocument/2006/relationships/hyperlink" Target="https://tannskjema.no" TargetMode="External"/><Relationship Id="rId969" Type="http://schemas.openxmlformats.org/officeDocument/2006/relationships/hyperlink" Target="https://tannskjema.no" TargetMode="External"/><Relationship Id="rId726" Type="http://schemas.openxmlformats.org/officeDocument/2006/relationships/hyperlink" Target="https://tannskjema.no/groruddalen-tannlegesenter" TargetMode="External"/><Relationship Id="rId968" Type="http://schemas.openxmlformats.org/officeDocument/2006/relationships/hyperlink" Target="https://tannskjema.no/groruddalen-tannlegesenter" TargetMode="External"/><Relationship Id="rId725" Type="http://schemas.openxmlformats.org/officeDocument/2006/relationships/hyperlink" Target="https://tannskjema.no" TargetMode="External"/><Relationship Id="rId967" Type="http://schemas.openxmlformats.org/officeDocument/2006/relationships/hyperlink" Target="https://tannskjema.no" TargetMode="External"/><Relationship Id="rId724" Type="http://schemas.openxmlformats.org/officeDocument/2006/relationships/hyperlink" Target="https://tannskjema.no/groruddalen-tannlegesenter" TargetMode="External"/><Relationship Id="rId966" Type="http://schemas.openxmlformats.org/officeDocument/2006/relationships/hyperlink" Target="https://tannskjema.no/groruddalen-tannlegesenter" TargetMode="External"/><Relationship Id="rId69" Type="http://schemas.openxmlformats.org/officeDocument/2006/relationships/hyperlink" Target="https://tannskjema.no" TargetMode="External"/><Relationship Id="rId961" Type="http://schemas.openxmlformats.org/officeDocument/2006/relationships/hyperlink" Target="https://tannskjema.no" TargetMode="External"/><Relationship Id="rId960" Type="http://schemas.openxmlformats.org/officeDocument/2006/relationships/hyperlink" Target="https://tannskjema.no/groruddalen-tannlegesenter" TargetMode="External"/><Relationship Id="rId51" Type="http://schemas.openxmlformats.org/officeDocument/2006/relationships/hyperlink" Target="https://tannskjema.no" TargetMode="External"/><Relationship Id="rId50" Type="http://schemas.openxmlformats.org/officeDocument/2006/relationships/hyperlink" Target="https://tannskjema.no/groruddalen-tannlegesenter" TargetMode="External"/><Relationship Id="rId53" Type="http://schemas.openxmlformats.org/officeDocument/2006/relationships/hyperlink" Target="https://tannskjema.no" TargetMode="External"/><Relationship Id="rId52" Type="http://schemas.openxmlformats.org/officeDocument/2006/relationships/hyperlink" Target="https://tannskjema.no/groruddalen-tannlegesenter" TargetMode="External"/><Relationship Id="rId55" Type="http://schemas.openxmlformats.org/officeDocument/2006/relationships/hyperlink" Target="https://tannskjema.no" TargetMode="External"/><Relationship Id="rId54" Type="http://schemas.openxmlformats.org/officeDocument/2006/relationships/hyperlink" Target="https://tannskjema.no/groruddalen-tannlegesenter" TargetMode="External"/><Relationship Id="rId57" Type="http://schemas.openxmlformats.org/officeDocument/2006/relationships/hyperlink" Target="https://tannskjema.no" TargetMode="External"/><Relationship Id="rId56" Type="http://schemas.openxmlformats.org/officeDocument/2006/relationships/hyperlink" Target="https://tannskjema.no/groruddalen-tannlegesenter" TargetMode="External"/><Relationship Id="rId719" Type="http://schemas.openxmlformats.org/officeDocument/2006/relationships/hyperlink" Target="https://tannskjema.no" TargetMode="External"/><Relationship Id="rId718" Type="http://schemas.openxmlformats.org/officeDocument/2006/relationships/hyperlink" Target="https://tannskjema.no/groruddalen-tannlegesenter" TargetMode="External"/><Relationship Id="rId717" Type="http://schemas.openxmlformats.org/officeDocument/2006/relationships/hyperlink" Target="https://tannskjema.no" TargetMode="External"/><Relationship Id="rId959" Type="http://schemas.openxmlformats.org/officeDocument/2006/relationships/hyperlink" Target="https://tannskjema.no" TargetMode="External"/><Relationship Id="rId712" Type="http://schemas.openxmlformats.org/officeDocument/2006/relationships/hyperlink" Target="https://tannskjema.no/groruddalen-tannlegesenter" TargetMode="External"/><Relationship Id="rId954" Type="http://schemas.openxmlformats.org/officeDocument/2006/relationships/hyperlink" Target="https://tannskjema.no/groruddalen-tannlegesenter" TargetMode="External"/><Relationship Id="rId711" Type="http://schemas.openxmlformats.org/officeDocument/2006/relationships/hyperlink" Target="https://tannskjema.no" TargetMode="External"/><Relationship Id="rId953" Type="http://schemas.openxmlformats.org/officeDocument/2006/relationships/hyperlink" Target="https://tannskjema.no" TargetMode="External"/><Relationship Id="rId710" Type="http://schemas.openxmlformats.org/officeDocument/2006/relationships/hyperlink" Target="https://tannskjema.no/groruddalen-tannlegesenter" TargetMode="External"/><Relationship Id="rId952" Type="http://schemas.openxmlformats.org/officeDocument/2006/relationships/hyperlink" Target="https://tannskjema.no/groruddalen-tannlegesenter" TargetMode="External"/><Relationship Id="rId951" Type="http://schemas.openxmlformats.org/officeDocument/2006/relationships/hyperlink" Target="https://tannskjema.no" TargetMode="External"/><Relationship Id="rId716" Type="http://schemas.openxmlformats.org/officeDocument/2006/relationships/hyperlink" Target="https://tannskjema.no/groruddalen-tannlegesenter" TargetMode="External"/><Relationship Id="rId958" Type="http://schemas.openxmlformats.org/officeDocument/2006/relationships/hyperlink" Target="https://tannskjema.no/groruddalen-tannlegesenter" TargetMode="External"/><Relationship Id="rId715" Type="http://schemas.openxmlformats.org/officeDocument/2006/relationships/hyperlink" Target="https://tannskjema.no" TargetMode="External"/><Relationship Id="rId957" Type="http://schemas.openxmlformats.org/officeDocument/2006/relationships/hyperlink" Target="https://tannskjema.no" TargetMode="External"/><Relationship Id="rId714" Type="http://schemas.openxmlformats.org/officeDocument/2006/relationships/hyperlink" Target="https://tannskjema.no/groruddalen-tannlegesenter" TargetMode="External"/><Relationship Id="rId956" Type="http://schemas.openxmlformats.org/officeDocument/2006/relationships/hyperlink" Target="https://tannskjema.no/groruddalen-tannlegesenter" TargetMode="External"/><Relationship Id="rId713" Type="http://schemas.openxmlformats.org/officeDocument/2006/relationships/hyperlink" Target="https://tannskjema.no" TargetMode="External"/><Relationship Id="rId955" Type="http://schemas.openxmlformats.org/officeDocument/2006/relationships/hyperlink" Target="https://tannskjema.no" TargetMode="External"/><Relationship Id="rId59" Type="http://schemas.openxmlformats.org/officeDocument/2006/relationships/hyperlink" Target="https://tannskjema.no" TargetMode="External"/><Relationship Id="rId58" Type="http://schemas.openxmlformats.org/officeDocument/2006/relationships/hyperlink" Target="https://tannskjema.no/groruddalen-tannlegesenter" TargetMode="External"/><Relationship Id="rId950" Type="http://schemas.openxmlformats.org/officeDocument/2006/relationships/hyperlink" Target="https://tannskjema.no/groruddalen-tannlegesenter" TargetMode="External"/><Relationship Id="rId590" Type="http://schemas.openxmlformats.org/officeDocument/2006/relationships/hyperlink" Target="https://tannskjema.no/groruddalen-tannlegesenter" TargetMode="External"/><Relationship Id="rId107" Type="http://schemas.openxmlformats.org/officeDocument/2006/relationships/hyperlink" Target="https://tannskjema.no" TargetMode="External"/><Relationship Id="rId349" Type="http://schemas.openxmlformats.org/officeDocument/2006/relationships/hyperlink" Target="https://tannskjema.no" TargetMode="External"/><Relationship Id="rId106" Type="http://schemas.openxmlformats.org/officeDocument/2006/relationships/hyperlink" Target="https://tannskjema.no/groruddalen-tannlegesenter" TargetMode="External"/><Relationship Id="rId348" Type="http://schemas.openxmlformats.org/officeDocument/2006/relationships/hyperlink" Target="https://tannskjema.no/groruddalen-tannlegesenter" TargetMode="External"/><Relationship Id="rId105" Type="http://schemas.openxmlformats.org/officeDocument/2006/relationships/hyperlink" Target="https://tannskjema.no" TargetMode="External"/><Relationship Id="rId347" Type="http://schemas.openxmlformats.org/officeDocument/2006/relationships/hyperlink" Target="https://tannskjema.no" TargetMode="External"/><Relationship Id="rId589" Type="http://schemas.openxmlformats.org/officeDocument/2006/relationships/hyperlink" Target="https://tannskjema.no" TargetMode="External"/><Relationship Id="rId104" Type="http://schemas.openxmlformats.org/officeDocument/2006/relationships/hyperlink" Target="https://tannskjema.no/groruddalen-tannlegesenter" TargetMode="External"/><Relationship Id="rId346" Type="http://schemas.openxmlformats.org/officeDocument/2006/relationships/hyperlink" Target="https://tannskjema.no/groruddalen-tannlegesenter" TargetMode="External"/><Relationship Id="rId588" Type="http://schemas.openxmlformats.org/officeDocument/2006/relationships/hyperlink" Target="https://tannskjema.no/groruddalen-tannlegesenter" TargetMode="External"/><Relationship Id="rId109" Type="http://schemas.openxmlformats.org/officeDocument/2006/relationships/hyperlink" Target="https://tannskjema.no" TargetMode="External"/><Relationship Id="rId108" Type="http://schemas.openxmlformats.org/officeDocument/2006/relationships/hyperlink" Target="https://tannskjema.no/groruddalen-tannlegesenter" TargetMode="External"/><Relationship Id="rId341" Type="http://schemas.openxmlformats.org/officeDocument/2006/relationships/hyperlink" Target="https://tannskjema.no" TargetMode="External"/><Relationship Id="rId583" Type="http://schemas.openxmlformats.org/officeDocument/2006/relationships/hyperlink" Target="https://tannskjema.no" TargetMode="External"/><Relationship Id="rId340" Type="http://schemas.openxmlformats.org/officeDocument/2006/relationships/hyperlink" Target="https://tannskjema.no/groruddalen-tannlegesenter" TargetMode="External"/><Relationship Id="rId582" Type="http://schemas.openxmlformats.org/officeDocument/2006/relationships/hyperlink" Target="https://tannskjema.no/groruddalen-tannlegesenter" TargetMode="External"/><Relationship Id="rId581" Type="http://schemas.openxmlformats.org/officeDocument/2006/relationships/hyperlink" Target="https://tannskjema.no" TargetMode="External"/><Relationship Id="rId580" Type="http://schemas.openxmlformats.org/officeDocument/2006/relationships/hyperlink" Target="https://tannskjema.no/groruddalen-tannlegesenter" TargetMode="External"/><Relationship Id="rId103" Type="http://schemas.openxmlformats.org/officeDocument/2006/relationships/hyperlink" Target="https://tannskjema.no" TargetMode="External"/><Relationship Id="rId345" Type="http://schemas.openxmlformats.org/officeDocument/2006/relationships/hyperlink" Target="https://tannskjema.no" TargetMode="External"/><Relationship Id="rId587" Type="http://schemas.openxmlformats.org/officeDocument/2006/relationships/hyperlink" Target="https://tannskjema.no" TargetMode="External"/><Relationship Id="rId102" Type="http://schemas.openxmlformats.org/officeDocument/2006/relationships/hyperlink" Target="https://tannskjema.no/groruddalen-tannlegesenter" TargetMode="External"/><Relationship Id="rId344" Type="http://schemas.openxmlformats.org/officeDocument/2006/relationships/hyperlink" Target="https://tannskjema.no/groruddalen-tannlegesenter" TargetMode="External"/><Relationship Id="rId586" Type="http://schemas.openxmlformats.org/officeDocument/2006/relationships/hyperlink" Target="https://tannskjema.no/groruddalen-tannlegesenter" TargetMode="External"/><Relationship Id="rId101" Type="http://schemas.openxmlformats.org/officeDocument/2006/relationships/hyperlink" Target="https://tannskjema.no" TargetMode="External"/><Relationship Id="rId343" Type="http://schemas.openxmlformats.org/officeDocument/2006/relationships/hyperlink" Target="https://tannskjema.no" TargetMode="External"/><Relationship Id="rId585" Type="http://schemas.openxmlformats.org/officeDocument/2006/relationships/hyperlink" Target="https://tannskjema.no" TargetMode="External"/><Relationship Id="rId100" Type="http://schemas.openxmlformats.org/officeDocument/2006/relationships/hyperlink" Target="https://tannskjema.no/groruddalen-tannlegesenter" TargetMode="External"/><Relationship Id="rId342" Type="http://schemas.openxmlformats.org/officeDocument/2006/relationships/hyperlink" Target="https://tannskjema.no/groruddalen-tannlegesenter" TargetMode="External"/><Relationship Id="rId584" Type="http://schemas.openxmlformats.org/officeDocument/2006/relationships/hyperlink" Target="https://tannskjema.no/groruddalen-tannlegesenter" TargetMode="External"/><Relationship Id="rId338" Type="http://schemas.openxmlformats.org/officeDocument/2006/relationships/hyperlink" Target="https://tannskjema.no/groruddalen-tannlegesenter" TargetMode="External"/><Relationship Id="rId337" Type="http://schemas.openxmlformats.org/officeDocument/2006/relationships/hyperlink" Target="https://tannskjema.no" TargetMode="External"/><Relationship Id="rId579" Type="http://schemas.openxmlformats.org/officeDocument/2006/relationships/hyperlink" Target="https://tannskjema.no" TargetMode="External"/><Relationship Id="rId336" Type="http://schemas.openxmlformats.org/officeDocument/2006/relationships/hyperlink" Target="https://tannskjema.no/groruddalen-tannlegesenter" TargetMode="External"/><Relationship Id="rId578" Type="http://schemas.openxmlformats.org/officeDocument/2006/relationships/hyperlink" Target="https://tannskjema.no/groruddalen-tannlegesenter" TargetMode="External"/><Relationship Id="rId335" Type="http://schemas.openxmlformats.org/officeDocument/2006/relationships/hyperlink" Target="https://tannskjema.no" TargetMode="External"/><Relationship Id="rId577" Type="http://schemas.openxmlformats.org/officeDocument/2006/relationships/hyperlink" Target="https://tannskjema.no" TargetMode="External"/><Relationship Id="rId339" Type="http://schemas.openxmlformats.org/officeDocument/2006/relationships/hyperlink" Target="https://tannskjema.no" TargetMode="External"/><Relationship Id="rId330" Type="http://schemas.openxmlformats.org/officeDocument/2006/relationships/hyperlink" Target="https://tannskjema.no/groruddalen-tannlegesenter" TargetMode="External"/><Relationship Id="rId572" Type="http://schemas.openxmlformats.org/officeDocument/2006/relationships/hyperlink" Target="https://tannskjema.no/groruddalen-tannlegesenter" TargetMode="External"/><Relationship Id="rId571" Type="http://schemas.openxmlformats.org/officeDocument/2006/relationships/hyperlink" Target="https://tannskjema.no" TargetMode="External"/><Relationship Id="rId570" Type="http://schemas.openxmlformats.org/officeDocument/2006/relationships/hyperlink" Target="https://tannskjema.no/groruddalen-tannlegesenter" TargetMode="External"/><Relationship Id="rId334" Type="http://schemas.openxmlformats.org/officeDocument/2006/relationships/hyperlink" Target="https://tannskjema.no/groruddalen-tannlegesenter" TargetMode="External"/><Relationship Id="rId576" Type="http://schemas.openxmlformats.org/officeDocument/2006/relationships/hyperlink" Target="https://tannskjema.no/groruddalen-tannlegesenter" TargetMode="External"/><Relationship Id="rId333" Type="http://schemas.openxmlformats.org/officeDocument/2006/relationships/hyperlink" Target="https://tannskjema.no" TargetMode="External"/><Relationship Id="rId575" Type="http://schemas.openxmlformats.org/officeDocument/2006/relationships/hyperlink" Target="https://tannskjema.no" TargetMode="External"/><Relationship Id="rId332" Type="http://schemas.openxmlformats.org/officeDocument/2006/relationships/hyperlink" Target="https://tannskjema.no/groruddalen-tannlegesenter" TargetMode="External"/><Relationship Id="rId574" Type="http://schemas.openxmlformats.org/officeDocument/2006/relationships/hyperlink" Target="https://tannskjema.no/groruddalen-tannlegesenter" TargetMode="External"/><Relationship Id="rId331" Type="http://schemas.openxmlformats.org/officeDocument/2006/relationships/hyperlink" Target="https://tannskjema.no" TargetMode="External"/><Relationship Id="rId573" Type="http://schemas.openxmlformats.org/officeDocument/2006/relationships/hyperlink" Target="https://tannskjema.no" TargetMode="External"/><Relationship Id="rId370" Type="http://schemas.openxmlformats.org/officeDocument/2006/relationships/hyperlink" Target="https://tannskjema.no/groruddalen-tannlegesenter" TargetMode="External"/><Relationship Id="rId129" Type="http://schemas.openxmlformats.org/officeDocument/2006/relationships/hyperlink" Target="https://tannskjema.no" TargetMode="External"/><Relationship Id="rId128" Type="http://schemas.openxmlformats.org/officeDocument/2006/relationships/hyperlink" Target="https://tannskjema.no/groruddalen-tannlegesenter" TargetMode="External"/><Relationship Id="rId127" Type="http://schemas.openxmlformats.org/officeDocument/2006/relationships/hyperlink" Target="https://tannskjema.no" TargetMode="External"/><Relationship Id="rId369" Type="http://schemas.openxmlformats.org/officeDocument/2006/relationships/hyperlink" Target="https://tannskjema.no" TargetMode="External"/><Relationship Id="rId126" Type="http://schemas.openxmlformats.org/officeDocument/2006/relationships/hyperlink" Target="https://tannskjema.no/groruddalen-tannlegesenter" TargetMode="External"/><Relationship Id="rId368" Type="http://schemas.openxmlformats.org/officeDocument/2006/relationships/hyperlink" Target="https://tannskjema.no/groruddalen-tannlegesenter" TargetMode="External"/><Relationship Id="rId121" Type="http://schemas.openxmlformats.org/officeDocument/2006/relationships/hyperlink" Target="https://tannskjema.no" TargetMode="External"/><Relationship Id="rId363" Type="http://schemas.openxmlformats.org/officeDocument/2006/relationships/hyperlink" Target="https://tannskjema.no" TargetMode="External"/><Relationship Id="rId120" Type="http://schemas.openxmlformats.org/officeDocument/2006/relationships/hyperlink" Target="https://tannskjema.no/groruddalen-tannlegesenter" TargetMode="External"/><Relationship Id="rId362" Type="http://schemas.openxmlformats.org/officeDocument/2006/relationships/hyperlink" Target="https://tannskjema.no/groruddalen-tannlegesenter" TargetMode="External"/><Relationship Id="rId361" Type="http://schemas.openxmlformats.org/officeDocument/2006/relationships/hyperlink" Target="https://tannskjema.no" TargetMode="External"/><Relationship Id="rId360" Type="http://schemas.openxmlformats.org/officeDocument/2006/relationships/hyperlink" Target="https://tannskjema.no/groruddalen-tannlegesenter" TargetMode="External"/><Relationship Id="rId125" Type="http://schemas.openxmlformats.org/officeDocument/2006/relationships/hyperlink" Target="https://tannskjema.no" TargetMode="External"/><Relationship Id="rId367" Type="http://schemas.openxmlformats.org/officeDocument/2006/relationships/hyperlink" Target="https://tannskjema.no" TargetMode="External"/><Relationship Id="rId124" Type="http://schemas.openxmlformats.org/officeDocument/2006/relationships/hyperlink" Target="https://tannskjema.no/groruddalen-tannlegesenter" TargetMode="External"/><Relationship Id="rId366" Type="http://schemas.openxmlformats.org/officeDocument/2006/relationships/hyperlink" Target="https://tannskjema.no/groruddalen-tannlegesenter" TargetMode="External"/><Relationship Id="rId123" Type="http://schemas.openxmlformats.org/officeDocument/2006/relationships/hyperlink" Target="https://tannskjema.no" TargetMode="External"/><Relationship Id="rId365" Type="http://schemas.openxmlformats.org/officeDocument/2006/relationships/hyperlink" Target="https://tannskjema.no" TargetMode="External"/><Relationship Id="rId122" Type="http://schemas.openxmlformats.org/officeDocument/2006/relationships/hyperlink" Target="https://tannskjema.no/groruddalen-tannlegesenter" TargetMode="External"/><Relationship Id="rId364" Type="http://schemas.openxmlformats.org/officeDocument/2006/relationships/hyperlink" Target="https://tannskjema.no/groruddalen-tannlegesenter" TargetMode="External"/><Relationship Id="rId95" Type="http://schemas.openxmlformats.org/officeDocument/2006/relationships/hyperlink" Target="https://tannskjema.no" TargetMode="External"/><Relationship Id="rId94" Type="http://schemas.openxmlformats.org/officeDocument/2006/relationships/hyperlink" Target="https://tannskjema.no/groruddalen-tannlegesenter" TargetMode="External"/><Relationship Id="rId97" Type="http://schemas.openxmlformats.org/officeDocument/2006/relationships/hyperlink" Target="https://tannskjema.no" TargetMode="External"/><Relationship Id="rId96" Type="http://schemas.openxmlformats.org/officeDocument/2006/relationships/hyperlink" Target="https://tannskjema.no/groruddalen-tannlegesenter" TargetMode="External"/><Relationship Id="rId99" Type="http://schemas.openxmlformats.org/officeDocument/2006/relationships/hyperlink" Target="https://tannskjema.no" TargetMode="External"/><Relationship Id="rId98" Type="http://schemas.openxmlformats.org/officeDocument/2006/relationships/hyperlink" Target="https://tannskjema.no/groruddalen-tannlegesenter" TargetMode="External"/><Relationship Id="rId91" Type="http://schemas.openxmlformats.org/officeDocument/2006/relationships/hyperlink" Target="https://tannskjema.no" TargetMode="External"/><Relationship Id="rId90" Type="http://schemas.openxmlformats.org/officeDocument/2006/relationships/hyperlink" Target="https://tannskjema.no/groruddalen-tannlegesenter" TargetMode="External"/><Relationship Id="rId93" Type="http://schemas.openxmlformats.org/officeDocument/2006/relationships/hyperlink" Target="https://tannskjema.no" TargetMode="External"/><Relationship Id="rId92" Type="http://schemas.openxmlformats.org/officeDocument/2006/relationships/hyperlink" Target="https://tannskjema.no/groruddalen-tannlegesenter" TargetMode="External"/><Relationship Id="rId118" Type="http://schemas.openxmlformats.org/officeDocument/2006/relationships/hyperlink" Target="https://tannskjema.no/groruddalen-tannlegesenter" TargetMode="External"/><Relationship Id="rId117" Type="http://schemas.openxmlformats.org/officeDocument/2006/relationships/hyperlink" Target="https://tannskjema.no" TargetMode="External"/><Relationship Id="rId359" Type="http://schemas.openxmlformats.org/officeDocument/2006/relationships/hyperlink" Target="https://tannskjema.no" TargetMode="External"/><Relationship Id="rId116" Type="http://schemas.openxmlformats.org/officeDocument/2006/relationships/hyperlink" Target="https://tannskjema.no/groruddalen-tannlegesenter" TargetMode="External"/><Relationship Id="rId358" Type="http://schemas.openxmlformats.org/officeDocument/2006/relationships/hyperlink" Target="https://tannskjema.no/groruddalen-tannlegesenter" TargetMode="External"/><Relationship Id="rId115" Type="http://schemas.openxmlformats.org/officeDocument/2006/relationships/hyperlink" Target="https://tannskjema.no" TargetMode="External"/><Relationship Id="rId357" Type="http://schemas.openxmlformats.org/officeDocument/2006/relationships/hyperlink" Target="https://tannskjema.no" TargetMode="External"/><Relationship Id="rId599" Type="http://schemas.openxmlformats.org/officeDocument/2006/relationships/hyperlink" Target="https://tannskjema.no" TargetMode="External"/><Relationship Id="rId119" Type="http://schemas.openxmlformats.org/officeDocument/2006/relationships/hyperlink" Target="https://tannskjema.no" TargetMode="External"/><Relationship Id="rId110" Type="http://schemas.openxmlformats.org/officeDocument/2006/relationships/hyperlink" Target="https://tannskjema.no/groruddalen-tannlegesenter" TargetMode="External"/><Relationship Id="rId352" Type="http://schemas.openxmlformats.org/officeDocument/2006/relationships/hyperlink" Target="https://tannskjema.no/groruddalen-tannlegesenter" TargetMode="External"/><Relationship Id="rId594" Type="http://schemas.openxmlformats.org/officeDocument/2006/relationships/hyperlink" Target="https://tannskjema.no/groruddalen-tannlegesenter" TargetMode="External"/><Relationship Id="rId351" Type="http://schemas.openxmlformats.org/officeDocument/2006/relationships/hyperlink" Target="https://tannskjema.no" TargetMode="External"/><Relationship Id="rId593" Type="http://schemas.openxmlformats.org/officeDocument/2006/relationships/hyperlink" Target="https://tannskjema.no" TargetMode="External"/><Relationship Id="rId350" Type="http://schemas.openxmlformats.org/officeDocument/2006/relationships/hyperlink" Target="https://tannskjema.no/groruddalen-tannlegesenter" TargetMode="External"/><Relationship Id="rId592" Type="http://schemas.openxmlformats.org/officeDocument/2006/relationships/hyperlink" Target="https://tannskjema.no/groruddalen-tannlegesenter" TargetMode="External"/><Relationship Id="rId591" Type="http://schemas.openxmlformats.org/officeDocument/2006/relationships/hyperlink" Target="https://tannskjema.no" TargetMode="External"/><Relationship Id="rId114" Type="http://schemas.openxmlformats.org/officeDocument/2006/relationships/hyperlink" Target="https://tannskjema.no/groruddalen-tannlegesenter" TargetMode="External"/><Relationship Id="rId356" Type="http://schemas.openxmlformats.org/officeDocument/2006/relationships/hyperlink" Target="https://tannskjema.no/groruddalen-tannlegesenter" TargetMode="External"/><Relationship Id="rId598" Type="http://schemas.openxmlformats.org/officeDocument/2006/relationships/hyperlink" Target="https://tannskjema.no/groruddalen-tannlegesenter" TargetMode="External"/><Relationship Id="rId113" Type="http://schemas.openxmlformats.org/officeDocument/2006/relationships/hyperlink" Target="https://tannskjema.no" TargetMode="External"/><Relationship Id="rId355" Type="http://schemas.openxmlformats.org/officeDocument/2006/relationships/hyperlink" Target="https://tannskjema.no" TargetMode="External"/><Relationship Id="rId597" Type="http://schemas.openxmlformats.org/officeDocument/2006/relationships/hyperlink" Target="https://tannskjema.no" TargetMode="External"/><Relationship Id="rId112" Type="http://schemas.openxmlformats.org/officeDocument/2006/relationships/hyperlink" Target="https://tannskjema.no/groruddalen-tannlegesenter" TargetMode="External"/><Relationship Id="rId354" Type="http://schemas.openxmlformats.org/officeDocument/2006/relationships/hyperlink" Target="https://tannskjema.no/groruddalen-tannlegesenter" TargetMode="External"/><Relationship Id="rId596" Type="http://schemas.openxmlformats.org/officeDocument/2006/relationships/hyperlink" Target="https://tannskjema.no/groruddalen-tannlegesenter" TargetMode="External"/><Relationship Id="rId111" Type="http://schemas.openxmlformats.org/officeDocument/2006/relationships/hyperlink" Target="https://tannskjema.no" TargetMode="External"/><Relationship Id="rId353" Type="http://schemas.openxmlformats.org/officeDocument/2006/relationships/hyperlink" Target="https://tannskjema.no" TargetMode="External"/><Relationship Id="rId595" Type="http://schemas.openxmlformats.org/officeDocument/2006/relationships/hyperlink" Target="https://tannskjema.no" TargetMode="External"/><Relationship Id="rId1136" Type="http://schemas.openxmlformats.org/officeDocument/2006/relationships/hyperlink" Target="https://tannskjema.no/groruddalen-tannlegesenter" TargetMode="External"/><Relationship Id="rId1137" Type="http://schemas.openxmlformats.org/officeDocument/2006/relationships/hyperlink" Target="https://tannskjema.no" TargetMode="External"/><Relationship Id="rId1138" Type="http://schemas.openxmlformats.org/officeDocument/2006/relationships/hyperlink" Target="https://tannskjema.no/groruddalen-tannlegesenter" TargetMode="External"/><Relationship Id="rId1139" Type="http://schemas.openxmlformats.org/officeDocument/2006/relationships/drawing" Target="../drawings/drawing2.xml"/><Relationship Id="rId305" Type="http://schemas.openxmlformats.org/officeDocument/2006/relationships/hyperlink" Target="https://tannskjema.no" TargetMode="External"/><Relationship Id="rId547" Type="http://schemas.openxmlformats.org/officeDocument/2006/relationships/hyperlink" Target="https://tannskjema.no" TargetMode="External"/><Relationship Id="rId789" Type="http://schemas.openxmlformats.org/officeDocument/2006/relationships/hyperlink" Target="https://tannskjema.no" TargetMode="External"/><Relationship Id="rId304" Type="http://schemas.openxmlformats.org/officeDocument/2006/relationships/hyperlink" Target="https://tannskjema.no/groruddalen-tannlegesenter" TargetMode="External"/><Relationship Id="rId546" Type="http://schemas.openxmlformats.org/officeDocument/2006/relationships/hyperlink" Target="https://tannskjema.no/groruddalen-tannlegesenter" TargetMode="External"/><Relationship Id="rId788" Type="http://schemas.openxmlformats.org/officeDocument/2006/relationships/hyperlink" Target="https://tannskjema.no/groruddalen-tannlegesenter" TargetMode="External"/><Relationship Id="rId303" Type="http://schemas.openxmlformats.org/officeDocument/2006/relationships/hyperlink" Target="https://tannskjema.no" TargetMode="External"/><Relationship Id="rId545" Type="http://schemas.openxmlformats.org/officeDocument/2006/relationships/hyperlink" Target="https://tannskjema.no" TargetMode="External"/><Relationship Id="rId787" Type="http://schemas.openxmlformats.org/officeDocument/2006/relationships/hyperlink" Target="https://tannskjema.no" TargetMode="External"/><Relationship Id="rId302" Type="http://schemas.openxmlformats.org/officeDocument/2006/relationships/hyperlink" Target="https://tannskjema.no/groruddalen-tannlegesenter" TargetMode="External"/><Relationship Id="rId544" Type="http://schemas.openxmlformats.org/officeDocument/2006/relationships/hyperlink" Target="https://tannskjema.no/groruddalen-tannlegesenter" TargetMode="External"/><Relationship Id="rId786" Type="http://schemas.openxmlformats.org/officeDocument/2006/relationships/hyperlink" Target="https://tannskjema.no/groruddalen-tannlegesenter" TargetMode="External"/><Relationship Id="rId309" Type="http://schemas.openxmlformats.org/officeDocument/2006/relationships/hyperlink" Target="https://tannskjema.no" TargetMode="External"/><Relationship Id="rId308" Type="http://schemas.openxmlformats.org/officeDocument/2006/relationships/hyperlink" Target="https://tannskjema.no/groruddalen-tannlegesenter" TargetMode="External"/><Relationship Id="rId307" Type="http://schemas.openxmlformats.org/officeDocument/2006/relationships/hyperlink" Target="https://tannskjema.no" TargetMode="External"/><Relationship Id="rId549" Type="http://schemas.openxmlformats.org/officeDocument/2006/relationships/hyperlink" Target="https://tannskjema.no" TargetMode="External"/><Relationship Id="rId306" Type="http://schemas.openxmlformats.org/officeDocument/2006/relationships/hyperlink" Target="https://tannskjema.no/groruddalen-tannlegesenter" TargetMode="External"/><Relationship Id="rId548" Type="http://schemas.openxmlformats.org/officeDocument/2006/relationships/hyperlink" Target="https://tannskjema.no/groruddalen-tannlegesenter" TargetMode="External"/><Relationship Id="rId781" Type="http://schemas.openxmlformats.org/officeDocument/2006/relationships/hyperlink" Target="https://tannskjema.no" TargetMode="External"/><Relationship Id="rId780" Type="http://schemas.openxmlformats.org/officeDocument/2006/relationships/hyperlink" Target="https://tannskjema.no/groruddalen-tannlegesenter" TargetMode="External"/><Relationship Id="rId1130" Type="http://schemas.openxmlformats.org/officeDocument/2006/relationships/hyperlink" Target="https://tannskjema.no/groruddalen-tannlegesenter" TargetMode="External"/><Relationship Id="rId1131" Type="http://schemas.openxmlformats.org/officeDocument/2006/relationships/hyperlink" Target="https://tannskjema.no" TargetMode="External"/><Relationship Id="rId301" Type="http://schemas.openxmlformats.org/officeDocument/2006/relationships/hyperlink" Target="https://tannskjema.no" TargetMode="External"/><Relationship Id="rId543" Type="http://schemas.openxmlformats.org/officeDocument/2006/relationships/hyperlink" Target="https://tannskjema.no" TargetMode="External"/><Relationship Id="rId785" Type="http://schemas.openxmlformats.org/officeDocument/2006/relationships/hyperlink" Target="https://tannskjema.no" TargetMode="External"/><Relationship Id="rId1132" Type="http://schemas.openxmlformats.org/officeDocument/2006/relationships/hyperlink" Target="https://tannskjema.no/groruddalen-tannlegesenter" TargetMode="External"/><Relationship Id="rId300" Type="http://schemas.openxmlformats.org/officeDocument/2006/relationships/hyperlink" Target="https://tannskjema.no/groruddalen-tannlegesenter" TargetMode="External"/><Relationship Id="rId542" Type="http://schemas.openxmlformats.org/officeDocument/2006/relationships/hyperlink" Target="https://tannskjema.no/groruddalen-tannlegesenter" TargetMode="External"/><Relationship Id="rId784" Type="http://schemas.openxmlformats.org/officeDocument/2006/relationships/hyperlink" Target="https://tannskjema.no/groruddalen-tannlegesenter" TargetMode="External"/><Relationship Id="rId1133" Type="http://schemas.openxmlformats.org/officeDocument/2006/relationships/hyperlink" Target="https://tannskjema.no" TargetMode="External"/><Relationship Id="rId541" Type="http://schemas.openxmlformats.org/officeDocument/2006/relationships/hyperlink" Target="https://tannskjema.no" TargetMode="External"/><Relationship Id="rId783" Type="http://schemas.openxmlformats.org/officeDocument/2006/relationships/hyperlink" Target="https://tannskjema.no" TargetMode="External"/><Relationship Id="rId1134" Type="http://schemas.openxmlformats.org/officeDocument/2006/relationships/hyperlink" Target="https://tannskjema.no/groruddalen-tannlegesenter" TargetMode="External"/><Relationship Id="rId540" Type="http://schemas.openxmlformats.org/officeDocument/2006/relationships/hyperlink" Target="https://tannskjema.no/groruddalen-tannlegesenter" TargetMode="External"/><Relationship Id="rId782" Type="http://schemas.openxmlformats.org/officeDocument/2006/relationships/hyperlink" Target="https://tannskjema.no/groruddalen-tannlegesenter" TargetMode="External"/><Relationship Id="rId1135" Type="http://schemas.openxmlformats.org/officeDocument/2006/relationships/hyperlink" Target="https://tannskjema.no" TargetMode="External"/><Relationship Id="rId1125" Type="http://schemas.openxmlformats.org/officeDocument/2006/relationships/hyperlink" Target="https://tannskjema.no" TargetMode="External"/><Relationship Id="rId1126" Type="http://schemas.openxmlformats.org/officeDocument/2006/relationships/hyperlink" Target="https://tannskjema.no/groruddalen-tannlegesenter" TargetMode="External"/><Relationship Id="rId1127" Type="http://schemas.openxmlformats.org/officeDocument/2006/relationships/hyperlink" Target="https://tannskjema.no" TargetMode="External"/><Relationship Id="rId1128" Type="http://schemas.openxmlformats.org/officeDocument/2006/relationships/hyperlink" Target="https://tannskjema.no/groruddalen-tannlegesenter" TargetMode="External"/><Relationship Id="rId1129" Type="http://schemas.openxmlformats.org/officeDocument/2006/relationships/hyperlink" Target="https://tannskjema.no" TargetMode="External"/><Relationship Id="rId536" Type="http://schemas.openxmlformats.org/officeDocument/2006/relationships/hyperlink" Target="https://tannskjema.no/groruddalen-tannlegesenter" TargetMode="External"/><Relationship Id="rId778" Type="http://schemas.openxmlformats.org/officeDocument/2006/relationships/hyperlink" Target="https://tannskjema.no/groruddalen-tannlegesenter" TargetMode="External"/><Relationship Id="rId535" Type="http://schemas.openxmlformats.org/officeDocument/2006/relationships/hyperlink" Target="https://tannskjema.no" TargetMode="External"/><Relationship Id="rId777" Type="http://schemas.openxmlformats.org/officeDocument/2006/relationships/hyperlink" Target="https://tannskjema.no" TargetMode="External"/><Relationship Id="rId534" Type="http://schemas.openxmlformats.org/officeDocument/2006/relationships/hyperlink" Target="https://tannskjema.no/groruddalen-tannlegesenter" TargetMode="External"/><Relationship Id="rId776" Type="http://schemas.openxmlformats.org/officeDocument/2006/relationships/hyperlink" Target="https://tannskjema.no/groruddalen-tannlegesenter" TargetMode="External"/><Relationship Id="rId533" Type="http://schemas.openxmlformats.org/officeDocument/2006/relationships/hyperlink" Target="https://tannskjema.no" TargetMode="External"/><Relationship Id="rId775" Type="http://schemas.openxmlformats.org/officeDocument/2006/relationships/hyperlink" Target="https://tannskjema.no" TargetMode="External"/><Relationship Id="rId539" Type="http://schemas.openxmlformats.org/officeDocument/2006/relationships/hyperlink" Target="https://tannskjema.no" TargetMode="External"/><Relationship Id="rId538" Type="http://schemas.openxmlformats.org/officeDocument/2006/relationships/hyperlink" Target="https://tannskjema.no/groruddalen-tannlegesenter" TargetMode="External"/><Relationship Id="rId537" Type="http://schemas.openxmlformats.org/officeDocument/2006/relationships/hyperlink" Target="https://tannskjema.no" TargetMode="External"/><Relationship Id="rId779" Type="http://schemas.openxmlformats.org/officeDocument/2006/relationships/hyperlink" Target="https://tannskjema.no" TargetMode="External"/><Relationship Id="rId770" Type="http://schemas.openxmlformats.org/officeDocument/2006/relationships/hyperlink" Target="https://tannskjema.no/groruddalen-tannlegesenter" TargetMode="External"/><Relationship Id="rId1120" Type="http://schemas.openxmlformats.org/officeDocument/2006/relationships/hyperlink" Target="https://tannskjema.no/groruddalen-tannlegesenter" TargetMode="External"/><Relationship Id="rId532" Type="http://schemas.openxmlformats.org/officeDocument/2006/relationships/hyperlink" Target="https://tannskjema.no/groruddalen-tannlegesenter" TargetMode="External"/><Relationship Id="rId774" Type="http://schemas.openxmlformats.org/officeDocument/2006/relationships/hyperlink" Target="https://tannskjema.no/groruddalen-tannlegesenter" TargetMode="External"/><Relationship Id="rId1121" Type="http://schemas.openxmlformats.org/officeDocument/2006/relationships/hyperlink" Target="https://tannskjema.no" TargetMode="External"/><Relationship Id="rId531" Type="http://schemas.openxmlformats.org/officeDocument/2006/relationships/hyperlink" Target="https://tannskjema.no" TargetMode="External"/><Relationship Id="rId773" Type="http://schemas.openxmlformats.org/officeDocument/2006/relationships/hyperlink" Target="https://tannskjema.no" TargetMode="External"/><Relationship Id="rId1122" Type="http://schemas.openxmlformats.org/officeDocument/2006/relationships/hyperlink" Target="https://tannskjema.no/groruddalen-tannlegesenter" TargetMode="External"/><Relationship Id="rId530" Type="http://schemas.openxmlformats.org/officeDocument/2006/relationships/hyperlink" Target="https://tannskjema.no/groruddalen-tannlegesenter" TargetMode="External"/><Relationship Id="rId772" Type="http://schemas.openxmlformats.org/officeDocument/2006/relationships/hyperlink" Target="https://tannskjema.no/groruddalen-tannlegesenter" TargetMode="External"/><Relationship Id="rId1123" Type="http://schemas.openxmlformats.org/officeDocument/2006/relationships/hyperlink" Target="https://tannskjema.no" TargetMode="External"/><Relationship Id="rId771" Type="http://schemas.openxmlformats.org/officeDocument/2006/relationships/hyperlink" Target="https://tannskjema.no" TargetMode="External"/><Relationship Id="rId1124" Type="http://schemas.openxmlformats.org/officeDocument/2006/relationships/hyperlink" Target="https://tannskjema.no/groruddalen-tannlegesenter" TargetMode="External"/><Relationship Id="rId327" Type="http://schemas.openxmlformats.org/officeDocument/2006/relationships/hyperlink" Target="https://tannskjema.no" TargetMode="External"/><Relationship Id="rId569" Type="http://schemas.openxmlformats.org/officeDocument/2006/relationships/hyperlink" Target="https://tannskjema.no" TargetMode="External"/><Relationship Id="rId326" Type="http://schemas.openxmlformats.org/officeDocument/2006/relationships/hyperlink" Target="https://tannskjema.no/groruddalen-tannlegesenter" TargetMode="External"/><Relationship Id="rId568" Type="http://schemas.openxmlformats.org/officeDocument/2006/relationships/hyperlink" Target="https://tannskjema.no/groruddalen-tannlegesenter" TargetMode="External"/><Relationship Id="rId325" Type="http://schemas.openxmlformats.org/officeDocument/2006/relationships/hyperlink" Target="https://tannskjema.no" TargetMode="External"/><Relationship Id="rId567" Type="http://schemas.openxmlformats.org/officeDocument/2006/relationships/hyperlink" Target="https://tannskjema.no" TargetMode="External"/><Relationship Id="rId324" Type="http://schemas.openxmlformats.org/officeDocument/2006/relationships/hyperlink" Target="https://tannskjema.no/groruddalen-tannlegesenter" TargetMode="External"/><Relationship Id="rId566" Type="http://schemas.openxmlformats.org/officeDocument/2006/relationships/hyperlink" Target="https://tannskjema.no/groruddalen-tannlegesenter" TargetMode="External"/><Relationship Id="rId329" Type="http://schemas.openxmlformats.org/officeDocument/2006/relationships/hyperlink" Target="https://tannskjema.no" TargetMode="External"/><Relationship Id="rId328" Type="http://schemas.openxmlformats.org/officeDocument/2006/relationships/hyperlink" Target="https://tannskjema.no/groruddalen-tannlegesenter" TargetMode="External"/><Relationship Id="rId561" Type="http://schemas.openxmlformats.org/officeDocument/2006/relationships/hyperlink" Target="https://tannskjema.no" TargetMode="External"/><Relationship Id="rId560" Type="http://schemas.openxmlformats.org/officeDocument/2006/relationships/hyperlink" Target="https://tannskjema.no/groruddalen-tannlegesenter" TargetMode="External"/><Relationship Id="rId323" Type="http://schemas.openxmlformats.org/officeDocument/2006/relationships/hyperlink" Target="https://tannskjema.no" TargetMode="External"/><Relationship Id="rId565" Type="http://schemas.openxmlformats.org/officeDocument/2006/relationships/hyperlink" Target="https://tannskjema.no" TargetMode="External"/><Relationship Id="rId322" Type="http://schemas.openxmlformats.org/officeDocument/2006/relationships/hyperlink" Target="https://tannskjema.no/groruddalen-tannlegesenter" TargetMode="External"/><Relationship Id="rId564" Type="http://schemas.openxmlformats.org/officeDocument/2006/relationships/hyperlink" Target="https://tannskjema.no/groruddalen-tannlegesenter" TargetMode="External"/><Relationship Id="rId321" Type="http://schemas.openxmlformats.org/officeDocument/2006/relationships/hyperlink" Target="https://tannskjema.no" TargetMode="External"/><Relationship Id="rId563" Type="http://schemas.openxmlformats.org/officeDocument/2006/relationships/hyperlink" Target="https://tannskjema.no" TargetMode="External"/><Relationship Id="rId320" Type="http://schemas.openxmlformats.org/officeDocument/2006/relationships/hyperlink" Target="https://tannskjema.no/groruddalen-tannlegesenter" TargetMode="External"/><Relationship Id="rId562" Type="http://schemas.openxmlformats.org/officeDocument/2006/relationships/hyperlink" Target="https://tannskjema.no/groruddalen-tannlegesenter" TargetMode="External"/><Relationship Id="rId316" Type="http://schemas.openxmlformats.org/officeDocument/2006/relationships/hyperlink" Target="https://tannskjema.no/groruddalen-tannlegesenter" TargetMode="External"/><Relationship Id="rId558" Type="http://schemas.openxmlformats.org/officeDocument/2006/relationships/hyperlink" Target="https://tannskjema.no/groruddalen-tannlegesenter" TargetMode="External"/><Relationship Id="rId315" Type="http://schemas.openxmlformats.org/officeDocument/2006/relationships/hyperlink" Target="https://tannskjema.no" TargetMode="External"/><Relationship Id="rId557" Type="http://schemas.openxmlformats.org/officeDocument/2006/relationships/hyperlink" Target="https://tannskjema.no" TargetMode="External"/><Relationship Id="rId799" Type="http://schemas.openxmlformats.org/officeDocument/2006/relationships/hyperlink" Target="https://tannskjema.no" TargetMode="External"/><Relationship Id="rId314" Type="http://schemas.openxmlformats.org/officeDocument/2006/relationships/hyperlink" Target="https://tannskjema.no/groruddalen-tannlegesenter" TargetMode="External"/><Relationship Id="rId556" Type="http://schemas.openxmlformats.org/officeDocument/2006/relationships/hyperlink" Target="https://tannskjema.no/groruddalen-tannlegesenter" TargetMode="External"/><Relationship Id="rId798" Type="http://schemas.openxmlformats.org/officeDocument/2006/relationships/hyperlink" Target="https://tannskjema.no/groruddalen-tannlegesenter" TargetMode="External"/><Relationship Id="rId313" Type="http://schemas.openxmlformats.org/officeDocument/2006/relationships/hyperlink" Target="https://tannskjema.no" TargetMode="External"/><Relationship Id="rId555" Type="http://schemas.openxmlformats.org/officeDocument/2006/relationships/hyperlink" Target="https://tannskjema.no" TargetMode="External"/><Relationship Id="rId797" Type="http://schemas.openxmlformats.org/officeDocument/2006/relationships/hyperlink" Target="https://tannskjema.no" TargetMode="External"/><Relationship Id="rId319" Type="http://schemas.openxmlformats.org/officeDocument/2006/relationships/hyperlink" Target="https://tannskjema.no" TargetMode="External"/><Relationship Id="rId318" Type="http://schemas.openxmlformats.org/officeDocument/2006/relationships/hyperlink" Target="https://tannskjema.no/groruddalen-tannlegesenter" TargetMode="External"/><Relationship Id="rId317" Type="http://schemas.openxmlformats.org/officeDocument/2006/relationships/hyperlink" Target="https://tannskjema.no" TargetMode="External"/><Relationship Id="rId559" Type="http://schemas.openxmlformats.org/officeDocument/2006/relationships/hyperlink" Target="https://tannskjema.no" TargetMode="External"/><Relationship Id="rId550" Type="http://schemas.openxmlformats.org/officeDocument/2006/relationships/hyperlink" Target="https://tannskjema.no/groruddalen-tannlegesenter" TargetMode="External"/><Relationship Id="rId792" Type="http://schemas.openxmlformats.org/officeDocument/2006/relationships/hyperlink" Target="https://tannskjema.no/groruddalen-tannlegesenter" TargetMode="External"/><Relationship Id="rId791" Type="http://schemas.openxmlformats.org/officeDocument/2006/relationships/hyperlink" Target="https://tannskjema.no" TargetMode="External"/><Relationship Id="rId790" Type="http://schemas.openxmlformats.org/officeDocument/2006/relationships/hyperlink" Target="https://tannskjema.no/groruddalen-tannlegesenter" TargetMode="External"/><Relationship Id="rId312" Type="http://schemas.openxmlformats.org/officeDocument/2006/relationships/hyperlink" Target="https://tannskjema.no/groruddalen-tannlegesenter" TargetMode="External"/><Relationship Id="rId554" Type="http://schemas.openxmlformats.org/officeDocument/2006/relationships/hyperlink" Target="https://tannskjema.no/groruddalen-tannlegesenter" TargetMode="External"/><Relationship Id="rId796" Type="http://schemas.openxmlformats.org/officeDocument/2006/relationships/hyperlink" Target="https://tannskjema.no/groruddalen-tannlegesenter" TargetMode="External"/><Relationship Id="rId311" Type="http://schemas.openxmlformats.org/officeDocument/2006/relationships/hyperlink" Target="https://tannskjema.no" TargetMode="External"/><Relationship Id="rId553" Type="http://schemas.openxmlformats.org/officeDocument/2006/relationships/hyperlink" Target="https://tannskjema.no" TargetMode="External"/><Relationship Id="rId795" Type="http://schemas.openxmlformats.org/officeDocument/2006/relationships/hyperlink" Target="https://tannskjema.no" TargetMode="External"/><Relationship Id="rId310" Type="http://schemas.openxmlformats.org/officeDocument/2006/relationships/hyperlink" Target="https://tannskjema.no/groruddalen-tannlegesenter" TargetMode="External"/><Relationship Id="rId552" Type="http://schemas.openxmlformats.org/officeDocument/2006/relationships/hyperlink" Target="https://tannskjema.no/groruddalen-tannlegesenter" TargetMode="External"/><Relationship Id="rId794" Type="http://schemas.openxmlformats.org/officeDocument/2006/relationships/hyperlink" Target="https://tannskjema.no/groruddalen-tannlegesenter" TargetMode="External"/><Relationship Id="rId551" Type="http://schemas.openxmlformats.org/officeDocument/2006/relationships/hyperlink" Target="https://tannskjema.no" TargetMode="External"/><Relationship Id="rId793" Type="http://schemas.openxmlformats.org/officeDocument/2006/relationships/hyperlink" Target="https://tannskjema.no" TargetMode="External"/><Relationship Id="rId297" Type="http://schemas.openxmlformats.org/officeDocument/2006/relationships/hyperlink" Target="https://tannskjema.no" TargetMode="External"/><Relationship Id="rId296" Type="http://schemas.openxmlformats.org/officeDocument/2006/relationships/hyperlink" Target="https://tannskjema.no/groruddalen-tannlegesenter" TargetMode="External"/><Relationship Id="rId295" Type="http://schemas.openxmlformats.org/officeDocument/2006/relationships/hyperlink" Target="https://tannskjema.no" TargetMode="External"/><Relationship Id="rId294" Type="http://schemas.openxmlformats.org/officeDocument/2006/relationships/hyperlink" Target="https://tannskjema.no/groruddalen-tannlegesenter" TargetMode="External"/><Relationship Id="rId299" Type="http://schemas.openxmlformats.org/officeDocument/2006/relationships/hyperlink" Target="https://tannskjema.no" TargetMode="External"/><Relationship Id="rId298" Type="http://schemas.openxmlformats.org/officeDocument/2006/relationships/hyperlink" Target="https://tannskjema.no/groruddalen-tannlegesenter" TargetMode="External"/><Relationship Id="rId271" Type="http://schemas.openxmlformats.org/officeDocument/2006/relationships/hyperlink" Target="https://tannskjema.no" TargetMode="External"/><Relationship Id="rId270" Type="http://schemas.openxmlformats.org/officeDocument/2006/relationships/hyperlink" Target="https://tannskjema.no/groruddalen-tannlegesenter" TargetMode="External"/><Relationship Id="rId269" Type="http://schemas.openxmlformats.org/officeDocument/2006/relationships/hyperlink" Target="https://tannskjema.no" TargetMode="External"/><Relationship Id="rId264" Type="http://schemas.openxmlformats.org/officeDocument/2006/relationships/hyperlink" Target="https://tannskjema.no/groruddalen-tannlegesenter" TargetMode="External"/><Relationship Id="rId263" Type="http://schemas.openxmlformats.org/officeDocument/2006/relationships/hyperlink" Target="https://tannskjema.no" TargetMode="External"/><Relationship Id="rId262" Type="http://schemas.openxmlformats.org/officeDocument/2006/relationships/hyperlink" Target="https://tannskjema.no/groruddalen-tannlegesenter" TargetMode="External"/><Relationship Id="rId261" Type="http://schemas.openxmlformats.org/officeDocument/2006/relationships/hyperlink" Target="https://tannskjema.no" TargetMode="External"/><Relationship Id="rId268" Type="http://schemas.openxmlformats.org/officeDocument/2006/relationships/hyperlink" Target="https://tannskjema.no/groruddalen-tannlegesenter" TargetMode="External"/><Relationship Id="rId267" Type="http://schemas.openxmlformats.org/officeDocument/2006/relationships/hyperlink" Target="https://tannskjema.no" TargetMode="External"/><Relationship Id="rId266" Type="http://schemas.openxmlformats.org/officeDocument/2006/relationships/hyperlink" Target="https://tannskjema.no/groruddalen-tannlegesenter" TargetMode="External"/><Relationship Id="rId265" Type="http://schemas.openxmlformats.org/officeDocument/2006/relationships/hyperlink" Target="https://tannskjema.no" TargetMode="External"/><Relationship Id="rId260" Type="http://schemas.openxmlformats.org/officeDocument/2006/relationships/hyperlink" Target="https://tannskjema.no/groruddalen-tannlegesenter" TargetMode="External"/><Relationship Id="rId259" Type="http://schemas.openxmlformats.org/officeDocument/2006/relationships/hyperlink" Target="https://tannskjema.no" TargetMode="External"/><Relationship Id="rId258" Type="http://schemas.openxmlformats.org/officeDocument/2006/relationships/hyperlink" Target="https://tannskjema.no/groruddalen-tannlegesenter" TargetMode="External"/><Relationship Id="rId253" Type="http://schemas.openxmlformats.org/officeDocument/2006/relationships/hyperlink" Target="https://tannskjema.no" TargetMode="External"/><Relationship Id="rId495" Type="http://schemas.openxmlformats.org/officeDocument/2006/relationships/hyperlink" Target="https://tannskjema.no" TargetMode="External"/><Relationship Id="rId252" Type="http://schemas.openxmlformats.org/officeDocument/2006/relationships/hyperlink" Target="https://tannskjema.no/groruddalen-tannlegesenter" TargetMode="External"/><Relationship Id="rId494" Type="http://schemas.openxmlformats.org/officeDocument/2006/relationships/hyperlink" Target="https://tannskjema.no/groruddalen-tannlegesenter" TargetMode="External"/><Relationship Id="rId251" Type="http://schemas.openxmlformats.org/officeDocument/2006/relationships/hyperlink" Target="https://tannskjema.no" TargetMode="External"/><Relationship Id="rId493" Type="http://schemas.openxmlformats.org/officeDocument/2006/relationships/hyperlink" Target="https://tannskjema.no" TargetMode="External"/><Relationship Id="rId250" Type="http://schemas.openxmlformats.org/officeDocument/2006/relationships/hyperlink" Target="https://tannskjema.no/groruddalen-tannlegesenter" TargetMode="External"/><Relationship Id="rId492" Type="http://schemas.openxmlformats.org/officeDocument/2006/relationships/hyperlink" Target="https://tannskjema.no/groruddalen-tannlegesenter" TargetMode="External"/><Relationship Id="rId257" Type="http://schemas.openxmlformats.org/officeDocument/2006/relationships/hyperlink" Target="https://tannskjema.no" TargetMode="External"/><Relationship Id="rId499" Type="http://schemas.openxmlformats.org/officeDocument/2006/relationships/hyperlink" Target="https://tannskjema.no" TargetMode="External"/><Relationship Id="rId256" Type="http://schemas.openxmlformats.org/officeDocument/2006/relationships/hyperlink" Target="https://tannskjema.no/groruddalen-tannlegesenter" TargetMode="External"/><Relationship Id="rId498" Type="http://schemas.openxmlformats.org/officeDocument/2006/relationships/hyperlink" Target="https://tannskjema.no/groruddalen-tannlegesenter" TargetMode="External"/><Relationship Id="rId255" Type="http://schemas.openxmlformats.org/officeDocument/2006/relationships/hyperlink" Target="https://tannskjema.no" TargetMode="External"/><Relationship Id="rId497" Type="http://schemas.openxmlformats.org/officeDocument/2006/relationships/hyperlink" Target="https://tannskjema.no" TargetMode="External"/><Relationship Id="rId254" Type="http://schemas.openxmlformats.org/officeDocument/2006/relationships/hyperlink" Target="https://tannskjema.no/groruddalen-tannlegesenter" TargetMode="External"/><Relationship Id="rId496" Type="http://schemas.openxmlformats.org/officeDocument/2006/relationships/hyperlink" Target="https://tannskjema.no/groruddalen-tannlegesenter" TargetMode="External"/><Relationship Id="rId293" Type="http://schemas.openxmlformats.org/officeDocument/2006/relationships/hyperlink" Target="https://tannskjema.no" TargetMode="External"/><Relationship Id="rId292" Type="http://schemas.openxmlformats.org/officeDocument/2006/relationships/hyperlink" Target="https://tannskjema.no/groruddalen-tannlegesenter" TargetMode="External"/><Relationship Id="rId291" Type="http://schemas.openxmlformats.org/officeDocument/2006/relationships/hyperlink" Target="https://tannskjema.no" TargetMode="External"/><Relationship Id="rId290" Type="http://schemas.openxmlformats.org/officeDocument/2006/relationships/hyperlink" Target="https://tannskjema.no/groruddalen-tannlegesenter" TargetMode="External"/><Relationship Id="rId286" Type="http://schemas.openxmlformats.org/officeDocument/2006/relationships/hyperlink" Target="https://tannskjema.no/groruddalen-tannlegesenter" TargetMode="External"/><Relationship Id="rId285" Type="http://schemas.openxmlformats.org/officeDocument/2006/relationships/hyperlink" Target="https://tannskjema.no" TargetMode="External"/><Relationship Id="rId284" Type="http://schemas.openxmlformats.org/officeDocument/2006/relationships/hyperlink" Target="https://tannskjema.no/groruddalen-tannlegesenter" TargetMode="External"/><Relationship Id="rId283" Type="http://schemas.openxmlformats.org/officeDocument/2006/relationships/hyperlink" Target="https://tannskjema.no" TargetMode="External"/><Relationship Id="rId289" Type="http://schemas.openxmlformats.org/officeDocument/2006/relationships/hyperlink" Target="https://tannskjema.no" TargetMode="External"/><Relationship Id="rId288" Type="http://schemas.openxmlformats.org/officeDocument/2006/relationships/hyperlink" Target="https://tannskjema.no/groruddalen-tannlegesenter" TargetMode="External"/><Relationship Id="rId287" Type="http://schemas.openxmlformats.org/officeDocument/2006/relationships/hyperlink" Target="https://tannskjema.no" TargetMode="External"/><Relationship Id="rId282" Type="http://schemas.openxmlformats.org/officeDocument/2006/relationships/hyperlink" Target="https://tannskjema.no/groruddalen-tannlegesenter" TargetMode="External"/><Relationship Id="rId281" Type="http://schemas.openxmlformats.org/officeDocument/2006/relationships/hyperlink" Target="https://tannskjema.no" TargetMode="External"/><Relationship Id="rId280" Type="http://schemas.openxmlformats.org/officeDocument/2006/relationships/hyperlink" Target="https://tannskjema.no/groruddalen-tannlegesenter" TargetMode="External"/><Relationship Id="rId275" Type="http://schemas.openxmlformats.org/officeDocument/2006/relationships/hyperlink" Target="https://tannskjema.no" TargetMode="External"/><Relationship Id="rId274" Type="http://schemas.openxmlformats.org/officeDocument/2006/relationships/hyperlink" Target="https://tannskjema.no/groruddalen-tannlegesenter" TargetMode="External"/><Relationship Id="rId273" Type="http://schemas.openxmlformats.org/officeDocument/2006/relationships/hyperlink" Target="https://tannskjema.no" TargetMode="External"/><Relationship Id="rId272" Type="http://schemas.openxmlformats.org/officeDocument/2006/relationships/hyperlink" Target="https://tannskjema.no/groruddalen-tannlegesenter" TargetMode="External"/><Relationship Id="rId279" Type="http://schemas.openxmlformats.org/officeDocument/2006/relationships/hyperlink" Target="https://tannskjema.no" TargetMode="External"/><Relationship Id="rId278" Type="http://schemas.openxmlformats.org/officeDocument/2006/relationships/hyperlink" Target="https://tannskjema.no/groruddalen-tannlegesenter" TargetMode="External"/><Relationship Id="rId277" Type="http://schemas.openxmlformats.org/officeDocument/2006/relationships/hyperlink" Target="https://tannskjema.no" TargetMode="External"/><Relationship Id="rId276" Type="http://schemas.openxmlformats.org/officeDocument/2006/relationships/hyperlink" Target="https://tannskjema.no/groruddalen-tannlegesenter" TargetMode="External"/><Relationship Id="rId907" Type="http://schemas.openxmlformats.org/officeDocument/2006/relationships/hyperlink" Target="https://tannskjema.no" TargetMode="External"/><Relationship Id="rId906" Type="http://schemas.openxmlformats.org/officeDocument/2006/relationships/hyperlink" Target="https://tannskjema.no/groruddalen-tannlegesenter" TargetMode="External"/><Relationship Id="rId905" Type="http://schemas.openxmlformats.org/officeDocument/2006/relationships/hyperlink" Target="https://tannskjema.no" TargetMode="External"/><Relationship Id="rId904" Type="http://schemas.openxmlformats.org/officeDocument/2006/relationships/hyperlink" Target="https://tannskjema.no/groruddalen-tannlegesenter" TargetMode="External"/><Relationship Id="rId909" Type="http://schemas.openxmlformats.org/officeDocument/2006/relationships/hyperlink" Target="https://tannskjema.no" TargetMode="External"/><Relationship Id="rId908" Type="http://schemas.openxmlformats.org/officeDocument/2006/relationships/hyperlink" Target="https://tannskjema.no/groruddalen-tannlegesenter" TargetMode="External"/><Relationship Id="rId903" Type="http://schemas.openxmlformats.org/officeDocument/2006/relationships/hyperlink" Target="https://tannskjema.no" TargetMode="External"/><Relationship Id="rId902" Type="http://schemas.openxmlformats.org/officeDocument/2006/relationships/hyperlink" Target="https://tannskjema.no/groruddalen-tannlegesenter" TargetMode="External"/><Relationship Id="rId901" Type="http://schemas.openxmlformats.org/officeDocument/2006/relationships/hyperlink" Target="https://tannskjema.no" TargetMode="External"/><Relationship Id="rId900" Type="http://schemas.openxmlformats.org/officeDocument/2006/relationships/hyperlink" Target="https://tannskjema.no/groruddalen-tannlegesenter" TargetMode="External"/><Relationship Id="rId929" Type="http://schemas.openxmlformats.org/officeDocument/2006/relationships/hyperlink" Target="https://tannskjema.no" TargetMode="External"/><Relationship Id="rId928" Type="http://schemas.openxmlformats.org/officeDocument/2006/relationships/hyperlink" Target="https://tannskjema.no/groruddalen-tannlegesenter" TargetMode="External"/><Relationship Id="rId927" Type="http://schemas.openxmlformats.org/officeDocument/2006/relationships/hyperlink" Target="https://tannskjema.no" TargetMode="External"/><Relationship Id="rId926" Type="http://schemas.openxmlformats.org/officeDocument/2006/relationships/hyperlink" Target="https://tannskjema.no/groruddalen-tannlegesenter" TargetMode="External"/><Relationship Id="rId921" Type="http://schemas.openxmlformats.org/officeDocument/2006/relationships/hyperlink" Target="https://tannskjema.no" TargetMode="External"/><Relationship Id="rId920" Type="http://schemas.openxmlformats.org/officeDocument/2006/relationships/hyperlink" Target="https://tannskjema.no/groruddalen-tannlegesenter" TargetMode="External"/><Relationship Id="rId925" Type="http://schemas.openxmlformats.org/officeDocument/2006/relationships/hyperlink" Target="https://tannskjema.no" TargetMode="External"/><Relationship Id="rId924" Type="http://schemas.openxmlformats.org/officeDocument/2006/relationships/hyperlink" Target="https://tannskjema.no/groruddalen-tannlegesenter" TargetMode="External"/><Relationship Id="rId923" Type="http://schemas.openxmlformats.org/officeDocument/2006/relationships/hyperlink" Target="https://tannskjema.no" TargetMode="External"/><Relationship Id="rId922" Type="http://schemas.openxmlformats.org/officeDocument/2006/relationships/hyperlink" Target="https://tannskjema.no/groruddalen-tannlegesenter" TargetMode="External"/><Relationship Id="rId918" Type="http://schemas.openxmlformats.org/officeDocument/2006/relationships/hyperlink" Target="https://tannskjema.no/groruddalen-tannlegesenter" TargetMode="External"/><Relationship Id="rId917" Type="http://schemas.openxmlformats.org/officeDocument/2006/relationships/hyperlink" Target="https://tannskjema.no" TargetMode="External"/><Relationship Id="rId916" Type="http://schemas.openxmlformats.org/officeDocument/2006/relationships/hyperlink" Target="https://tannskjema.no/groruddalen-tannlegesenter" TargetMode="External"/><Relationship Id="rId915" Type="http://schemas.openxmlformats.org/officeDocument/2006/relationships/hyperlink" Target="https://tannskjema.no" TargetMode="External"/><Relationship Id="rId919" Type="http://schemas.openxmlformats.org/officeDocument/2006/relationships/hyperlink" Target="https://tannskjema.no" TargetMode="External"/><Relationship Id="rId910" Type="http://schemas.openxmlformats.org/officeDocument/2006/relationships/hyperlink" Target="https://tannskjema.no/groruddalen-tannlegesenter" TargetMode="External"/><Relationship Id="rId914" Type="http://schemas.openxmlformats.org/officeDocument/2006/relationships/hyperlink" Target="https://tannskjema.no/groruddalen-tannlegesenter" TargetMode="External"/><Relationship Id="rId913" Type="http://schemas.openxmlformats.org/officeDocument/2006/relationships/hyperlink" Target="https://tannskjema.no" TargetMode="External"/><Relationship Id="rId912" Type="http://schemas.openxmlformats.org/officeDocument/2006/relationships/hyperlink" Target="https://tannskjema.no/groruddalen-tannlegesenter" TargetMode="External"/><Relationship Id="rId911" Type="http://schemas.openxmlformats.org/officeDocument/2006/relationships/hyperlink" Target="https://tannskjema.no" TargetMode="External"/><Relationship Id="rId629" Type="http://schemas.openxmlformats.org/officeDocument/2006/relationships/hyperlink" Target="https://tannskjema.no" TargetMode="External"/><Relationship Id="rId624" Type="http://schemas.openxmlformats.org/officeDocument/2006/relationships/hyperlink" Target="https://tannskjema.no/groruddalen-tannlegesenter" TargetMode="External"/><Relationship Id="rId866" Type="http://schemas.openxmlformats.org/officeDocument/2006/relationships/hyperlink" Target="https://tannskjema.no/groruddalen-tannlegesenter" TargetMode="External"/><Relationship Id="rId623" Type="http://schemas.openxmlformats.org/officeDocument/2006/relationships/hyperlink" Target="https://tannskjema.no" TargetMode="External"/><Relationship Id="rId865" Type="http://schemas.openxmlformats.org/officeDocument/2006/relationships/hyperlink" Target="https://tannskjema.no" TargetMode="External"/><Relationship Id="rId622" Type="http://schemas.openxmlformats.org/officeDocument/2006/relationships/hyperlink" Target="https://tannskjema.no/groruddalen-tannlegesenter" TargetMode="External"/><Relationship Id="rId864" Type="http://schemas.openxmlformats.org/officeDocument/2006/relationships/hyperlink" Target="https://tannskjema.no/groruddalen-tannlegesenter" TargetMode="External"/><Relationship Id="rId621" Type="http://schemas.openxmlformats.org/officeDocument/2006/relationships/hyperlink" Target="https://tannskjema.no" TargetMode="External"/><Relationship Id="rId863" Type="http://schemas.openxmlformats.org/officeDocument/2006/relationships/hyperlink" Target="https://tannskjema.no" TargetMode="External"/><Relationship Id="rId628" Type="http://schemas.openxmlformats.org/officeDocument/2006/relationships/hyperlink" Target="https://tannskjema.no/groruddalen-tannlegesenter" TargetMode="External"/><Relationship Id="rId627" Type="http://schemas.openxmlformats.org/officeDocument/2006/relationships/hyperlink" Target="https://tannskjema.no" TargetMode="External"/><Relationship Id="rId869" Type="http://schemas.openxmlformats.org/officeDocument/2006/relationships/hyperlink" Target="https://tannskjema.no" TargetMode="External"/><Relationship Id="rId626" Type="http://schemas.openxmlformats.org/officeDocument/2006/relationships/hyperlink" Target="https://tannskjema.no/groruddalen-tannlegesenter" TargetMode="External"/><Relationship Id="rId868" Type="http://schemas.openxmlformats.org/officeDocument/2006/relationships/hyperlink" Target="https://tannskjema.no/groruddalen-tannlegesenter" TargetMode="External"/><Relationship Id="rId625" Type="http://schemas.openxmlformats.org/officeDocument/2006/relationships/hyperlink" Target="https://tannskjema.no" TargetMode="External"/><Relationship Id="rId867" Type="http://schemas.openxmlformats.org/officeDocument/2006/relationships/hyperlink" Target="https://tannskjema.no" TargetMode="External"/><Relationship Id="rId620" Type="http://schemas.openxmlformats.org/officeDocument/2006/relationships/hyperlink" Target="https://tannskjema.no/groruddalen-tannlegesenter" TargetMode="External"/><Relationship Id="rId862" Type="http://schemas.openxmlformats.org/officeDocument/2006/relationships/hyperlink" Target="https://tannskjema.no/groruddalen-tannlegesenter" TargetMode="External"/><Relationship Id="rId861" Type="http://schemas.openxmlformats.org/officeDocument/2006/relationships/hyperlink" Target="https://tannskjema.no" TargetMode="External"/><Relationship Id="rId860" Type="http://schemas.openxmlformats.org/officeDocument/2006/relationships/hyperlink" Target="https://tannskjema.no/groruddalen-tannlegesenter" TargetMode="External"/><Relationship Id="rId619" Type="http://schemas.openxmlformats.org/officeDocument/2006/relationships/hyperlink" Target="https://tannskjema.no" TargetMode="External"/><Relationship Id="rId618" Type="http://schemas.openxmlformats.org/officeDocument/2006/relationships/hyperlink" Target="https://tannskjema.no/groruddalen-tannlegesenter" TargetMode="External"/><Relationship Id="rId613" Type="http://schemas.openxmlformats.org/officeDocument/2006/relationships/hyperlink" Target="https://tannskjema.no" TargetMode="External"/><Relationship Id="rId855" Type="http://schemas.openxmlformats.org/officeDocument/2006/relationships/hyperlink" Target="https://tannskjema.no" TargetMode="External"/><Relationship Id="rId612" Type="http://schemas.openxmlformats.org/officeDocument/2006/relationships/hyperlink" Target="https://tannskjema.no/groruddalen-tannlegesenter" TargetMode="External"/><Relationship Id="rId854" Type="http://schemas.openxmlformats.org/officeDocument/2006/relationships/hyperlink" Target="https://tannskjema.no/groruddalen-tannlegesenter" TargetMode="External"/><Relationship Id="rId611" Type="http://schemas.openxmlformats.org/officeDocument/2006/relationships/hyperlink" Target="https://tannskjema.no" TargetMode="External"/><Relationship Id="rId853" Type="http://schemas.openxmlformats.org/officeDocument/2006/relationships/hyperlink" Target="https://tannskjema.no" TargetMode="External"/><Relationship Id="rId610" Type="http://schemas.openxmlformats.org/officeDocument/2006/relationships/hyperlink" Target="https://tannskjema.no/groruddalen-tannlegesenter" TargetMode="External"/><Relationship Id="rId852" Type="http://schemas.openxmlformats.org/officeDocument/2006/relationships/hyperlink" Target="https://tannskjema.no/groruddalen-tannlegesenter" TargetMode="External"/><Relationship Id="rId617" Type="http://schemas.openxmlformats.org/officeDocument/2006/relationships/hyperlink" Target="https://tannskjema.no" TargetMode="External"/><Relationship Id="rId859" Type="http://schemas.openxmlformats.org/officeDocument/2006/relationships/hyperlink" Target="https://tannskjema.no" TargetMode="External"/><Relationship Id="rId616" Type="http://schemas.openxmlformats.org/officeDocument/2006/relationships/hyperlink" Target="https://tannskjema.no/groruddalen-tannlegesenter" TargetMode="External"/><Relationship Id="rId858" Type="http://schemas.openxmlformats.org/officeDocument/2006/relationships/hyperlink" Target="https://tannskjema.no/groruddalen-tannlegesenter" TargetMode="External"/><Relationship Id="rId615" Type="http://schemas.openxmlformats.org/officeDocument/2006/relationships/hyperlink" Target="https://tannskjema.no" TargetMode="External"/><Relationship Id="rId857" Type="http://schemas.openxmlformats.org/officeDocument/2006/relationships/hyperlink" Target="https://tannskjema.no" TargetMode="External"/><Relationship Id="rId614" Type="http://schemas.openxmlformats.org/officeDocument/2006/relationships/hyperlink" Target="https://tannskjema.no/groruddalen-tannlegesenter" TargetMode="External"/><Relationship Id="rId856" Type="http://schemas.openxmlformats.org/officeDocument/2006/relationships/hyperlink" Target="https://tannskjema.no/groruddalen-tannlegesenter" TargetMode="External"/><Relationship Id="rId851" Type="http://schemas.openxmlformats.org/officeDocument/2006/relationships/hyperlink" Target="https://tannskjema.no" TargetMode="External"/><Relationship Id="rId850" Type="http://schemas.openxmlformats.org/officeDocument/2006/relationships/hyperlink" Target="https://tannskjema.no/groruddalen-tannlegesenter" TargetMode="External"/><Relationship Id="rId409" Type="http://schemas.openxmlformats.org/officeDocument/2006/relationships/hyperlink" Target="https://tannskjema.no" TargetMode="External"/><Relationship Id="rId404" Type="http://schemas.openxmlformats.org/officeDocument/2006/relationships/hyperlink" Target="https://tannskjema.no/groruddalen-tannlegesenter" TargetMode="External"/><Relationship Id="rId646" Type="http://schemas.openxmlformats.org/officeDocument/2006/relationships/hyperlink" Target="https://tannskjema.no/groruddalen-tannlegesenter" TargetMode="External"/><Relationship Id="rId888" Type="http://schemas.openxmlformats.org/officeDocument/2006/relationships/hyperlink" Target="https://tannskjema.no/groruddalen-tannlegesenter" TargetMode="External"/><Relationship Id="rId403" Type="http://schemas.openxmlformats.org/officeDocument/2006/relationships/hyperlink" Target="https://tannskjema.no" TargetMode="External"/><Relationship Id="rId645" Type="http://schemas.openxmlformats.org/officeDocument/2006/relationships/hyperlink" Target="https://tannskjema.no" TargetMode="External"/><Relationship Id="rId887" Type="http://schemas.openxmlformats.org/officeDocument/2006/relationships/hyperlink" Target="https://tannskjema.no" TargetMode="External"/><Relationship Id="rId402" Type="http://schemas.openxmlformats.org/officeDocument/2006/relationships/hyperlink" Target="https://tannskjema.no/groruddalen-tannlegesenter" TargetMode="External"/><Relationship Id="rId644" Type="http://schemas.openxmlformats.org/officeDocument/2006/relationships/hyperlink" Target="https://tannskjema.no/groruddalen-tannlegesenter" TargetMode="External"/><Relationship Id="rId886" Type="http://schemas.openxmlformats.org/officeDocument/2006/relationships/hyperlink" Target="https://tannskjema.no/groruddalen-tannlegesenter" TargetMode="External"/><Relationship Id="rId401" Type="http://schemas.openxmlformats.org/officeDocument/2006/relationships/hyperlink" Target="https://tannskjema.no" TargetMode="External"/><Relationship Id="rId643" Type="http://schemas.openxmlformats.org/officeDocument/2006/relationships/hyperlink" Target="https://tannskjema.no" TargetMode="External"/><Relationship Id="rId885" Type="http://schemas.openxmlformats.org/officeDocument/2006/relationships/hyperlink" Target="https://tannskjema.no" TargetMode="External"/><Relationship Id="rId408" Type="http://schemas.openxmlformats.org/officeDocument/2006/relationships/hyperlink" Target="https://tannskjema.no/groruddalen-tannlegesenter" TargetMode="External"/><Relationship Id="rId407" Type="http://schemas.openxmlformats.org/officeDocument/2006/relationships/hyperlink" Target="https://tannskjema.no" TargetMode="External"/><Relationship Id="rId649" Type="http://schemas.openxmlformats.org/officeDocument/2006/relationships/hyperlink" Target="https://tannskjema.no" TargetMode="External"/><Relationship Id="rId406" Type="http://schemas.openxmlformats.org/officeDocument/2006/relationships/hyperlink" Target="https://tannskjema.no/groruddalen-tannlegesenter" TargetMode="External"/><Relationship Id="rId648" Type="http://schemas.openxmlformats.org/officeDocument/2006/relationships/hyperlink" Target="https://tannskjema.no/groruddalen-tannlegesenter" TargetMode="External"/><Relationship Id="rId405" Type="http://schemas.openxmlformats.org/officeDocument/2006/relationships/hyperlink" Target="https://tannskjema.no" TargetMode="External"/><Relationship Id="rId647" Type="http://schemas.openxmlformats.org/officeDocument/2006/relationships/hyperlink" Target="https://tannskjema.no" TargetMode="External"/><Relationship Id="rId889" Type="http://schemas.openxmlformats.org/officeDocument/2006/relationships/hyperlink" Target="https://tannskjema.no" TargetMode="External"/><Relationship Id="rId880" Type="http://schemas.openxmlformats.org/officeDocument/2006/relationships/hyperlink" Target="https://tannskjema.no/groruddalen-tannlegesenter" TargetMode="External"/><Relationship Id="rId400" Type="http://schemas.openxmlformats.org/officeDocument/2006/relationships/hyperlink" Target="https://tannskjema.no/groruddalen-tannlegesenter" TargetMode="External"/><Relationship Id="rId642" Type="http://schemas.openxmlformats.org/officeDocument/2006/relationships/hyperlink" Target="https://tannskjema.no/groruddalen-tannlegesenter" TargetMode="External"/><Relationship Id="rId884" Type="http://schemas.openxmlformats.org/officeDocument/2006/relationships/hyperlink" Target="https://tannskjema.no/groruddalen-tannlegesenter" TargetMode="External"/><Relationship Id="rId641" Type="http://schemas.openxmlformats.org/officeDocument/2006/relationships/hyperlink" Target="https://tannskjema.no" TargetMode="External"/><Relationship Id="rId883" Type="http://schemas.openxmlformats.org/officeDocument/2006/relationships/hyperlink" Target="https://tannskjema.no" TargetMode="External"/><Relationship Id="rId640" Type="http://schemas.openxmlformats.org/officeDocument/2006/relationships/hyperlink" Target="https://tannskjema.no/groruddalen-tannlegesenter" TargetMode="External"/><Relationship Id="rId882" Type="http://schemas.openxmlformats.org/officeDocument/2006/relationships/hyperlink" Target="https://tannskjema.no/groruddalen-tannlegesenter" TargetMode="External"/><Relationship Id="rId881" Type="http://schemas.openxmlformats.org/officeDocument/2006/relationships/hyperlink" Target="https://tannskjema.no" TargetMode="External"/><Relationship Id="rId635" Type="http://schemas.openxmlformats.org/officeDocument/2006/relationships/hyperlink" Target="https://tannskjema.no" TargetMode="External"/><Relationship Id="rId877" Type="http://schemas.openxmlformats.org/officeDocument/2006/relationships/hyperlink" Target="https://tannskjema.no" TargetMode="External"/><Relationship Id="rId634" Type="http://schemas.openxmlformats.org/officeDocument/2006/relationships/hyperlink" Target="https://tannskjema.no/groruddalen-tannlegesenter" TargetMode="External"/><Relationship Id="rId876" Type="http://schemas.openxmlformats.org/officeDocument/2006/relationships/hyperlink" Target="https://tannskjema.no/groruddalen-tannlegesenter" TargetMode="External"/><Relationship Id="rId633" Type="http://schemas.openxmlformats.org/officeDocument/2006/relationships/hyperlink" Target="https://tannskjema.no" TargetMode="External"/><Relationship Id="rId875" Type="http://schemas.openxmlformats.org/officeDocument/2006/relationships/hyperlink" Target="https://tannskjema.no" TargetMode="External"/><Relationship Id="rId632" Type="http://schemas.openxmlformats.org/officeDocument/2006/relationships/hyperlink" Target="https://tannskjema.no/groruddalen-tannlegesenter" TargetMode="External"/><Relationship Id="rId874" Type="http://schemas.openxmlformats.org/officeDocument/2006/relationships/hyperlink" Target="https://tannskjema.no/groruddalen-tannlegesenter" TargetMode="External"/><Relationship Id="rId639" Type="http://schemas.openxmlformats.org/officeDocument/2006/relationships/hyperlink" Target="https://tannskjema.no" TargetMode="External"/><Relationship Id="rId638" Type="http://schemas.openxmlformats.org/officeDocument/2006/relationships/hyperlink" Target="https://tannskjema.no/groruddalen-tannlegesenter" TargetMode="External"/><Relationship Id="rId637" Type="http://schemas.openxmlformats.org/officeDocument/2006/relationships/hyperlink" Target="https://tannskjema.no" TargetMode="External"/><Relationship Id="rId879" Type="http://schemas.openxmlformats.org/officeDocument/2006/relationships/hyperlink" Target="https://tannskjema.no" TargetMode="External"/><Relationship Id="rId636" Type="http://schemas.openxmlformats.org/officeDocument/2006/relationships/hyperlink" Target="https://tannskjema.no/groruddalen-tannlegesenter" TargetMode="External"/><Relationship Id="rId878" Type="http://schemas.openxmlformats.org/officeDocument/2006/relationships/hyperlink" Target="https://tannskjema.no/groruddalen-tannlegesenter" TargetMode="External"/><Relationship Id="rId631" Type="http://schemas.openxmlformats.org/officeDocument/2006/relationships/hyperlink" Target="https://tannskjema.no" TargetMode="External"/><Relationship Id="rId873" Type="http://schemas.openxmlformats.org/officeDocument/2006/relationships/hyperlink" Target="https://tannskjema.no" TargetMode="External"/><Relationship Id="rId630" Type="http://schemas.openxmlformats.org/officeDocument/2006/relationships/hyperlink" Target="https://tannskjema.no/groruddalen-tannlegesenter" TargetMode="External"/><Relationship Id="rId872" Type="http://schemas.openxmlformats.org/officeDocument/2006/relationships/hyperlink" Target="https://tannskjema.no/groruddalen-tannlegesenter" TargetMode="External"/><Relationship Id="rId871" Type="http://schemas.openxmlformats.org/officeDocument/2006/relationships/hyperlink" Target="https://tannskjema.no" TargetMode="External"/><Relationship Id="rId870" Type="http://schemas.openxmlformats.org/officeDocument/2006/relationships/hyperlink" Target="https://tannskjema.no/groruddalen-tannlegesenter" TargetMode="External"/><Relationship Id="rId829" Type="http://schemas.openxmlformats.org/officeDocument/2006/relationships/hyperlink" Target="https://tannskjema.no" TargetMode="External"/><Relationship Id="rId828" Type="http://schemas.openxmlformats.org/officeDocument/2006/relationships/hyperlink" Target="https://tannskjema.no/groruddalen-tannlegesenter" TargetMode="External"/><Relationship Id="rId827" Type="http://schemas.openxmlformats.org/officeDocument/2006/relationships/hyperlink" Target="https://tannskjema.no" TargetMode="External"/><Relationship Id="rId822" Type="http://schemas.openxmlformats.org/officeDocument/2006/relationships/hyperlink" Target="https://tannskjema.no/groruddalen-tannlegesenter" TargetMode="External"/><Relationship Id="rId821" Type="http://schemas.openxmlformats.org/officeDocument/2006/relationships/hyperlink" Target="https://tannskjema.no" TargetMode="External"/><Relationship Id="rId820" Type="http://schemas.openxmlformats.org/officeDocument/2006/relationships/hyperlink" Target="https://tannskjema.no/groruddalen-tannlegesenter" TargetMode="External"/><Relationship Id="rId826" Type="http://schemas.openxmlformats.org/officeDocument/2006/relationships/hyperlink" Target="https://tannskjema.no/groruddalen-tannlegesenter" TargetMode="External"/><Relationship Id="rId825" Type="http://schemas.openxmlformats.org/officeDocument/2006/relationships/hyperlink" Target="https://tannskjema.no" TargetMode="External"/><Relationship Id="rId824" Type="http://schemas.openxmlformats.org/officeDocument/2006/relationships/hyperlink" Target="https://tannskjema.no/groruddalen-tannlegesenter" TargetMode="External"/><Relationship Id="rId823" Type="http://schemas.openxmlformats.org/officeDocument/2006/relationships/hyperlink" Target="https://tannskjema.no" TargetMode="External"/><Relationship Id="rId819" Type="http://schemas.openxmlformats.org/officeDocument/2006/relationships/hyperlink" Target="https://tannskjema.no" TargetMode="External"/><Relationship Id="rId818" Type="http://schemas.openxmlformats.org/officeDocument/2006/relationships/hyperlink" Target="https://tannskjema.no/groruddalen-tannlegesenter" TargetMode="External"/><Relationship Id="rId817" Type="http://schemas.openxmlformats.org/officeDocument/2006/relationships/hyperlink" Target="https://tannskjema.no" TargetMode="External"/><Relationship Id="rId816" Type="http://schemas.openxmlformats.org/officeDocument/2006/relationships/hyperlink" Target="https://tannskjema.no/groruddalen-tannlegesenter" TargetMode="External"/><Relationship Id="rId811" Type="http://schemas.openxmlformats.org/officeDocument/2006/relationships/hyperlink" Target="https://tannskjema.no" TargetMode="External"/><Relationship Id="rId810" Type="http://schemas.openxmlformats.org/officeDocument/2006/relationships/hyperlink" Target="https://tannskjema.no/groruddalen-tannlegesenter" TargetMode="External"/><Relationship Id="rId815" Type="http://schemas.openxmlformats.org/officeDocument/2006/relationships/hyperlink" Target="https://tannskjema.no" TargetMode="External"/><Relationship Id="rId814" Type="http://schemas.openxmlformats.org/officeDocument/2006/relationships/hyperlink" Target="https://tannskjema.no/groruddalen-tannlegesenter" TargetMode="External"/><Relationship Id="rId813" Type="http://schemas.openxmlformats.org/officeDocument/2006/relationships/hyperlink" Target="https://tannskjema.no" TargetMode="External"/><Relationship Id="rId812" Type="http://schemas.openxmlformats.org/officeDocument/2006/relationships/hyperlink" Target="https://tannskjema.no/groruddalen-tannlegesenter" TargetMode="External"/><Relationship Id="rId609" Type="http://schemas.openxmlformats.org/officeDocument/2006/relationships/hyperlink" Target="https://tannskjema.no" TargetMode="External"/><Relationship Id="rId608" Type="http://schemas.openxmlformats.org/officeDocument/2006/relationships/hyperlink" Target="https://tannskjema.no/groruddalen-tannlegesenter" TargetMode="External"/><Relationship Id="rId607" Type="http://schemas.openxmlformats.org/officeDocument/2006/relationships/hyperlink" Target="https://tannskjema.no" TargetMode="External"/><Relationship Id="rId849" Type="http://schemas.openxmlformats.org/officeDocument/2006/relationships/hyperlink" Target="https://tannskjema.no" TargetMode="External"/><Relationship Id="rId602" Type="http://schemas.openxmlformats.org/officeDocument/2006/relationships/hyperlink" Target="https://tannskjema.no/groruddalen-tannlegesenter" TargetMode="External"/><Relationship Id="rId844" Type="http://schemas.openxmlformats.org/officeDocument/2006/relationships/hyperlink" Target="https://tannskjema.no/groruddalen-tannlegesenter" TargetMode="External"/><Relationship Id="rId601" Type="http://schemas.openxmlformats.org/officeDocument/2006/relationships/hyperlink" Target="https://tannskjema.no" TargetMode="External"/><Relationship Id="rId843" Type="http://schemas.openxmlformats.org/officeDocument/2006/relationships/hyperlink" Target="https://tannskjema.no" TargetMode="External"/><Relationship Id="rId600" Type="http://schemas.openxmlformats.org/officeDocument/2006/relationships/hyperlink" Target="https://tannskjema.no/groruddalen-tannlegesenter" TargetMode="External"/><Relationship Id="rId842" Type="http://schemas.openxmlformats.org/officeDocument/2006/relationships/hyperlink" Target="https://tannskjema.no/groruddalen-tannlegesenter" TargetMode="External"/><Relationship Id="rId841" Type="http://schemas.openxmlformats.org/officeDocument/2006/relationships/hyperlink" Target="https://tannskjema.no" TargetMode="External"/><Relationship Id="rId606" Type="http://schemas.openxmlformats.org/officeDocument/2006/relationships/hyperlink" Target="https://tannskjema.no/groruddalen-tannlegesenter" TargetMode="External"/><Relationship Id="rId848" Type="http://schemas.openxmlformats.org/officeDocument/2006/relationships/hyperlink" Target="https://tannskjema.no/groruddalen-tannlegesenter" TargetMode="External"/><Relationship Id="rId605" Type="http://schemas.openxmlformats.org/officeDocument/2006/relationships/hyperlink" Target="https://tannskjema.no" TargetMode="External"/><Relationship Id="rId847" Type="http://schemas.openxmlformats.org/officeDocument/2006/relationships/hyperlink" Target="https://tannskjema.no" TargetMode="External"/><Relationship Id="rId604" Type="http://schemas.openxmlformats.org/officeDocument/2006/relationships/hyperlink" Target="https://tannskjema.no/groruddalen-tannlegesenter" TargetMode="External"/><Relationship Id="rId846" Type="http://schemas.openxmlformats.org/officeDocument/2006/relationships/hyperlink" Target="https://tannskjema.no/groruddalen-tannlegesenter" TargetMode="External"/><Relationship Id="rId603" Type="http://schemas.openxmlformats.org/officeDocument/2006/relationships/hyperlink" Target="https://tannskjema.no" TargetMode="External"/><Relationship Id="rId845" Type="http://schemas.openxmlformats.org/officeDocument/2006/relationships/hyperlink" Target="https://tannskjema.no" TargetMode="External"/><Relationship Id="rId840" Type="http://schemas.openxmlformats.org/officeDocument/2006/relationships/hyperlink" Target="https://tannskjema.no/groruddalen-tannlegesenter" TargetMode="External"/><Relationship Id="rId839" Type="http://schemas.openxmlformats.org/officeDocument/2006/relationships/hyperlink" Target="https://tannskjema.no" TargetMode="External"/><Relationship Id="rId838" Type="http://schemas.openxmlformats.org/officeDocument/2006/relationships/hyperlink" Target="https://tannskjema.no/groruddalen-tannlegesenter" TargetMode="External"/><Relationship Id="rId833" Type="http://schemas.openxmlformats.org/officeDocument/2006/relationships/hyperlink" Target="https://tannskjema.no" TargetMode="External"/><Relationship Id="rId832" Type="http://schemas.openxmlformats.org/officeDocument/2006/relationships/hyperlink" Target="https://tannskjema.no/groruddalen-tannlegesenter" TargetMode="External"/><Relationship Id="rId831" Type="http://schemas.openxmlformats.org/officeDocument/2006/relationships/hyperlink" Target="https://tannskjema.no" TargetMode="External"/><Relationship Id="rId830" Type="http://schemas.openxmlformats.org/officeDocument/2006/relationships/hyperlink" Target="https://tannskjema.no/groruddalen-tannlegesenter" TargetMode="External"/><Relationship Id="rId837" Type="http://schemas.openxmlformats.org/officeDocument/2006/relationships/hyperlink" Target="https://tannskjema.no" TargetMode="External"/><Relationship Id="rId836" Type="http://schemas.openxmlformats.org/officeDocument/2006/relationships/hyperlink" Target="https://tannskjema.no/groruddalen-tannlegesenter" TargetMode="External"/><Relationship Id="rId835" Type="http://schemas.openxmlformats.org/officeDocument/2006/relationships/hyperlink" Target="https://tannskjema.no" TargetMode="External"/><Relationship Id="rId834" Type="http://schemas.openxmlformats.org/officeDocument/2006/relationships/hyperlink" Target="https://tannskjema.no/groruddalen-tannlegesenter" TargetMode="External"/><Relationship Id="rId1059" Type="http://schemas.openxmlformats.org/officeDocument/2006/relationships/hyperlink" Target="https://tannskjema.no" TargetMode="External"/><Relationship Id="rId228" Type="http://schemas.openxmlformats.org/officeDocument/2006/relationships/hyperlink" Target="https://tannskjema.no/groruddalen-tannlegesenter" TargetMode="External"/><Relationship Id="rId227" Type="http://schemas.openxmlformats.org/officeDocument/2006/relationships/hyperlink" Target="https://tannskjema.no" TargetMode="External"/><Relationship Id="rId469" Type="http://schemas.openxmlformats.org/officeDocument/2006/relationships/hyperlink" Target="https://tannskjema.no" TargetMode="External"/><Relationship Id="rId226" Type="http://schemas.openxmlformats.org/officeDocument/2006/relationships/hyperlink" Target="https://tannskjema.no/groruddalen-tannlegesenter" TargetMode="External"/><Relationship Id="rId468" Type="http://schemas.openxmlformats.org/officeDocument/2006/relationships/hyperlink" Target="https://tannskjema.no/groruddalen-tannlegesenter" TargetMode="External"/><Relationship Id="rId225" Type="http://schemas.openxmlformats.org/officeDocument/2006/relationships/hyperlink" Target="https://tannskjema.no" TargetMode="External"/><Relationship Id="rId467" Type="http://schemas.openxmlformats.org/officeDocument/2006/relationships/hyperlink" Target="https://tannskjema.no" TargetMode="External"/><Relationship Id="rId229" Type="http://schemas.openxmlformats.org/officeDocument/2006/relationships/hyperlink" Target="https://tannskjema.no" TargetMode="External"/><Relationship Id="rId1050" Type="http://schemas.openxmlformats.org/officeDocument/2006/relationships/hyperlink" Target="https://tannskjema.no/groruddalen-tannlegesenter" TargetMode="External"/><Relationship Id="rId220" Type="http://schemas.openxmlformats.org/officeDocument/2006/relationships/hyperlink" Target="https://tannskjema.no/groruddalen-tannlegesenter" TargetMode="External"/><Relationship Id="rId462" Type="http://schemas.openxmlformats.org/officeDocument/2006/relationships/hyperlink" Target="https://tannskjema.no/groruddalen-tannlegesenter" TargetMode="External"/><Relationship Id="rId1051" Type="http://schemas.openxmlformats.org/officeDocument/2006/relationships/hyperlink" Target="https://tannskjema.no" TargetMode="External"/><Relationship Id="rId461" Type="http://schemas.openxmlformats.org/officeDocument/2006/relationships/hyperlink" Target="https://tannskjema.no" TargetMode="External"/><Relationship Id="rId1052" Type="http://schemas.openxmlformats.org/officeDocument/2006/relationships/hyperlink" Target="https://tannskjema.no/groruddalen-tannlegesenter" TargetMode="External"/><Relationship Id="rId460" Type="http://schemas.openxmlformats.org/officeDocument/2006/relationships/hyperlink" Target="https://tannskjema.no/groruddalen-tannlegesenter" TargetMode="External"/><Relationship Id="rId1053" Type="http://schemas.openxmlformats.org/officeDocument/2006/relationships/hyperlink" Target="https://tannskjema.no" TargetMode="External"/><Relationship Id="rId1054" Type="http://schemas.openxmlformats.org/officeDocument/2006/relationships/hyperlink" Target="https://tannskjema.no/groruddalen-tannlegesenter" TargetMode="External"/><Relationship Id="rId224" Type="http://schemas.openxmlformats.org/officeDocument/2006/relationships/hyperlink" Target="https://tannskjema.no/groruddalen-tannlegesenter" TargetMode="External"/><Relationship Id="rId466" Type="http://schemas.openxmlformats.org/officeDocument/2006/relationships/hyperlink" Target="https://tannskjema.no/groruddalen-tannlegesenter" TargetMode="External"/><Relationship Id="rId1055" Type="http://schemas.openxmlformats.org/officeDocument/2006/relationships/hyperlink" Target="https://tannskjema.no" TargetMode="External"/><Relationship Id="rId223" Type="http://schemas.openxmlformats.org/officeDocument/2006/relationships/hyperlink" Target="https://tannskjema.no" TargetMode="External"/><Relationship Id="rId465" Type="http://schemas.openxmlformats.org/officeDocument/2006/relationships/hyperlink" Target="https://tannskjema.no" TargetMode="External"/><Relationship Id="rId1056" Type="http://schemas.openxmlformats.org/officeDocument/2006/relationships/hyperlink" Target="https://tannskjema.no/groruddalen-tannlegesenter" TargetMode="External"/><Relationship Id="rId222" Type="http://schemas.openxmlformats.org/officeDocument/2006/relationships/hyperlink" Target="https://tannskjema.no/groruddalen-tannlegesenter" TargetMode="External"/><Relationship Id="rId464" Type="http://schemas.openxmlformats.org/officeDocument/2006/relationships/hyperlink" Target="https://tannskjema.no/groruddalen-tannlegesenter" TargetMode="External"/><Relationship Id="rId1057" Type="http://schemas.openxmlformats.org/officeDocument/2006/relationships/hyperlink" Target="https://tannskjema.no" TargetMode="External"/><Relationship Id="rId221" Type="http://schemas.openxmlformats.org/officeDocument/2006/relationships/hyperlink" Target="https://tannskjema.no" TargetMode="External"/><Relationship Id="rId463" Type="http://schemas.openxmlformats.org/officeDocument/2006/relationships/hyperlink" Target="https://tannskjema.no" TargetMode="External"/><Relationship Id="rId1058" Type="http://schemas.openxmlformats.org/officeDocument/2006/relationships/hyperlink" Target="https://tannskjema.no/groruddalen-tannlegesenter" TargetMode="External"/><Relationship Id="rId1048" Type="http://schemas.openxmlformats.org/officeDocument/2006/relationships/hyperlink" Target="https://tannskjema.no/groruddalen-tannlegesenter" TargetMode="External"/><Relationship Id="rId1049" Type="http://schemas.openxmlformats.org/officeDocument/2006/relationships/hyperlink" Target="https://tannskjema.no" TargetMode="External"/><Relationship Id="rId217" Type="http://schemas.openxmlformats.org/officeDocument/2006/relationships/hyperlink" Target="https://tannskjema.no" TargetMode="External"/><Relationship Id="rId459" Type="http://schemas.openxmlformats.org/officeDocument/2006/relationships/hyperlink" Target="https://tannskjema.no" TargetMode="External"/><Relationship Id="rId216" Type="http://schemas.openxmlformats.org/officeDocument/2006/relationships/hyperlink" Target="https://tannskjema.no/groruddalen-tannlegesenter" TargetMode="External"/><Relationship Id="rId458" Type="http://schemas.openxmlformats.org/officeDocument/2006/relationships/hyperlink" Target="https://tannskjema.no/groruddalen-tannlegesenter" TargetMode="External"/><Relationship Id="rId215" Type="http://schemas.openxmlformats.org/officeDocument/2006/relationships/hyperlink" Target="https://tannskjema.no" TargetMode="External"/><Relationship Id="rId457" Type="http://schemas.openxmlformats.org/officeDocument/2006/relationships/hyperlink" Target="https://tannskjema.no" TargetMode="External"/><Relationship Id="rId699" Type="http://schemas.openxmlformats.org/officeDocument/2006/relationships/hyperlink" Target="https://tannskjema.no" TargetMode="External"/><Relationship Id="rId214" Type="http://schemas.openxmlformats.org/officeDocument/2006/relationships/hyperlink" Target="https://tannskjema.no/groruddalen-tannlegesenter" TargetMode="External"/><Relationship Id="rId456" Type="http://schemas.openxmlformats.org/officeDocument/2006/relationships/hyperlink" Target="https://tannskjema.no/groruddalen-tannlegesenter" TargetMode="External"/><Relationship Id="rId698" Type="http://schemas.openxmlformats.org/officeDocument/2006/relationships/hyperlink" Target="https://tannskjema.no/groruddalen-tannlegesenter" TargetMode="External"/><Relationship Id="rId219" Type="http://schemas.openxmlformats.org/officeDocument/2006/relationships/hyperlink" Target="https://tannskjema.no" TargetMode="External"/><Relationship Id="rId218" Type="http://schemas.openxmlformats.org/officeDocument/2006/relationships/hyperlink" Target="https://tannskjema.no/groruddalen-tannlegesenter" TargetMode="External"/><Relationship Id="rId451" Type="http://schemas.openxmlformats.org/officeDocument/2006/relationships/hyperlink" Target="https://tannskjema.no" TargetMode="External"/><Relationship Id="rId693" Type="http://schemas.openxmlformats.org/officeDocument/2006/relationships/hyperlink" Target="https://tannskjema.no" TargetMode="External"/><Relationship Id="rId1040" Type="http://schemas.openxmlformats.org/officeDocument/2006/relationships/hyperlink" Target="https://tannskjema.no/groruddalen-tannlegesenter" TargetMode="External"/><Relationship Id="rId450" Type="http://schemas.openxmlformats.org/officeDocument/2006/relationships/hyperlink" Target="https://tannskjema.no/groruddalen-tannlegesenter" TargetMode="External"/><Relationship Id="rId692" Type="http://schemas.openxmlformats.org/officeDocument/2006/relationships/hyperlink" Target="https://tannskjema.no/groruddalen-tannlegesenter" TargetMode="External"/><Relationship Id="rId1041" Type="http://schemas.openxmlformats.org/officeDocument/2006/relationships/hyperlink" Target="https://tannskjema.no" TargetMode="External"/><Relationship Id="rId691" Type="http://schemas.openxmlformats.org/officeDocument/2006/relationships/hyperlink" Target="https://tannskjema.no" TargetMode="External"/><Relationship Id="rId1042" Type="http://schemas.openxmlformats.org/officeDocument/2006/relationships/hyperlink" Target="https://tannskjema.no/groruddalen-tannlegesenter" TargetMode="External"/><Relationship Id="rId690" Type="http://schemas.openxmlformats.org/officeDocument/2006/relationships/hyperlink" Target="https://tannskjema.no/groruddalen-tannlegesenter" TargetMode="External"/><Relationship Id="rId1043" Type="http://schemas.openxmlformats.org/officeDocument/2006/relationships/hyperlink" Target="https://tannskjema.no" TargetMode="External"/><Relationship Id="rId213" Type="http://schemas.openxmlformats.org/officeDocument/2006/relationships/hyperlink" Target="https://tannskjema.no" TargetMode="External"/><Relationship Id="rId455" Type="http://schemas.openxmlformats.org/officeDocument/2006/relationships/hyperlink" Target="https://tannskjema.no" TargetMode="External"/><Relationship Id="rId697" Type="http://schemas.openxmlformats.org/officeDocument/2006/relationships/hyperlink" Target="https://tannskjema.no" TargetMode="External"/><Relationship Id="rId1044" Type="http://schemas.openxmlformats.org/officeDocument/2006/relationships/hyperlink" Target="https://tannskjema.no/groruddalen-tannlegesenter" TargetMode="External"/><Relationship Id="rId212" Type="http://schemas.openxmlformats.org/officeDocument/2006/relationships/hyperlink" Target="https://tannskjema.no/groruddalen-tannlegesenter" TargetMode="External"/><Relationship Id="rId454" Type="http://schemas.openxmlformats.org/officeDocument/2006/relationships/hyperlink" Target="https://tannskjema.no/groruddalen-tannlegesenter" TargetMode="External"/><Relationship Id="rId696" Type="http://schemas.openxmlformats.org/officeDocument/2006/relationships/hyperlink" Target="https://tannskjema.no/groruddalen-tannlegesenter" TargetMode="External"/><Relationship Id="rId1045" Type="http://schemas.openxmlformats.org/officeDocument/2006/relationships/hyperlink" Target="https://tannskjema.no" TargetMode="External"/><Relationship Id="rId211" Type="http://schemas.openxmlformats.org/officeDocument/2006/relationships/hyperlink" Target="https://tannskjema.no" TargetMode="External"/><Relationship Id="rId453" Type="http://schemas.openxmlformats.org/officeDocument/2006/relationships/hyperlink" Target="https://tannskjema.no" TargetMode="External"/><Relationship Id="rId695" Type="http://schemas.openxmlformats.org/officeDocument/2006/relationships/hyperlink" Target="https://tannskjema.no" TargetMode="External"/><Relationship Id="rId1046" Type="http://schemas.openxmlformats.org/officeDocument/2006/relationships/hyperlink" Target="https://tannskjema.no/groruddalen-tannlegesenter" TargetMode="External"/><Relationship Id="rId210" Type="http://schemas.openxmlformats.org/officeDocument/2006/relationships/hyperlink" Target="https://tannskjema.no/groruddalen-tannlegesenter" TargetMode="External"/><Relationship Id="rId452" Type="http://schemas.openxmlformats.org/officeDocument/2006/relationships/hyperlink" Target="https://tannskjema.no/groruddalen-tannlegesenter" TargetMode="External"/><Relationship Id="rId694" Type="http://schemas.openxmlformats.org/officeDocument/2006/relationships/hyperlink" Target="https://tannskjema.no/groruddalen-tannlegesenter" TargetMode="External"/><Relationship Id="rId1047" Type="http://schemas.openxmlformats.org/officeDocument/2006/relationships/hyperlink" Target="https://tannskjema.no" TargetMode="External"/><Relationship Id="rId491" Type="http://schemas.openxmlformats.org/officeDocument/2006/relationships/hyperlink" Target="https://tannskjema.no" TargetMode="External"/><Relationship Id="rId490" Type="http://schemas.openxmlformats.org/officeDocument/2006/relationships/hyperlink" Target="https://tannskjema.no/groruddalen-tannlegesenter" TargetMode="External"/><Relationship Id="rId249" Type="http://schemas.openxmlformats.org/officeDocument/2006/relationships/hyperlink" Target="https://tannskjema.no" TargetMode="External"/><Relationship Id="rId248" Type="http://schemas.openxmlformats.org/officeDocument/2006/relationships/hyperlink" Target="https://tannskjema.no/groruddalen-tannlegesenter" TargetMode="External"/><Relationship Id="rId247" Type="http://schemas.openxmlformats.org/officeDocument/2006/relationships/hyperlink" Target="https://tannskjema.no" TargetMode="External"/><Relationship Id="rId489" Type="http://schemas.openxmlformats.org/officeDocument/2006/relationships/hyperlink" Target="https://tannskjema.no" TargetMode="External"/><Relationship Id="rId1070" Type="http://schemas.openxmlformats.org/officeDocument/2006/relationships/hyperlink" Target="https://tannskjema.no/groruddalen-tannlegesenter" TargetMode="External"/><Relationship Id="rId1071" Type="http://schemas.openxmlformats.org/officeDocument/2006/relationships/hyperlink" Target="https://tannskjema.no" TargetMode="External"/><Relationship Id="rId1072" Type="http://schemas.openxmlformats.org/officeDocument/2006/relationships/hyperlink" Target="https://tannskjema.no/groruddalen-tannlegesenter" TargetMode="External"/><Relationship Id="rId242" Type="http://schemas.openxmlformats.org/officeDocument/2006/relationships/hyperlink" Target="https://tannskjema.no/groruddalen-tannlegesenter" TargetMode="External"/><Relationship Id="rId484" Type="http://schemas.openxmlformats.org/officeDocument/2006/relationships/hyperlink" Target="https://tannskjema.no/groruddalen-tannlegesenter" TargetMode="External"/><Relationship Id="rId1073" Type="http://schemas.openxmlformats.org/officeDocument/2006/relationships/hyperlink" Target="https://tannskjema.no" TargetMode="External"/><Relationship Id="rId241" Type="http://schemas.openxmlformats.org/officeDocument/2006/relationships/hyperlink" Target="https://tannskjema.no" TargetMode="External"/><Relationship Id="rId483" Type="http://schemas.openxmlformats.org/officeDocument/2006/relationships/hyperlink" Target="https://tannskjema.no" TargetMode="External"/><Relationship Id="rId1074" Type="http://schemas.openxmlformats.org/officeDocument/2006/relationships/hyperlink" Target="https://tannskjema.no/groruddalen-tannlegesenter" TargetMode="External"/><Relationship Id="rId240" Type="http://schemas.openxmlformats.org/officeDocument/2006/relationships/hyperlink" Target="https://tannskjema.no/groruddalen-tannlegesenter" TargetMode="External"/><Relationship Id="rId482" Type="http://schemas.openxmlformats.org/officeDocument/2006/relationships/hyperlink" Target="https://tannskjema.no/groruddalen-tannlegesenter" TargetMode="External"/><Relationship Id="rId1075" Type="http://schemas.openxmlformats.org/officeDocument/2006/relationships/hyperlink" Target="https://tannskjema.no" TargetMode="External"/><Relationship Id="rId481" Type="http://schemas.openxmlformats.org/officeDocument/2006/relationships/hyperlink" Target="https://tannskjema.no" TargetMode="External"/><Relationship Id="rId1076" Type="http://schemas.openxmlformats.org/officeDocument/2006/relationships/hyperlink" Target="https://tannskjema.no/groruddalen-tannlegesenter" TargetMode="External"/><Relationship Id="rId246" Type="http://schemas.openxmlformats.org/officeDocument/2006/relationships/hyperlink" Target="https://tannskjema.no/groruddalen-tannlegesenter" TargetMode="External"/><Relationship Id="rId488" Type="http://schemas.openxmlformats.org/officeDocument/2006/relationships/hyperlink" Target="https://tannskjema.no/groruddalen-tannlegesenter" TargetMode="External"/><Relationship Id="rId1077" Type="http://schemas.openxmlformats.org/officeDocument/2006/relationships/hyperlink" Target="https://tannskjema.no" TargetMode="External"/><Relationship Id="rId245" Type="http://schemas.openxmlformats.org/officeDocument/2006/relationships/hyperlink" Target="https://tannskjema.no" TargetMode="External"/><Relationship Id="rId487" Type="http://schemas.openxmlformats.org/officeDocument/2006/relationships/hyperlink" Target="https://tannskjema.no" TargetMode="External"/><Relationship Id="rId1078" Type="http://schemas.openxmlformats.org/officeDocument/2006/relationships/hyperlink" Target="https://tannskjema.no/groruddalen-tannlegesenter" TargetMode="External"/><Relationship Id="rId244" Type="http://schemas.openxmlformats.org/officeDocument/2006/relationships/hyperlink" Target="https://tannskjema.no/groruddalen-tannlegesenter" TargetMode="External"/><Relationship Id="rId486" Type="http://schemas.openxmlformats.org/officeDocument/2006/relationships/hyperlink" Target="https://tannskjema.no/groruddalen-tannlegesenter" TargetMode="External"/><Relationship Id="rId1079" Type="http://schemas.openxmlformats.org/officeDocument/2006/relationships/hyperlink" Target="https://tannskjema.no" TargetMode="External"/><Relationship Id="rId243" Type="http://schemas.openxmlformats.org/officeDocument/2006/relationships/hyperlink" Target="https://tannskjema.no" TargetMode="External"/><Relationship Id="rId485" Type="http://schemas.openxmlformats.org/officeDocument/2006/relationships/hyperlink" Target="https://tannskjema.no" TargetMode="External"/><Relationship Id="rId480" Type="http://schemas.openxmlformats.org/officeDocument/2006/relationships/hyperlink" Target="https://tannskjema.no/groruddalen-tannlegesenter" TargetMode="External"/><Relationship Id="rId239" Type="http://schemas.openxmlformats.org/officeDocument/2006/relationships/hyperlink" Target="https://tannskjema.no" TargetMode="External"/><Relationship Id="rId238" Type="http://schemas.openxmlformats.org/officeDocument/2006/relationships/hyperlink" Target="https://tannskjema.no/groruddalen-tannlegesenter" TargetMode="External"/><Relationship Id="rId237" Type="http://schemas.openxmlformats.org/officeDocument/2006/relationships/hyperlink" Target="https://tannskjema.no" TargetMode="External"/><Relationship Id="rId479" Type="http://schemas.openxmlformats.org/officeDocument/2006/relationships/hyperlink" Target="https://tannskjema.no" TargetMode="External"/><Relationship Id="rId236" Type="http://schemas.openxmlformats.org/officeDocument/2006/relationships/hyperlink" Target="https://tannskjema.no/groruddalen-tannlegesenter" TargetMode="External"/><Relationship Id="rId478" Type="http://schemas.openxmlformats.org/officeDocument/2006/relationships/hyperlink" Target="https://tannskjema.no/groruddalen-tannlegesenter" TargetMode="External"/><Relationship Id="rId1060" Type="http://schemas.openxmlformats.org/officeDocument/2006/relationships/hyperlink" Target="https://tannskjema.no/groruddalen-tannlegesenter" TargetMode="External"/><Relationship Id="rId1061" Type="http://schemas.openxmlformats.org/officeDocument/2006/relationships/hyperlink" Target="https://tannskjema.no" TargetMode="External"/><Relationship Id="rId231" Type="http://schemas.openxmlformats.org/officeDocument/2006/relationships/hyperlink" Target="https://tannskjema.no" TargetMode="External"/><Relationship Id="rId473" Type="http://schemas.openxmlformats.org/officeDocument/2006/relationships/hyperlink" Target="https://tannskjema.no" TargetMode="External"/><Relationship Id="rId1062" Type="http://schemas.openxmlformats.org/officeDocument/2006/relationships/hyperlink" Target="https://tannskjema.no/groruddalen-tannlegesenter" TargetMode="External"/><Relationship Id="rId230" Type="http://schemas.openxmlformats.org/officeDocument/2006/relationships/hyperlink" Target="https://tannskjema.no/groruddalen-tannlegesenter" TargetMode="External"/><Relationship Id="rId472" Type="http://schemas.openxmlformats.org/officeDocument/2006/relationships/hyperlink" Target="https://tannskjema.no/groruddalen-tannlegesenter" TargetMode="External"/><Relationship Id="rId1063" Type="http://schemas.openxmlformats.org/officeDocument/2006/relationships/hyperlink" Target="https://tannskjema.no" TargetMode="External"/><Relationship Id="rId471" Type="http://schemas.openxmlformats.org/officeDocument/2006/relationships/hyperlink" Target="https://tannskjema.no" TargetMode="External"/><Relationship Id="rId1064" Type="http://schemas.openxmlformats.org/officeDocument/2006/relationships/hyperlink" Target="https://tannskjema.no/groruddalen-tannlegesenter" TargetMode="External"/><Relationship Id="rId470" Type="http://schemas.openxmlformats.org/officeDocument/2006/relationships/hyperlink" Target="https://tannskjema.no/groruddalen-tannlegesenter" TargetMode="External"/><Relationship Id="rId1065" Type="http://schemas.openxmlformats.org/officeDocument/2006/relationships/hyperlink" Target="https://tannskjema.no" TargetMode="External"/><Relationship Id="rId235" Type="http://schemas.openxmlformats.org/officeDocument/2006/relationships/hyperlink" Target="https://tannskjema.no" TargetMode="External"/><Relationship Id="rId477" Type="http://schemas.openxmlformats.org/officeDocument/2006/relationships/hyperlink" Target="https://tannskjema.no" TargetMode="External"/><Relationship Id="rId1066" Type="http://schemas.openxmlformats.org/officeDocument/2006/relationships/hyperlink" Target="https://tannskjema.no/groruddalen-tannlegesenter" TargetMode="External"/><Relationship Id="rId234" Type="http://schemas.openxmlformats.org/officeDocument/2006/relationships/hyperlink" Target="https://tannskjema.no/groruddalen-tannlegesenter" TargetMode="External"/><Relationship Id="rId476" Type="http://schemas.openxmlformats.org/officeDocument/2006/relationships/hyperlink" Target="https://tannskjema.no/groruddalen-tannlegesenter" TargetMode="External"/><Relationship Id="rId1067" Type="http://schemas.openxmlformats.org/officeDocument/2006/relationships/hyperlink" Target="https://tannskjema.no" TargetMode="External"/><Relationship Id="rId233" Type="http://schemas.openxmlformats.org/officeDocument/2006/relationships/hyperlink" Target="https://tannskjema.no" TargetMode="External"/><Relationship Id="rId475" Type="http://schemas.openxmlformats.org/officeDocument/2006/relationships/hyperlink" Target="https://tannskjema.no" TargetMode="External"/><Relationship Id="rId1068" Type="http://schemas.openxmlformats.org/officeDocument/2006/relationships/hyperlink" Target="https://tannskjema.no/groruddalen-tannlegesenter" TargetMode="External"/><Relationship Id="rId232" Type="http://schemas.openxmlformats.org/officeDocument/2006/relationships/hyperlink" Target="https://tannskjema.no/groruddalen-tannlegesenter" TargetMode="External"/><Relationship Id="rId474" Type="http://schemas.openxmlformats.org/officeDocument/2006/relationships/hyperlink" Target="https://tannskjema.no/groruddalen-tannlegesenter" TargetMode="External"/><Relationship Id="rId1069" Type="http://schemas.openxmlformats.org/officeDocument/2006/relationships/hyperlink" Target="https://tannskjema.no" TargetMode="External"/><Relationship Id="rId1015" Type="http://schemas.openxmlformats.org/officeDocument/2006/relationships/hyperlink" Target="https://tannskjema.no" TargetMode="External"/><Relationship Id="rId1016" Type="http://schemas.openxmlformats.org/officeDocument/2006/relationships/hyperlink" Target="https://tannskjema.no/groruddalen-tannlegesenter" TargetMode="External"/><Relationship Id="rId1017" Type="http://schemas.openxmlformats.org/officeDocument/2006/relationships/hyperlink" Target="https://tannskjema.no" TargetMode="External"/><Relationship Id="rId1018" Type="http://schemas.openxmlformats.org/officeDocument/2006/relationships/hyperlink" Target="https://tannskjema.no/groruddalen-tannlegesenter" TargetMode="External"/><Relationship Id="rId1019" Type="http://schemas.openxmlformats.org/officeDocument/2006/relationships/hyperlink" Target="https://tannskjema.no" TargetMode="External"/><Relationship Id="rId426" Type="http://schemas.openxmlformats.org/officeDocument/2006/relationships/hyperlink" Target="https://tannskjema.no/groruddalen-tannlegesenter" TargetMode="External"/><Relationship Id="rId668" Type="http://schemas.openxmlformats.org/officeDocument/2006/relationships/hyperlink" Target="https://tannskjema.no/groruddalen-tannlegesenter" TargetMode="External"/><Relationship Id="rId425" Type="http://schemas.openxmlformats.org/officeDocument/2006/relationships/hyperlink" Target="https://tannskjema.no" TargetMode="External"/><Relationship Id="rId667" Type="http://schemas.openxmlformats.org/officeDocument/2006/relationships/hyperlink" Target="https://tannskjema.no" TargetMode="External"/><Relationship Id="rId424" Type="http://schemas.openxmlformats.org/officeDocument/2006/relationships/hyperlink" Target="https://tannskjema.no/groruddalen-tannlegesenter" TargetMode="External"/><Relationship Id="rId666" Type="http://schemas.openxmlformats.org/officeDocument/2006/relationships/hyperlink" Target="https://tannskjema.no/groruddalen-tannlegesenter" TargetMode="External"/><Relationship Id="rId423" Type="http://schemas.openxmlformats.org/officeDocument/2006/relationships/hyperlink" Target="https://tannskjema.no" TargetMode="External"/><Relationship Id="rId665" Type="http://schemas.openxmlformats.org/officeDocument/2006/relationships/hyperlink" Target="https://tannskjema.no" TargetMode="External"/><Relationship Id="rId429" Type="http://schemas.openxmlformats.org/officeDocument/2006/relationships/hyperlink" Target="https://tannskjema.no" TargetMode="External"/><Relationship Id="rId428" Type="http://schemas.openxmlformats.org/officeDocument/2006/relationships/hyperlink" Target="https://tannskjema.no/groruddalen-tannlegesenter" TargetMode="External"/><Relationship Id="rId427" Type="http://schemas.openxmlformats.org/officeDocument/2006/relationships/hyperlink" Target="https://tannskjema.no" TargetMode="External"/><Relationship Id="rId669" Type="http://schemas.openxmlformats.org/officeDocument/2006/relationships/hyperlink" Target="https://tannskjema.no" TargetMode="External"/><Relationship Id="rId660" Type="http://schemas.openxmlformats.org/officeDocument/2006/relationships/hyperlink" Target="https://tannskjema.no/groruddalen-tannlegesenter" TargetMode="External"/><Relationship Id="rId1010" Type="http://schemas.openxmlformats.org/officeDocument/2006/relationships/hyperlink" Target="https://tannskjema.no/groruddalen-tannlegesenter" TargetMode="External"/><Relationship Id="rId422" Type="http://schemas.openxmlformats.org/officeDocument/2006/relationships/hyperlink" Target="https://tannskjema.no/groruddalen-tannlegesenter" TargetMode="External"/><Relationship Id="rId664" Type="http://schemas.openxmlformats.org/officeDocument/2006/relationships/hyperlink" Target="https://tannskjema.no/groruddalen-tannlegesenter" TargetMode="External"/><Relationship Id="rId1011" Type="http://schemas.openxmlformats.org/officeDocument/2006/relationships/hyperlink" Target="https://tannskjema.no" TargetMode="External"/><Relationship Id="rId421" Type="http://schemas.openxmlformats.org/officeDocument/2006/relationships/hyperlink" Target="https://tannskjema.no" TargetMode="External"/><Relationship Id="rId663" Type="http://schemas.openxmlformats.org/officeDocument/2006/relationships/hyperlink" Target="https://tannskjema.no" TargetMode="External"/><Relationship Id="rId1012" Type="http://schemas.openxmlformats.org/officeDocument/2006/relationships/hyperlink" Target="https://tannskjema.no/groruddalen-tannlegesenter" TargetMode="External"/><Relationship Id="rId420" Type="http://schemas.openxmlformats.org/officeDocument/2006/relationships/hyperlink" Target="https://tannskjema.no/groruddalen-tannlegesenter" TargetMode="External"/><Relationship Id="rId662" Type="http://schemas.openxmlformats.org/officeDocument/2006/relationships/hyperlink" Target="https://tannskjema.no/groruddalen-tannlegesenter" TargetMode="External"/><Relationship Id="rId1013" Type="http://schemas.openxmlformats.org/officeDocument/2006/relationships/hyperlink" Target="https://tannskjema.no" TargetMode="External"/><Relationship Id="rId661" Type="http://schemas.openxmlformats.org/officeDocument/2006/relationships/hyperlink" Target="https://tannskjema.no" TargetMode="External"/><Relationship Id="rId1014" Type="http://schemas.openxmlformats.org/officeDocument/2006/relationships/hyperlink" Target="https://tannskjema.no/groruddalen-tannlegesenter" TargetMode="External"/><Relationship Id="rId1004" Type="http://schemas.openxmlformats.org/officeDocument/2006/relationships/hyperlink" Target="https://tannskjema.no/groruddalen-tannlegesenter" TargetMode="External"/><Relationship Id="rId1005" Type="http://schemas.openxmlformats.org/officeDocument/2006/relationships/hyperlink" Target="https://tannskjema.no" TargetMode="External"/><Relationship Id="rId1006" Type="http://schemas.openxmlformats.org/officeDocument/2006/relationships/hyperlink" Target="https://tannskjema.no/groruddalen-tannlegesenter" TargetMode="External"/><Relationship Id="rId1007" Type="http://schemas.openxmlformats.org/officeDocument/2006/relationships/hyperlink" Target="https://tannskjema.no" TargetMode="External"/><Relationship Id="rId1008" Type="http://schemas.openxmlformats.org/officeDocument/2006/relationships/hyperlink" Target="https://tannskjema.no/groruddalen-tannlegesenter" TargetMode="External"/><Relationship Id="rId1009" Type="http://schemas.openxmlformats.org/officeDocument/2006/relationships/hyperlink" Target="https://tannskjema.no" TargetMode="External"/><Relationship Id="rId415" Type="http://schemas.openxmlformats.org/officeDocument/2006/relationships/hyperlink" Target="https://tannskjema.no" TargetMode="External"/><Relationship Id="rId657" Type="http://schemas.openxmlformats.org/officeDocument/2006/relationships/hyperlink" Target="https://tannskjema.no" TargetMode="External"/><Relationship Id="rId899" Type="http://schemas.openxmlformats.org/officeDocument/2006/relationships/hyperlink" Target="https://tannskjema.no" TargetMode="External"/><Relationship Id="rId414" Type="http://schemas.openxmlformats.org/officeDocument/2006/relationships/hyperlink" Target="https://tannskjema.no/groruddalen-tannlegesenter" TargetMode="External"/><Relationship Id="rId656" Type="http://schemas.openxmlformats.org/officeDocument/2006/relationships/hyperlink" Target="https://tannskjema.no/groruddalen-tannlegesenter" TargetMode="External"/><Relationship Id="rId898" Type="http://schemas.openxmlformats.org/officeDocument/2006/relationships/hyperlink" Target="https://tannskjema.no/groruddalen-tannlegesenter" TargetMode="External"/><Relationship Id="rId413" Type="http://schemas.openxmlformats.org/officeDocument/2006/relationships/hyperlink" Target="https://tannskjema.no" TargetMode="External"/><Relationship Id="rId655" Type="http://schemas.openxmlformats.org/officeDocument/2006/relationships/hyperlink" Target="https://tannskjema.no" TargetMode="External"/><Relationship Id="rId897" Type="http://schemas.openxmlformats.org/officeDocument/2006/relationships/hyperlink" Target="https://tannskjema.no" TargetMode="External"/><Relationship Id="rId412" Type="http://schemas.openxmlformats.org/officeDocument/2006/relationships/hyperlink" Target="https://tannskjema.no/groruddalen-tannlegesenter" TargetMode="External"/><Relationship Id="rId654" Type="http://schemas.openxmlformats.org/officeDocument/2006/relationships/hyperlink" Target="https://tannskjema.no/groruddalen-tannlegesenter" TargetMode="External"/><Relationship Id="rId896" Type="http://schemas.openxmlformats.org/officeDocument/2006/relationships/hyperlink" Target="https://tannskjema.no/groruddalen-tannlegesenter" TargetMode="External"/><Relationship Id="rId419" Type="http://schemas.openxmlformats.org/officeDocument/2006/relationships/hyperlink" Target="https://tannskjema.no" TargetMode="External"/><Relationship Id="rId418" Type="http://schemas.openxmlformats.org/officeDocument/2006/relationships/hyperlink" Target="https://tannskjema.no/groruddalen-tannlegesenter" TargetMode="External"/><Relationship Id="rId417" Type="http://schemas.openxmlformats.org/officeDocument/2006/relationships/hyperlink" Target="https://tannskjema.no" TargetMode="External"/><Relationship Id="rId659" Type="http://schemas.openxmlformats.org/officeDocument/2006/relationships/hyperlink" Target="https://tannskjema.no" TargetMode="External"/><Relationship Id="rId416" Type="http://schemas.openxmlformats.org/officeDocument/2006/relationships/hyperlink" Target="https://tannskjema.no/groruddalen-tannlegesenter" TargetMode="External"/><Relationship Id="rId658" Type="http://schemas.openxmlformats.org/officeDocument/2006/relationships/hyperlink" Target="https://tannskjema.no/groruddalen-tannlegesenter" TargetMode="External"/><Relationship Id="rId891" Type="http://schemas.openxmlformats.org/officeDocument/2006/relationships/hyperlink" Target="https://tannskjema.no" TargetMode="External"/><Relationship Id="rId890" Type="http://schemas.openxmlformats.org/officeDocument/2006/relationships/hyperlink" Target="https://tannskjema.no/groruddalen-tannlegesenter" TargetMode="External"/><Relationship Id="rId411" Type="http://schemas.openxmlformats.org/officeDocument/2006/relationships/hyperlink" Target="https://tannskjema.no" TargetMode="External"/><Relationship Id="rId653" Type="http://schemas.openxmlformats.org/officeDocument/2006/relationships/hyperlink" Target="https://tannskjema.no" TargetMode="External"/><Relationship Id="rId895" Type="http://schemas.openxmlformats.org/officeDocument/2006/relationships/hyperlink" Target="https://tannskjema.no" TargetMode="External"/><Relationship Id="rId1000" Type="http://schemas.openxmlformats.org/officeDocument/2006/relationships/hyperlink" Target="https://tannskjema.no/groruddalen-tannlegesenter" TargetMode="External"/><Relationship Id="rId410" Type="http://schemas.openxmlformats.org/officeDocument/2006/relationships/hyperlink" Target="https://tannskjema.no/groruddalen-tannlegesenter" TargetMode="External"/><Relationship Id="rId652" Type="http://schemas.openxmlformats.org/officeDocument/2006/relationships/hyperlink" Target="https://tannskjema.no/groruddalen-tannlegesenter" TargetMode="External"/><Relationship Id="rId894" Type="http://schemas.openxmlformats.org/officeDocument/2006/relationships/hyperlink" Target="https://tannskjema.no/groruddalen-tannlegesenter" TargetMode="External"/><Relationship Id="rId1001" Type="http://schemas.openxmlformats.org/officeDocument/2006/relationships/hyperlink" Target="https://tannskjema.no" TargetMode="External"/><Relationship Id="rId651" Type="http://schemas.openxmlformats.org/officeDocument/2006/relationships/hyperlink" Target="https://tannskjema.no" TargetMode="External"/><Relationship Id="rId893" Type="http://schemas.openxmlformats.org/officeDocument/2006/relationships/hyperlink" Target="https://tannskjema.no" TargetMode="External"/><Relationship Id="rId1002" Type="http://schemas.openxmlformats.org/officeDocument/2006/relationships/hyperlink" Target="https://tannskjema.no/groruddalen-tannlegesenter" TargetMode="External"/><Relationship Id="rId650" Type="http://schemas.openxmlformats.org/officeDocument/2006/relationships/hyperlink" Target="https://tannskjema.no/groruddalen-tannlegesenter" TargetMode="External"/><Relationship Id="rId892" Type="http://schemas.openxmlformats.org/officeDocument/2006/relationships/hyperlink" Target="https://tannskjema.no/groruddalen-tannlegesenter" TargetMode="External"/><Relationship Id="rId1003" Type="http://schemas.openxmlformats.org/officeDocument/2006/relationships/hyperlink" Target="https://tannskjema.no" TargetMode="External"/><Relationship Id="rId1037" Type="http://schemas.openxmlformats.org/officeDocument/2006/relationships/hyperlink" Target="https://tannskjema.no" TargetMode="External"/><Relationship Id="rId1038" Type="http://schemas.openxmlformats.org/officeDocument/2006/relationships/hyperlink" Target="https://tannskjema.no/groruddalen-tannlegesenter" TargetMode="External"/><Relationship Id="rId1039" Type="http://schemas.openxmlformats.org/officeDocument/2006/relationships/hyperlink" Target="https://tannskjema.no" TargetMode="External"/><Relationship Id="rId206" Type="http://schemas.openxmlformats.org/officeDocument/2006/relationships/hyperlink" Target="https://tannskjema.no/groruddalen-tannlegesenter" TargetMode="External"/><Relationship Id="rId448" Type="http://schemas.openxmlformats.org/officeDocument/2006/relationships/hyperlink" Target="https://tannskjema.no/groruddalen-tannlegesenter" TargetMode="External"/><Relationship Id="rId205" Type="http://schemas.openxmlformats.org/officeDocument/2006/relationships/hyperlink" Target="https://tannskjema.no" TargetMode="External"/><Relationship Id="rId447" Type="http://schemas.openxmlformats.org/officeDocument/2006/relationships/hyperlink" Target="https://tannskjema.no" TargetMode="External"/><Relationship Id="rId689" Type="http://schemas.openxmlformats.org/officeDocument/2006/relationships/hyperlink" Target="https://tannskjema.no" TargetMode="External"/><Relationship Id="rId204" Type="http://schemas.openxmlformats.org/officeDocument/2006/relationships/hyperlink" Target="https://tannskjema.no/groruddalen-tannlegesenter" TargetMode="External"/><Relationship Id="rId446" Type="http://schemas.openxmlformats.org/officeDocument/2006/relationships/hyperlink" Target="https://tannskjema.no/groruddalen-tannlegesenter" TargetMode="External"/><Relationship Id="rId688" Type="http://schemas.openxmlformats.org/officeDocument/2006/relationships/hyperlink" Target="https://tannskjema.no/groruddalen-tannlegesenter" TargetMode="External"/><Relationship Id="rId203" Type="http://schemas.openxmlformats.org/officeDocument/2006/relationships/hyperlink" Target="https://tannskjema.no" TargetMode="External"/><Relationship Id="rId445" Type="http://schemas.openxmlformats.org/officeDocument/2006/relationships/hyperlink" Target="https://tannskjema.no" TargetMode="External"/><Relationship Id="rId687" Type="http://schemas.openxmlformats.org/officeDocument/2006/relationships/hyperlink" Target="https://tannskjema.no" TargetMode="External"/><Relationship Id="rId209" Type="http://schemas.openxmlformats.org/officeDocument/2006/relationships/hyperlink" Target="https://tannskjema.no" TargetMode="External"/><Relationship Id="rId208" Type="http://schemas.openxmlformats.org/officeDocument/2006/relationships/hyperlink" Target="https://tannskjema.no/groruddalen-tannlegesenter" TargetMode="External"/><Relationship Id="rId207" Type="http://schemas.openxmlformats.org/officeDocument/2006/relationships/hyperlink" Target="https://tannskjema.no" TargetMode="External"/><Relationship Id="rId449" Type="http://schemas.openxmlformats.org/officeDocument/2006/relationships/hyperlink" Target="https://tannskjema.no" TargetMode="External"/><Relationship Id="rId440" Type="http://schemas.openxmlformats.org/officeDocument/2006/relationships/hyperlink" Target="https://tannskjema.no/groruddalen-tannlegesenter" TargetMode="External"/><Relationship Id="rId682" Type="http://schemas.openxmlformats.org/officeDocument/2006/relationships/hyperlink" Target="https://tannskjema.no/groruddalen-tannlegesenter" TargetMode="External"/><Relationship Id="rId681" Type="http://schemas.openxmlformats.org/officeDocument/2006/relationships/hyperlink" Target="https://tannskjema.no" TargetMode="External"/><Relationship Id="rId1030" Type="http://schemas.openxmlformats.org/officeDocument/2006/relationships/hyperlink" Target="https://tannskjema.no/groruddalen-tannlegesenter" TargetMode="External"/><Relationship Id="rId680" Type="http://schemas.openxmlformats.org/officeDocument/2006/relationships/hyperlink" Target="https://tannskjema.no/groruddalen-tannlegesenter" TargetMode="External"/><Relationship Id="rId1031" Type="http://schemas.openxmlformats.org/officeDocument/2006/relationships/hyperlink" Target="https://tannskjema.no" TargetMode="External"/><Relationship Id="rId1032" Type="http://schemas.openxmlformats.org/officeDocument/2006/relationships/hyperlink" Target="https://tannskjema.no/groruddalen-tannlegesenter" TargetMode="External"/><Relationship Id="rId202" Type="http://schemas.openxmlformats.org/officeDocument/2006/relationships/hyperlink" Target="https://tannskjema.no/groruddalen-tannlegesenter" TargetMode="External"/><Relationship Id="rId444" Type="http://schemas.openxmlformats.org/officeDocument/2006/relationships/hyperlink" Target="https://tannskjema.no/groruddalen-tannlegesenter" TargetMode="External"/><Relationship Id="rId686" Type="http://schemas.openxmlformats.org/officeDocument/2006/relationships/hyperlink" Target="https://tannskjema.no/groruddalen-tannlegesenter" TargetMode="External"/><Relationship Id="rId1033" Type="http://schemas.openxmlformats.org/officeDocument/2006/relationships/hyperlink" Target="https://tannskjema.no" TargetMode="External"/><Relationship Id="rId201" Type="http://schemas.openxmlformats.org/officeDocument/2006/relationships/hyperlink" Target="https://tannskjema.no" TargetMode="External"/><Relationship Id="rId443" Type="http://schemas.openxmlformats.org/officeDocument/2006/relationships/hyperlink" Target="https://tannskjema.no" TargetMode="External"/><Relationship Id="rId685" Type="http://schemas.openxmlformats.org/officeDocument/2006/relationships/hyperlink" Target="https://tannskjema.no" TargetMode="External"/><Relationship Id="rId1034" Type="http://schemas.openxmlformats.org/officeDocument/2006/relationships/hyperlink" Target="https://tannskjema.no/groruddalen-tannlegesenter" TargetMode="External"/><Relationship Id="rId200" Type="http://schemas.openxmlformats.org/officeDocument/2006/relationships/hyperlink" Target="https://tannskjema.no/groruddalen-tannlegesenter" TargetMode="External"/><Relationship Id="rId442" Type="http://schemas.openxmlformats.org/officeDocument/2006/relationships/hyperlink" Target="https://tannskjema.no/groruddalen-tannlegesenter" TargetMode="External"/><Relationship Id="rId684" Type="http://schemas.openxmlformats.org/officeDocument/2006/relationships/hyperlink" Target="https://tannskjema.no/groruddalen-tannlegesenter" TargetMode="External"/><Relationship Id="rId1035" Type="http://schemas.openxmlformats.org/officeDocument/2006/relationships/hyperlink" Target="https://tannskjema.no" TargetMode="External"/><Relationship Id="rId441" Type="http://schemas.openxmlformats.org/officeDocument/2006/relationships/hyperlink" Target="https://tannskjema.no" TargetMode="External"/><Relationship Id="rId683" Type="http://schemas.openxmlformats.org/officeDocument/2006/relationships/hyperlink" Target="https://tannskjema.no" TargetMode="External"/><Relationship Id="rId1036" Type="http://schemas.openxmlformats.org/officeDocument/2006/relationships/hyperlink" Target="https://tannskjema.no/groruddalen-tannlegesenter" TargetMode="External"/><Relationship Id="rId1026" Type="http://schemas.openxmlformats.org/officeDocument/2006/relationships/hyperlink" Target="https://tannskjema.no/groruddalen-tannlegesenter" TargetMode="External"/><Relationship Id="rId1027" Type="http://schemas.openxmlformats.org/officeDocument/2006/relationships/hyperlink" Target="https://tannskjema.no" TargetMode="External"/><Relationship Id="rId1028" Type="http://schemas.openxmlformats.org/officeDocument/2006/relationships/hyperlink" Target="https://tannskjema.no/groruddalen-tannlegesenter" TargetMode="External"/><Relationship Id="rId1029" Type="http://schemas.openxmlformats.org/officeDocument/2006/relationships/hyperlink" Target="https://tannskjema.no" TargetMode="External"/><Relationship Id="rId437" Type="http://schemas.openxmlformats.org/officeDocument/2006/relationships/hyperlink" Target="https://tannskjema.no" TargetMode="External"/><Relationship Id="rId679" Type="http://schemas.openxmlformats.org/officeDocument/2006/relationships/hyperlink" Target="https://tannskjema.no" TargetMode="External"/><Relationship Id="rId436" Type="http://schemas.openxmlformats.org/officeDocument/2006/relationships/hyperlink" Target="https://tannskjema.no/groruddalen-tannlegesenter" TargetMode="External"/><Relationship Id="rId678" Type="http://schemas.openxmlformats.org/officeDocument/2006/relationships/hyperlink" Target="https://tannskjema.no/groruddalen-tannlegesenter" TargetMode="External"/><Relationship Id="rId435" Type="http://schemas.openxmlformats.org/officeDocument/2006/relationships/hyperlink" Target="https://tannskjema.no" TargetMode="External"/><Relationship Id="rId677" Type="http://schemas.openxmlformats.org/officeDocument/2006/relationships/hyperlink" Target="https://tannskjema.no" TargetMode="External"/><Relationship Id="rId434" Type="http://schemas.openxmlformats.org/officeDocument/2006/relationships/hyperlink" Target="https://tannskjema.no/groruddalen-tannlegesenter" TargetMode="External"/><Relationship Id="rId676" Type="http://schemas.openxmlformats.org/officeDocument/2006/relationships/hyperlink" Target="https://tannskjema.no/groruddalen-tannlegesenter" TargetMode="External"/><Relationship Id="rId439" Type="http://schemas.openxmlformats.org/officeDocument/2006/relationships/hyperlink" Target="https://tannskjema.no" TargetMode="External"/><Relationship Id="rId438" Type="http://schemas.openxmlformats.org/officeDocument/2006/relationships/hyperlink" Target="https://tannskjema.no/groruddalen-tannlegesenter" TargetMode="External"/><Relationship Id="rId671" Type="http://schemas.openxmlformats.org/officeDocument/2006/relationships/hyperlink" Target="https://tannskjema.no" TargetMode="External"/><Relationship Id="rId670" Type="http://schemas.openxmlformats.org/officeDocument/2006/relationships/hyperlink" Target="https://tannskjema.no/groruddalen-tannlegesenter" TargetMode="External"/><Relationship Id="rId1020" Type="http://schemas.openxmlformats.org/officeDocument/2006/relationships/hyperlink" Target="https://tannskjema.no/groruddalen-tannlegesenter" TargetMode="External"/><Relationship Id="rId1021" Type="http://schemas.openxmlformats.org/officeDocument/2006/relationships/hyperlink" Target="https://tannskjema.no" TargetMode="External"/><Relationship Id="rId433" Type="http://schemas.openxmlformats.org/officeDocument/2006/relationships/hyperlink" Target="https://tannskjema.no" TargetMode="External"/><Relationship Id="rId675" Type="http://schemas.openxmlformats.org/officeDocument/2006/relationships/hyperlink" Target="https://tannskjema.no" TargetMode="External"/><Relationship Id="rId1022" Type="http://schemas.openxmlformats.org/officeDocument/2006/relationships/hyperlink" Target="https://tannskjema.no/groruddalen-tannlegesenter" TargetMode="External"/><Relationship Id="rId432" Type="http://schemas.openxmlformats.org/officeDocument/2006/relationships/hyperlink" Target="https://tannskjema.no/groruddalen-tannlegesenter" TargetMode="External"/><Relationship Id="rId674" Type="http://schemas.openxmlformats.org/officeDocument/2006/relationships/hyperlink" Target="https://tannskjema.no/groruddalen-tannlegesenter" TargetMode="External"/><Relationship Id="rId1023" Type="http://schemas.openxmlformats.org/officeDocument/2006/relationships/hyperlink" Target="https://tannskjema.no" TargetMode="External"/><Relationship Id="rId431" Type="http://schemas.openxmlformats.org/officeDocument/2006/relationships/hyperlink" Target="https://tannskjema.no" TargetMode="External"/><Relationship Id="rId673" Type="http://schemas.openxmlformats.org/officeDocument/2006/relationships/hyperlink" Target="https://tannskjema.no" TargetMode="External"/><Relationship Id="rId1024" Type="http://schemas.openxmlformats.org/officeDocument/2006/relationships/hyperlink" Target="https://tannskjema.no/groruddalen-tannlegesenter" TargetMode="External"/><Relationship Id="rId430" Type="http://schemas.openxmlformats.org/officeDocument/2006/relationships/hyperlink" Target="https://tannskjema.no/groruddalen-tannlegesenter" TargetMode="External"/><Relationship Id="rId672" Type="http://schemas.openxmlformats.org/officeDocument/2006/relationships/hyperlink" Target="https://tannskjema.no/groruddalen-tannlegesenter" TargetMode="External"/><Relationship Id="rId1025" Type="http://schemas.openxmlformats.org/officeDocument/2006/relationships/hyperlink" Target="https://tannskjema.no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8.88"/>
    <col customWidth="1" min="3" max="3" width="26.0"/>
    <col customWidth="1" min="4" max="4" width="35.0"/>
    <col customWidth="1" min="5" max="5" width="12.88"/>
    <col customWidth="1" min="6" max="6" width="27.88"/>
    <col customWidth="1" min="7" max="7" width="13.0"/>
    <col customWidth="1" min="8" max="8" width="16.38"/>
    <col customWidth="1" min="9" max="9" width="18.25"/>
    <col customWidth="1" min="10" max="10" width="76.13"/>
    <col customWidth="1" min="11" max="11" width="80.5"/>
    <col customWidth="1" min="12" max="12" width="27.63"/>
    <col customWidth="1" min="13" max="13" width="34.0"/>
    <col customWidth="1" min="14" max="14" width="21.5"/>
    <col customWidth="1" min="15" max="15" width="16.38"/>
    <col customWidth="1" min="17" max="17" width="23.0"/>
    <col customWidth="1" min="18" max="18" width="24.0"/>
    <col customWidth="1" min="21" max="21" width="22.75"/>
    <col customWidth="1" min="22" max="22" width="15.88"/>
    <col customWidth="1" min="26" max="26" width="49.88"/>
    <col customWidth="1" min="28" max="28" width="10.5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3" t="s">
        <v>7</v>
      </c>
      <c r="I1" s="3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0" t="s">
        <v>13</v>
      </c>
      <c r="O1" s="11" t="s">
        <v>14</v>
      </c>
      <c r="P1" s="11" t="s">
        <v>15</v>
      </c>
      <c r="Q1" s="12" t="s">
        <v>16</v>
      </c>
      <c r="R1" s="8" t="s">
        <v>17</v>
      </c>
      <c r="S1" s="13" t="s">
        <v>18</v>
      </c>
      <c r="T1" s="13"/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4" t="s">
        <v>37</v>
      </c>
      <c r="AN1" s="14" t="s">
        <v>38</v>
      </c>
    </row>
    <row r="2" ht="18.0" customHeight="1">
      <c r="A2" s="15">
        <v>46204.0</v>
      </c>
      <c r="B2" s="16" t="s">
        <v>39</v>
      </c>
      <c r="C2" s="17" t="s">
        <v>40</v>
      </c>
      <c r="D2" s="17" t="s">
        <v>41</v>
      </c>
      <c r="E2" s="18">
        <v>4.1504225E7</v>
      </c>
      <c r="F2" s="19" t="s">
        <v>42</v>
      </c>
      <c r="G2" s="20"/>
      <c r="H2" s="20" t="s">
        <v>43</v>
      </c>
      <c r="I2" s="20" t="s">
        <v>44</v>
      </c>
      <c r="J2" s="21"/>
      <c r="K2" s="22"/>
      <c r="L2" s="23"/>
      <c r="M2" s="24"/>
      <c r="N2" s="25"/>
      <c r="O2" s="26"/>
      <c r="P2" s="26"/>
      <c r="Q2" s="25"/>
      <c r="R2" s="25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</row>
    <row r="3">
      <c r="A3" s="15">
        <v>46205.0</v>
      </c>
      <c r="B3" s="16" t="s">
        <v>45</v>
      </c>
      <c r="C3" s="17" t="s">
        <v>46</v>
      </c>
      <c r="D3" s="17" t="s">
        <v>47</v>
      </c>
      <c r="E3" s="18">
        <v>9.8604319E7</v>
      </c>
      <c r="F3" s="19" t="s">
        <v>48</v>
      </c>
      <c r="G3" s="20" t="s">
        <v>49</v>
      </c>
      <c r="H3" s="20" t="s">
        <v>50</v>
      </c>
      <c r="I3" s="20" t="s">
        <v>44</v>
      </c>
      <c r="J3" s="21"/>
      <c r="K3" s="22"/>
      <c r="L3" s="23"/>
      <c r="M3" s="24"/>
      <c r="N3" s="25"/>
      <c r="O3" s="26"/>
      <c r="P3" s="26"/>
      <c r="Q3" s="25"/>
      <c r="R3" s="25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</row>
    <row r="4">
      <c r="A4" s="15">
        <v>46205.0</v>
      </c>
      <c r="B4" s="16" t="s">
        <v>51</v>
      </c>
      <c r="C4" s="17" t="s">
        <v>52</v>
      </c>
      <c r="D4" s="17" t="s">
        <v>53</v>
      </c>
      <c r="E4" s="27">
        <v>4794494310</v>
      </c>
      <c r="F4" s="19" t="s">
        <v>54</v>
      </c>
      <c r="G4" s="28"/>
      <c r="H4" s="20" t="s">
        <v>50</v>
      </c>
      <c r="I4" s="20" t="s">
        <v>44</v>
      </c>
      <c r="J4" s="21"/>
      <c r="K4" s="22"/>
      <c r="L4" s="23"/>
      <c r="M4" s="24"/>
      <c r="N4" s="25"/>
      <c r="O4" s="26"/>
      <c r="P4" s="26"/>
      <c r="Q4" s="25"/>
      <c r="R4" s="25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>
      <c r="A5" s="15">
        <v>46205.0</v>
      </c>
      <c r="B5" s="16" t="s">
        <v>55</v>
      </c>
      <c r="C5" s="17" t="s">
        <v>56</v>
      </c>
      <c r="D5" s="17" t="s">
        <v>57</v>
      </c>
      <c r="E5" s="18" t="s">
        <v>58</v>
      </c>
      <c r="F5" s="29"/>
      <c r="G5" s="28"/>
      <c r="H5" s="20" t="s">
        <v>50</v>
      </c>
      <c r="I5" s="20" t="s">
        <v>44</v>
      </c>
      <c r="J5" s="21"/>
      <c r="K5" s="22"/>
      <c r="L5" s="23"/>
      <c r="M5" s="24"/>
      <c r="N5" s="25"/>
      <c r="O5" s="26"/>
      <c r="P5" s="26"/>
      <c r="Q5" s="25"/>
      <c r="R5" s="25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</row>
    <row r="6">
      <c r="A6" s="15">
        <v>46205.0</v>
      </c>
      <c r="B6" s="16" t="s">
        <v>59</v>
      </c>
      <c r="C6" s="17" t="s">
        <v>60</v>
      </c>
      <c r="D6" s="17" t="s">
        <v>61</v>
      </c>
      <c r="E6" s="18">
        <v>4.8344774E7</v>
      </c>
      <c r="F6" s="19" t="s">
        <v>62</v>
      </c>
      <c r="G6" s="28"/>
      <c r="H6" s="20" t="s">
        <v>50</v>
      </c>
      <c r="I6" s="20" t="s">
        <v>44</v>
      </c>
      <c r="J6" s="21"/>
      <c r="K6" s="22"/>
      <c r="L6" s="23"/>
      <c r="M6" s="24"/>
      <c r="N6" s="25"/>
      <c r="O6" s="26"/>
      <c r="P6" s="26"/>
      <c r="Q6" s="25"/>
      <c r="R6" s="25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</row>
    <row r="7">
      <c r="A7" s="15">
        <v>46205.0</v>
      </c>
      <c r="B7" s="16" t="s">
        <v>63</v>
      </c>
      <c r="C7" s="17" t="s">
        <v>64</v>
      </c>
      <c r="D7" s="17" t="s">
        <v>65</v>
      </c>
      <c r="E7" s="18">
        <v>9.7974415E7</v>
      </c>
      <c r="F7" s="19" t="s">
        <v>66</v>
      </c>
      <c r="G7" s="20" t="s">
        <v>67</v>
      </c>
      <c r="H7" s="20" t="s">
        <v>43</v>
      </c>
      <c r="I7" s="20" t="s">
        <v>44</v>
      </c>
      <c r="J7" s="21"/>
      <c r="K7" s="22"/>
      <c r="L7" s="23"/>
      <c r="M7" s="24"/>
      <c r="N7" s="25"/>
      <c r="O7" s="26"/>
      <c r="P7" s="26"/>
      <c r="Q7" s="25"/>
      <c r="R7" s="25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</row>
    <row r="8">
      <c r="A8" s="15">
        <v>46206.0</v>
      </c>
      <c r="B8" s="16" t="s">
        <v>68</v>
      </c>
      <c r="C8" s="17" t="s">
        <v>69</v>
      </c>
      <c r="D8" s="17" t="s">
        <v>70</v>
      </c>
      <c r="E8" s="18">
        <v>4.0625721E7</v>
      </c>
      <c r="F8" s="19" t="s">
        <v>71</v>
      </c>
      <c r="G8" s="20" t="s">
        <v>49</v>
      </c>
      <c r="H8" s="20" t="s">
        <v>50</v>
      </c>
      <c r="I8" s="20" t="s">
        <v>72</v>
      </c>
      <c r="J8" s="21"/>
      <c r="K8" s="22"/>
      <c r="L8" s="23"/>
      <c r="M8" s="24"/>
      <c r="N8" s="25"/>
      <c r="O8" s="26"/>
      <c r="P8" s="26"/>
      <c r="Q8" s="25"/>
      <c r="R8" s="25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</row>
    <row r="9">
      <c r="A9" s="15">
        <v>46206.0</v>
      </c>
      <c r="B9" s="16" t="s">
        <v>73</v>
      </c>
      <c r="C9" s="17" t="s">
        <v>74</v>
      </c>
      <c r="D9" s="17" t="s">
        <v>75</v>
      </c>
      <c r="E9" s="18">
        <v>4.548787E7</v>
      </c>
      <c r="F9" s="19" t="s">
        <v>76</v>
      </c>
      <c r="G9" s="20" t="s">
        <v>77</v>
      </c>
      <c r="H9" s="20" t="s">
        <v>50</v>
      </c>
      <c r="I9" s="20" t="s">
        <v>44</v>
      </c>
      <c r="J9" s="21"/>
      <c r="K9" s="22"/>
      <c r="L9" s="23"/>
      <c r="M9" s="24"/>
      <c r="N9" s="25"/>
      <c r="O9" s="26"/>
      <c r="P9" s="26"/>
      <c r="Q9" s="25"/>
      <c r="R9" s="25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</row>
    <row r="10">
      <c r="A10" s="15">
        <v>46207.0</v>
      </c>
      <c r="B10" s="16" t="s">
        <v>78</v>
      </c>
      <c r="C10" s="17" t="s">
        <v>79</v>
      </c>
      <c r="D10" s="17" t="s">
        <v>80</v>
      </c>
      <c r="E10" s="18">
        <v>9.0595758E7</v>
      </c>
      <c r="F10" s="19" t="s">
        <v>81</v>
      </c>
      <c r="G10" s="20" t="s">
        <v>49</v>
      </c>
      <c r="H10" s="20" t="s">
        <v>50</v>
      </c>
      <c r="I10" s="20" t="s">
        <v>44</v>
      </c>
      <c r="J10" s="21"/>
      <c r="K10" s="22"/>
      <c r="L10" s="23"/>
      <c r="M10" s="24"/>
      <c r="N10" s="25"/>
      <c r="O10" s="26"/>
      <c r="P10" s="26"/>
      <c r="Q10" s="25"/>
      <c r="R10" s="25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</row>
    <row r="11">
      <c r="A11" s="15">
        <v>46209.0</v>
      </c>
      <c r="B11" s="16" t="s">
        <v>82</v>
      </c>
      <c r="C11" s="17" t="s">
        <v>83</v>
      </c>
      <c r="D11" s="17" t="s">
        <v>84</v>
      </c>
      <c r="E11" s="18">
        <v>9.0219662E7</v>
      </c>
      <c r="F11" s="19" t="s">
        <v>85</v>
      </c>
      <c r="G11" s="20" t="s">
        <v>49</v>
      </c>
      <c r="H11" s="20" t="s">
        <v>50</v>
      </c>
      <c r="I11" s="20" t="s">
        <v>72</v>
      </c>
      <c r="J11" s="21"/>
      <c r="K11" s="22"/>
      <c r="L11" s="23"/>
      <c r="M11" s="24"/>
      <c r="N11" s="25"/>
      <c r="O11" s="26"/>
      <c r="P11" s="26"/>
      <c r="Q11" s="25"/>
      <c r="R11" s="25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</row>
    <row r="12">
      <c r="A12" s="15">
        <v>46210.0</v>
      </c>
      <c r="B12" s="16" t="s">
        <v>86</v>
      </c>
      <c r="C12" s="17" t="s">
        <v>87</v>
      </c>
      <c r="D12" s="17" t="s">
        <v>88</v>
      </c>
      <c r="E12" s="27">
        <v>4792622622</v>
      </c>
      <c r="F12" s="19" t="s">
        <v>89</v>
      </c>
      <c r="G12" s="28"/>
      <c r="H12" s="20" t="s">
        <v>90</v>
      </c>
      <c r="I12" s="20" t="s">
        <v>44</v>
      </c>
      <c r="J12" s="21" t="s">
        <v>91</v>
      </c>
      <c r="K12" s="22"/>
      <c r="L12" s="23"/>
      <c r="M12" s="24"/>
      <c r="N12" s="25"/>
      <c r="O12" s="26"/>
      <c r="P12" s="26"/>
      <c r="Q12" s="25"/>
      <c r="R12" s="25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</row>
    <row r="13">
      <c r="A13" s="15">
        <v>46210.0</v>
      </c>
      <c r="B13" s="16" t="s">
        <v>92</v>
      </c>
      <c r="C13" s="17" t="s">
        <v>93</v>
      </c>
      <c r="D13" s="17" t="s">
        <v>94</v>
      </c>
      <c r="E13" s="18">
        <v>9.1394608E7</v>
      </c>
      <c r="F13" s="29"/>
      <c r="G13" s="20" t="s">
        <v>49</v>
      </c>
      <c r="H13" s="20" t="s">
        <v>50</v>
      </c>
      <c r="I13" s="30" t="s">
        <v>44</v>
      </c>
      <c r="J13" s="21"/>
      <c r="K13" s="22"/>
      <c r="L13" s="23"/>
      <c r="M13" s="24"/>
      <c r="N13" s="25"/>
      <c r="O13" s="26"/>
      <c r="P13" s="26"/>
      <c r="Q13" s="25"/>
      <c r="R13" s="25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</row>
    <row r="14">
      <c r="A14" s="15">
        <v>46211.0</v>
      </c>
      <c r="B14" s="16" t="s">
        <v>95</v>
      </c>
      <c r="C14" s="17" t="s">
        <v>96</v>
      </c>
      <c r="D14" s="17" t="s">
        <v>97</v>
      </c>
      <c r="E14" s="18">
        <v>9.6202446E7</v>
      </c>
      <c r="F14" s="19" t="s">
        <v>98</v>
      </c>
      <c r="G14" s="20" t="s">
        <v>77</v>
      </c>
      <c r="H14" s="20" t="s">
        <v>50</v>
      </c>
      <c r="I14" s="30" t="s">
        <v>44</v>
      </c>
      <c r="J14" s="21"/>
      <c r="K14" s="22"/>
      <c r="L14" s="23"/>
      <c r="M14" s="24"/>
      <c r="N14" s="25"/>
      <c r="O14" s="26"/>
      <c r="P14" s="26"/>
      <c r="Q14" s="25"/>
      <c r="R14" s="25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</row>
    <row r="15">
      <c r="A15" s="15">
        <v>46212.0</v>
      </c>
      <c r="B15" s="16" t="s">
        <v>99</v>
      </c>
      <c r="C15" s="17" t="s">
        <v>100</v>
      </c>
      <c r="D15" s="17" t="s">
        <v>101</v>
      </c>
      <c r="E15" s="18">
        <v>9.7711967E7</v>
      </c>
      <c r="F15" s="19" t="s">
        <v>102</v>
      </c>
      <c r="G15" s="20" t="s">
        <v>67</v>
      </c>
      <c r="H15" s="20" t="s">
        <v>50</v>
      </c>
      <c r="I15" s="30" t="s">
        <v>44</v>
      </c>
      <c r="J15" s="21"/>
      <c r="K15" s="22"/>
      <c r="L15" s="23"/>
      <c r="M15" s="24"/>
      <c r="N15" s="25"/>
      <c r="O15" s="26"/>
      <c r="P15" s="26"/>
      <c r="Q15" s="25"/>
      <c r="R15" s="25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</row>
    <row r="16">
      <c r="A16" s="15">
        <v>46212.0</v>
      </c>
      <c r="B16" s="16" t="s">
        <v>103</v>
      </c>
      <c r="C16" s="17" t="s">
        <v>104</v>
      </c>
      <c r="D16" s="17" t="s">
        <v>105</v>
      </c>
      <c r="E16" s="18">
        <v>9.9874462E7</v>
      </c>
      <c r="F16" s="19" t="s">
        <v>106</v>
      </c>
      <c r="G16" s="20" t="s">
        <v>67</v>
      </c>
      <c r="H16" s="20" t="s">
        <v>43</v>
      </c>
      <c r="I16" s="30" t="s">
        <v>107</v>
      </c>
      <c r="J16" s="21"/>
      <c r="K16" s="22"/>
      <c r="L16" s="23"/>
      <c r="M16" s="24"/>
      <c r="N16" s="25"/>
      <c r="O16" s="26"/>
      <c r="P16" s="26"/>
      <c r="Q16" s="25"/>
      <c r="R16" s="25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</row>
    <row r="17">
      <c r="A17" s="15">
        <v>46213.0</v>
      </c>
      <c r="B17" s="16" t="s">
        <v>108</v>
      </c>
      <c r="C17" s="17" t="s">
        <v>109</v>
      </c>
      <c r="D17" s="17" t="s">
        <v>110</v>
      </c>
      <c r="E17" s="18">
        <v>4.7383951E7</v>
      </c>
      <c r="F17" s="19" t="s">
        <v>111</v>
      </c>
      <c r="G17" s="20" t="s">
        <v>77</v>
      </c>
      <c r="H17" s="20" t="s">
        <v>90</v>
      </c>
      <c r="I17" s="30" t="s">
        <v>107</v>
      </c>
      <c r="J17" s="21"/>
      <c r="K17" s="22"/>
      <c r="L17" s="23"/>
      <c r="M17" s="24"/>
      <c r="N17" s="25"/>
      <c r="O17" s="26"/>
      <c r="P17" s="26"/>
      <c r="Q17" s="25"/>
      <c r="R17" s="25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</row>
    <row r="18">
      <c r="A18" s="15">
        <v>46213.0</v>
      </c>
      <c r="B18" s="16" t="s">
        <v>112</v>
      </c>
      <c r="C18" s="17" t="s">
        <v>113</v>
      </c>
      <c r="D18" s="17" t="s">
        <v>114</v>
      </c>
      <c r="E18" s="18">
        <v>4.5030656E7</v>
      </c>
      <c r="F18" s="19" t="s">
        <v>115</v>
      </c>
      <c r="G18" s="20" t="s">
        <v>77</v>
      </c>
      <c r="H18" s="20" t="s">
        <v>50</v>
      </c>
      <c r="I18" s="30" t="s">
        <v>44</v>
      </c>
      <c r="J18" s="21"/>
      <c r="K18" s="22"/>
      <c r="L18" s="23"/>
      <c r="M18" s="24"/>
      <c r="N18" s="25"/>
      <c r="O18" s="26"/>
      <c r="P18" s="26"/>
      <c r="Q18" s="25"/>
      <c r="R18" s="25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</row>
    <row r="19">
      <c r="A19" s="15">
        <v>46213.0</v>
      </c>
      <c r="B19" s="16" t="s">
        <v>116</v>
      </c>
      <c r="C19" s="17" t="s">
        <v>117</v>
      </c>
      <c r="D19" s="17" t="s">
        <v>118</v>
      </c>
      <c r="E19" s="18">
        <v>4.8625157E7</v>
      </c>
      <c r="F19" s="19" t="s">
        <v>119</v>
      </c>
      <c r="G19" s="20" t="s">
        <v>77</v>
      </c>
      <c r="H19" s="20" t="s">
        <v>43</v>
      </c>
      <c r="I19" s="30" t="s">
        <v>107</v>
      </c>
      <c r="J19" s="21"/>
      <c r="K19" s="22"/>
      <c r="L19" s="23"/>
      <c r="M19" s="24"/>
      <c r="N19" s="25"/>
      <c r="O19" s="26"/>
      <c r="P19" s="26"/>
      <c r="Q19" s="25"/>
      <c r="R19" s="25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</row>
    <row r="20">
      <c r="A20" s="15">
        <v>46214.0</v>
      </c>
      <c r="B20" s="16" t="s">
        <v>120</v>
      </c>
      <c r="C20" s="17" t="s">
        <v>121</v>
      </c>
      <c r="D20" s="17" t="s">
        <v>122</v>
      </c>
      <c r="E20" s="18">
        <v>4.0053755E7</v>
      </c>
      <c r="F20" s="29"/>
      <c r="G20" s="20" t="s">
        <v>49</v>
      </c>
      <c r="H20" s="20" t="s">
        <v>50</v>
      </c>
      <c r="I20" s="30" t="s">
        <v>44</v>
      </c>
      <c r="J20" s="21"/>
      <c r="K20" s="22"/>
      <c r="L20" s="23"/>
      <c r="M20" s="24"/>
      <c r="N20" s="25"/>
      <c r="O20" s="26"/>
      <c r="P20" s="26"/>
      <c r="Q20" s="25"/>
      <c r="R20" s="25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</row>
    <row r="21">
      <c r="A21" s="31"/>
      <c r="B21" s="32"/>
      <c r="C21" s="33"/>
      <c r="D21" s="33"/>
      <c r="E21" s="27"/>
      <c r="F21" s="29"/>
      <c r="G21" s="28" t="str">
        <f>IF(NOT(ISERROR(MATCH(D21,'Tannbleking - Oppsalg US'!D:D, 0))), "Ja", "")</f>
        <v/>
      </c>
      <c r="H21" s="28"/>
      <c r="I21" s="34"/>
      <c r="J21" s="21"/>
      <c r="K21" s="22"/>
      <c r="L21" s="23"/>
      <c r="M21" s="24"/>
      <c r="N21" s="25"/>
      <c r="O21" s="26"/>
      <c r="P21" s="26"/>
      <c r="Q21" s="25"/>
      <c r="R21" s="25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</row>
    <row r="22">
      <c r="A22" s="31"/>
      <c r="B22" s="32"/>
      <c r="C22" s="33"/>
      <c r="D22" s="33"/>
      <c r="E22" s="27"/>
      <c r="F22" s="29"/>
      <c r="G22" s="28" t="str">
        <f>IF(NOT(ISERROR(MATCH(D22,'Tannbleking - Oppsalg US'!D:D, 0))), "Ja", "")</f>
        <v/>
      </c>
      <c r="H22" s="28"/>
      <c r="I22" s="34"/>
      <c r="J22" s="21"/>
      <c r="K22" s="22"/>
      <c r="L22" s="23"/>
      <c r="M22" s="24"/>
      <c r="N22" s="25"/>
      <c r="O22" s="26"/>
      <c r="P22" s="26"/>
      <c r="Q22" s="25"/>
      <c r="R22" s="25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</row>
    <row r="23">
      <c r="A23" s="31"/>
      <c r="B23" s="32"/>
      <c r="C23" s="33"/>
      <c r="D23" s="33"/>
      <c r="E23" s="27"/>
      <c r="F23" s="29"/>
      <c r="G23" s="28" t="str">
        <f>IF(NOT(ISERROR(MATCH(D23,'Tannbleking - Oppsalg US'!D:D, 0))), "Ja", "")</f>
        <v/>
      </c>
      <c r="H23" s="28"/>
      <c r="I23" s="34"/>
      <c r="J23" s="21"/>
      <c r="K23" s="22"/>
      <c r="L23" s="23"/>
      <c r="M23" s="24"/>
      <c r="N23" s="25"/>
      <c r="O23" s="26"/>
      <c r="P23" s="26"/>
      <c r="Q23" s="25"/>
      <c r="R23" s="25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</row>
    <row r="24">
      <c r="A24" s="31"/>
      <c r="B24" s="32"/>
      <c r="C24" s="33"/>
      <c r="D24" s="33"/>
      <c r="E24" s="27"/>
      <c r="F24" s="29"/>
      <c r="G24" s="28" t="str">
        <f>IF(NOT(ISERROR(MATCH(D24,'Tannbleking - Oppsalg US'!D:D, 0))), "Ja", "")</f>
        <v/>
      </c>
      <c r="H24" s="28"/>
      <c r="I24" s="34"/>
      <c r="J24" s="21"/>
      <c r="K24" s="22"/>
      <c r="L24" s="23"/>
      <c r="M24" s="24"/>
      <c r="N24" s="25"/>
      <c r="O24" s="26"/>
      <c r="P24" s="26"/>
      <c r="Q24" s="25"/>
      <c r="R24" s="25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</row>
    <row r="25">
      <c r="A25" s="31"/>
      <c r="B25" s="32"/>
      <c r="C25" s="33"/>
      <c r="D25" s="33"/>
      <c r="E25" s="27"/>
      <c r="F25" s="29"/>
      <c r="G25" s="28" t="str">
        <f>IF(NOT(ISERROR(MATCH(D25,'Tannbleking - Oppsalg US'!D:D, 0))), "Ja", "")</f>
        <v/>
      </c>
      <c r="H25" s="28"/>
      <c r="I25" s="34"/>
      <c r="J25" s="21"/>
      <c r="K25" s="22"/>
      <c r="L25" s="23"/>
      <c r="M25" s="24"/>
      <c r="N25" s="25"/>
      <c r="O25" s="26"/>
      <c r="P25" s="26"/>
      <c r="Q25" s="25"/>
      <c r="R25" s="25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</row>
    <row r="26">
      <c r="A26" s="31"/>
      <c r="B26" s="32"/>
      <c r="C26" s="33"/>
      <c r="D26" s="33"/>
      <c r="E26" s="27"/>
      <c r="F26" s="29"/>
      <c r="G26" s="28" t="str">
        <f>IF(NOT(ISERROR(MATCH(D26,'Tannbleking - Oppsalg US'!D:D, 0))), "Ja", "")</f>
        <v/>
      </c>
      <c r="H26" s="28"/>
      <c r="I26" s="34"/>
      <c r="J26" s="21"/>
      <c r="K26" s="22"/>
      <c r="L26" s="23"/>
      <c r="M26" s="24"/>
      <c r="N26" s="25"/>
      <c r="O26" s="26"/>
      <c r="P26" s="26"/>
      <c r="Q26" s="25"/>
      <c r="R26" s="25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</row>
    <row r="27">
      <c r="A27" s="31"/>
      <c r="B27" s="32"/>
      <c r="C27" s="33"/>
      <c r="D27" s="33"/>
      <c r="E27" s="27"/>
      <c r="F27" s="29"/>
      <c r="G27" s="28" t="str">
        <f>IF(NOT(ISERROR(MATCH(D27,'Tannbleking - Oppsalg US'!D:D, 0))), "Ja", "")</f>
        <v/>
      </c>
      <c r="H27" s="28"/>
      <c r="I27" s="34"/>
      <c r="J27" s="21"/>
      <c r="K27" s="22"/>
      <c r="L27" s="23"/>
      <c r="M27" s="24"/>
      <c r="N27" s="25"/>
      <c r="O27" s="26"/>
      <c r="P27" s="26"/>
      <c r="Q27" s="25"/>
      <c r="R27" s="25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</row>
    <row r="28">
      <c r="A28" s="31"/>
      <c r="B28" s="32"/>
      <c r="C28" s="33"/>
      <c r="D28" s="33"/>
      <c r="E28" s="27"/>
      <c r="F28" s="29"/>
      <c r="G28" s="28" t="str">
        <f>IF(NOT(ISERROR(MATCH(D28,'Tannbleking - Oppsalg US'!D:D, 0))), "Ja", "")</f>
        <v/>
      </c>
      <c r="H28" s="28"/>
      <c r="I28" s="34"/>
      <c r="J28" s="21"/>
      <c r="K28" s="22"/>
      <c r="L28" s="23"/>
      <c r="M28" s="24"/>
      <c r="N28" s="25"/>
      <c r="O28" s="26"/>
      <c r="P28" s="26"/>
      <c r="Q28" s="25"/>
      <c r="R28" s="25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</row>
    <row r="29">
      <c r="A29" s="31"/>
      <c r="B29" s="32"/>
      <c r="C29" s="33"/>
      <c r="D29" s="33"/>
      <c r="E29" s="27"/>
      <c r="F29" s="29"/>
      <c r="G29" s="28" t="str">
        <f>IF(NOT(ISERROR(MATCH(D29,'Tannbleking - Oppsalg US'!D:D, 0))), "Ja", "")</f>
        <v/>
      </c>
      <c r="H29" s="28"/>
      <c r="I29" s="34"/>
      <c r="J29" s="21"/>
      <c r="K29" s="22"/>
      <c r="L29" s="23"/>
      <c r="M29" s="24"/>
      <c r="N29" s="25"/>
      <c r="O29" s="26"/>
      <c r="P29" s="26"/>
      <c r="Q29" s="25"/>
      <c r="R29" s="25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</row>
    <row r="30">
      <c r="A30" s="31"/>
      <c r="B30" s="32"/>
      <c r="C30" s="33"/>
      <c r="D30" s="33"/>
      <c r="E30" s="27"/>
      <c r="F30" s="29"/>
      <c r="G30" s="28" t="str">
        <f>IF(NOT(ISERROR(MATCH(D30,'Tannbleking - Oppsalg US'!D:D, 0))), "Ja", "")</f>
        <v/>
      </c>
      <c r="H30" s="28"/>
      <c r="I30" s="34"/>
      <c r="J30" s="21"/>
      <c r="K30" s="22"/>
      <c r="L30" s="23"/>
      <c r="M30" s="24"/>
      <c r="N30" s="25"/>
      <c r="O30" s="26"/>
      <c r="P30" s="26"/>
      <c r="Q30" s="25"/>
      <c r="R30" s="25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</row>
    <row r="31">
      <c r="A31" s="31"/>
      <c r="B31" s="32"/>
      <c r="C31" s="33"/>
      <c r="D31" s="33"/>
      <c r="E31" s="27"/>
      <c r="F31" s="29"/>
      <c r="G31" s="28" t="str">
        <f>IF(NOT(ISERROR(MATCH(D31,'Tannbleking - Oppsalg US'!D:D, 0))), "Ja", "")</f>
        <v/>
      </c>
      <c r="H31" s="28"/>
      <c r="I31" s="34"/>
      <c r="J31" s="21"/>
      <c r="K31" s="22"/>
      <c r="L31" s="23"/>
      <c r="M31" s="24"/>
      <c r="N31" s="25"/>
      <c r="O31" s="26"/>
      <c r="P31" s="26"/>
      <c r="Q31" s="25"/>
      <c r="R31" s="25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</row>
    <row r="32">
      <c r="A32" s="31"/>
      <c r="B32" s="32"/>
      <c r="C32" s="33"/>
      <c r="D32" s="33"/>
      <c r="E32" s="27"/>
      <c r="F32" s="29"/>
      <c r="G32" s="28" t="str">
        <f>IF(NOT(ISERROR(MATCH(D32,'Tannbleking - Oppsalg US'!D:D, 0))), "Ja", "")</f>
        <v/>
      </c>
      <c r="H32" s="28"/>
      <c r="I32" s="34"/>
      <c r="J32" s="21"/>
      <c r="K32" s="22"/>
      <c r="L32" s="23"/>
      <c r="M32" s="24"/>
      <c r="N32" s="25"/>
      <c r="O32" s="26"/>
      <c r="P32" s="26"/>
      <c r="Q32" s="25"/>
      <c r="R32" s="25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</row>
    <row r="33">
      <c r="A33" s="31"/>
      <c r="B33" s="32"/>
      <c r="C33" s="33"/>
      <c r="D33" s="33"/>
      <c r="E33" s="27"/>
      <c r="F33" s="29"/>
      <c r="G33" s="28" t="str">
        <f>IF(NOT(ISERROR(MATCH(D33,'Tannbleking - Oppsalg US'!D:D, 0))), "Ja", "")</f>
        <v/>
      </c>
      <c r="H33" s="28"/>
      <c r="I33" s="34"/>
      <c r="J33" s="21"/>
      <c r="K33" s="22"/>
      <c r="L33" s="23"/>
      <c r="M33" s="24"/>
      <c r="N33" s="25"/>
      <c r="O33" s="26"/>
      <c r="P33" s="26"/>
      <c r="Q33" s="25"/>
      <c r="R33" s="25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</row>
    <row r="34">
      <c r="A34" s="31"/>
      <c r="B34" s="32"/>
      <c r="C34" s="33"/>
      <c r="D34" s="33"/>
      <c r="E34" s="27"/>
      <c r="F34" s="29"/>
      <c r="G34" s="28" t="str">
        <f>IF(NOT(ISERROR(MATCH(D34,'Tannbleking - Oppsalg US'!D:D, 0))), "Ja", "")</f>
        <v/>
      </c>
      <c r="H34" s="28"/>
      <c r="I34" s="34"/>
      <c r="J34" s="21"/>
      <c r="K34" s="22"/>
      <c r="L34" s="23"/>
      <c r="M34" s="24"/>
      <c r="N34" s="25"/>
      <c r="O34" s="26"/>
      <c r="P34" s="26"/>
      <c r="Q34" s="25"/>
      <c r="R34" s="25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</row>
    <row r="35">
      <c r="A35" s="31"/>
      <c r="B35" s="32"/>
      <c r="C35" s="33"/>
      <c r="D35" s="33"/>
      <c r="E35" s="27"/>
      <c r="F35" s="29"/>
      <c r="G35" s="28" t="str">
        <f>IF(NOT(ISERROR(MATCH(D35,'Tannbleking - Oppsalg US'!D:D, 0))), "Ja", "")</f>
        <v/>
      </c>
      <c r="H35" s="28"/>
      <c r="I35" s="34"/>
      <c r="J35" s="21"/>
      <c r="K35" s="22"/>
      <c r="L35" s="23"/>
      <c r="M35" s="24"/>
      <c r="N35" s="25"/>
      <c r="O35" s="26"/>
      <c r="P35" s="26"/>
      <c r="Q35" s="25"/>
      <c r="R35" s="25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</row>
    <row r="36">
      <c r="A36" s="31"/>
      <c r="B36" s="32"/>
      <c r="C36" s="33"/>
      <c r="D36" s="33"/>
      <c r="E36" s="27"/>
      <c r="F36" s="29"/>
      <c r="G36" s="28" t="str">
        <f>IF(NOT(ISERROR(MATCH(D36,'Tannbleking - Oppsalg US'!D:D, 0))), "Ja", "")</f>
        <v/>
      </c>
      <c r="H36" s="28"/>
      <c r="I36" s="34"/>
      <c r="J36" s="21"/>
      <c r="K36" s="22"/>
      <c r="L36" s="23"/>
      <c r="M36" s="24"/>
      <c r="N36" s="25"/>
      <c r="O36" s="26"/>
      <c r="P36" s="26"/>
      <c r="Q36" s="25"/>
      <c r="R36" s="25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</row>
    <row r="37">
      <c r="A37" s="31"/>
      <c r="B37" s="32"/>
      <c r="C37" s="33"/>
      <c r="D37" s="33"/>
      <c r="E37" s="27"/>
      <c r="F37" s="29"/>
      <c r="G37" s="28" t="str">
        <f>IF(NOT(ISERROR(MATCH(D37,'Tannbleking - Oppsalg US'!D:D, 0))), "Ja", "")</f>
        <v/>
      </c>
      <c r="H37" s="28"/>
      <c r="I37" s="34"/>
      <c r="J37" s="21"/>
      <c r="K37" s="22"/>
      <c r="L37" s="23"/>
      <c r="M37" s="24"/>
      <c r="N37" s="25"/>
      <c r="O37" s="26"/>
      <c r="P37" s="26"/>
      <c r="Q37" s="25"/>
      <c r="R37" s="25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</row>
    <row r="38">
      <c r="A38" s="31"/>
      <c r="B38" s="32"/>
      <c r="C38" s="33"/>
      <c r="D38" s="33"/>
      <c r="E38" s="27"/>
      <c r="F38" s="29"/>
      <c r="G38" s="28" t="str">
        <f>IF(NOT(ISERROR(MATCH(D38,'Tannbleking - Oppsalg US'!D:D, 0))), "Ja", "")</f>
        <v/>
      </c>
      <c r="H38" s="28"/>
      <c r="I38" s="34"/>
      <c r="J38" s="21"/>
      <c r="K38" s="22"/>
      <c r="L38" s="23"/>
      <c r="M38" s="24"/>
      <c r="N38" s="25"/>
      <c r="O38" s="26"/>
      <c r="P38" s="26"/>
      <c r="Q38" s="25"/>
      <c r="R38" s="25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</row>
    <row r="39">
      <c r="A39" s="31"/>
      <c r="B39" s="32"/>
      <c r="C39" s="33"/>
      <c r="D39" s="33"/>
      <c r="E39" s="27"/>
      <c r="F39" s="29"/>
      <c r="G39" s="28" t="str">
        <f>IF(NOT(ISERROR(MATCH(D39,'Tannbleking - Oppsalg US'!D:D, 0))), "Ja", "")</f>
        <v/>
      </c>
      <c r="H39" s="28"/>
      <c r="I39" s="34"/>
      <c r="J39" s="21"/>
      <c r="K39" s="22"/>
      <c r="L39" s="23"/>
      <c r="M39" s="24"/>
      <c r="N39" s="25"/>
      <c r="O39" s="26"/>
      <c r="P39" s="26"/>
      <c r="Q39" s="25"/>
      <c r="R39" s="25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</row>
    <row r="40">
      <c r="A40" s="31"/>
      <c r="B40" s="32"/>
      <c r="C40" s="33"/>
      <c r="D40" s="33"/>
      <c r="E40" s="27"/>
      <c r="F40" s="29"/>
      <c r="G40" s="28" t="str">
        <f>IF(NOT(ISERROR(MATCH(D40,'Tannbleking - Oppsalg US'!D:D, 0))), "Ja", "")</f>
        <v/>
      </c>
      <c r="H40" s="28"/>
      <c r="I40" s="34"/>
      <c r="J40" s="21"/>
      <c r="K40" s="22"/>
      <c r="L40" s="23"/>
      <c r="M40" s="24"/>
      <c r="N40" s="25"/>
      <c r="O40" s="26"/>
      <c r="P40" s="26"/>
      <c r="Q40" s="25"/>
      <c r="R40" s="25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</row>
    <row r="41">
      <c r="A41" s="31"/>
      <c r="B41" s="32"/>
      <c r="C41" s="33"/>
      <c r="D41" s="33"/>
      <c r="E41" s="27"/>
      <c r="F41" s="29"/>
      <c r="G41" s="28" t="str">
        <f>IF(NOT(ISERROR(MATCH(D41,'Tannbleking - Oppsalg US'!D:D, 0))), "Ja", "")</f>
        <v/>
      </c>
      <c r="H41" s="28"/>
      <c r="I41" s="34"/>
      <c r="J41" s="21"/>
      <c r="K41" s="22"/>
      <c r="L41" s="23"/>
      <c r="M41" s="24"/>
      <c r="N41" s="25"/>
      <c r="O41" s="26"/>
      <c r="P41" s="26"/>
      <c r="Q41" s="25"/>
      <c r="R41" s="25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</row>
    <row r="42">
      <c r="A42" s="31"/>
      <c r="B42" s="32"/>
      <c r="C42" s="33"/>
      <c r="D42" s="33"/>
      <c r="E42" s="27"/>
      <c r="F42" s="29"/>
      <c r="G42" s="28" t="str">
        <f>IF(NOT(ISERROR(MATCH(D42,'Tannbleking - Oppsalg US'!D:D, 0))), "Ja", "")</f>
        <v/>
      </c>
      <c r="H42" s="28"/>
      <c r="I42" s="34"/>
      <c r="J42" s="21"/>
      <c r="K42" s="22"/>
      <c r="L42" s="23"/>
      <c r="M42" s="24"/>
      <c r="N42" s="25"/>
      <c r="O42" s="26"/>
      <c r="P42" s="26"/>
      <c r="Q42" s="25"/>
      <c r="R42" s="25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</row>
    <row r="43">
      <c r="A43" s="31"/>
      <c r="B43" s="32"/>
      <c r="C43" s="33"/>
      <c r="D43" s="33"/>
      <c r="E43" s="27"/>
      <c r="F43" s="29"/>
      <c r="G43" s="28" t="str">
        <f>IF(NOT(ISERROR(MATCH(D43,'Tannbleking - Oppsalg US'!D:D, 0))), "Ja", "")</f>
        <v/>
      </c>
      <c r="H43" s="28"/>
      <c r="I43" s="34"/>
      <c r="J43" s="21"/>
      <c r="K43" s="22"/>
      <c r="L43" s="23"/>
      <c r="M43" s="24"/>
      <c r="N43" s="25"/>
      <c r="O43" s="26"/>
      <c r="P43" s="26"/>
      <c r="Q43" s="25"/>
      <c r="R43" s="25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</row>
    <row r="44">
      <c r="A44" s="31"/>
      <c r="B44" s="32"/>
      <c r="C44" s="33"/>
      <c r="D44" s="33"/>
      <c r="E44" s="27"/>
      <c r="F44" s="29"/>
      <c r="G44" s="28" t="str">
        <f>IF(NOT(ISERROR(MATCH(D44,'Tannbleking - Oppsalg US'!D:D, 0))), "Ja", "")</f>
        <v/>
      </c>
      <c r="H44" s="28"/>
      <c r="I44" s="34"/>
      <c r="J44" s="21"/>
      <c r="K44" s="22"/>
      <c r="L44" s="23"/>
      <c r="M44" s="24"/>
      <c r="N44" s="25"/>
      <c r="O44" s="26"/>
      <c r="P44" s="26"/>
      <c r="Q44" s="25"/>
      <c r="R44" s="25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</row>
    <row r="45">
      <c r="A45" s="31"/>
      <c r="B45" s="32"/>
      <c r="C45" s="33"/>
      <c r="D45" s="33"/>
      <c r="E45" s="27"/>
      <c r="F45" s="29"/>
      <c r="G45" s="28" t="str">
        <f>IF(NOT(ISERROR(MATCH(D45,'Tannbleking - Oppsalg US'!D:D, 0))), "Ja", "")</f>
        <v/>
      </c>
      <c r="H45" s="28"/>
      <c r="I45" s="34"/>
      <c r="J45" s="21"/>
      <c r="K45" s="22"/>
      <c r="L45" s="23"/>
      <c r="M45" s="24"/>
      <c r="N45" s="25"/>
      <c r="O45" s="26"/>
      <c r="P45" s="26"/>
      <c r="Q45" s="25"/>
      <c r="R45" s="25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</row>
    <row r="46">
      <c r="A46" s="31"/>
      <c r="B46" s="32"/>
      <c r="C46" s="33"/>
      <c r="D46" s="33"/>
      <c r="E46" s="27"/>
      <c r="F46" s="29"/>
      <c r="G46" s="28" t="str">
        <f>IF(NOT(ISERROR(MATCH(D46,'Tannbleking - Oppsalg US'!D:D, 0))), "Ja", "")</f>
        <v/>
      </c>
      <c r="H46" s="28"/>
      <c r="I46" s="34"/>
      <c r="J46" s="21"/>
      <c r="K46" s="22"/>
      <c r="L46" s="23"/>
      <c r="M46" s="24"/>
      <c r="N46" s="25"/>
      <c r="O46" s="26"/>
      <c r="P46" s="26"/>
      <c r="Q46" s="25"/>
      <c r="R46" s="25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</row>
    <row r="47">
      <c r="A47" s="31"/>
      <c r="B47" s="32"/>
      <c r="C47" s="33"/>
      <c r="D47" s="33"/>
      <c r="E47" s="27"/>
      <c r="F47" s="29"/>
      <c r="G47" s="28" t="str">
        <f>IF(NOT(ISERROR(MATCH(D47,'Tannbleking - Oppsalg US'!D:D, 0))), "Ja", "")</f>
        <v/>
      </c>
      <c r="H47" s="28"/>
      <c r="I47" s="34"/>
      <c r="J47" s="21"/>
      <c r="K47" s="22"/>
      <c r="L47" s="23"/>
      <c r="M47" s="24"/>
      <c r="N47" s="25"/>
      <c r="O47" s="26"/>
      <c r="P47" s="26"/>
      <c r="Q47" s="25"/>
      <c r="R47" s="25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</row>
    <row r="48">
      <c r="A48" s="31"/>
      <c r="B48" s="32"/>
      <c r="C48" s="33"/>
      <c r="D48" s="33"/>
      <c r="E48" s="27"/>
      <c r="F48" s="29"/>
      <c r="G48" s="28" t="str">
        <f>IF(NOT(ISERROR(MATCH(D48,'Tannbleking - Oppsalg US'!D:D, 0))), "Ja", "")</f>
        <v/>
      </c>
      <c r="H48" s="28"/>
      <c r="I48" s="34"/>
      <c r="J48" s="21"/>
      <c r="K48" s="22"/>
      <c r="L48" s="23"/>
      <c r="M48" s="24"/>
      <c r="N48" s="25"/>
      <c r="O48" s="26"/>
      <c r="P48" s="26"/>
      <c r="Q48" s="25"/>
      <c r="R48" s="25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</row>
    <row r="49">
      <c r="A49" s="31"/>
      <c r="B49" s="32"/>
      <c r="C49" s="33"/>
      <c r="D49" s="33"/>
      <c r="E49" s="27"/>
      <c r="F49" s="29"/>
      <c r="G49" s="28" t="str">
        <f>IF(NOT(ISERROR(MATCH(D49,'Tannbleking - Oppsalg US'!D:D, 0))), "Ja", "")</f>
        <v/>
      </c>
      <c r="H49" s="28"/>
      <c r="I49" s="34"/>
      <c r="J49" s="21"/>
      <c r="K49" s="22"/>
      <c r="L49" s="23"/>
      <c r="M49" s="24"/>
      <c r="N49" s="25"/>
      <c r="O49" s="26"/>
      <c r="P49" s="26"/>
      <c r="Q49" s="25"/>
      <c r="R49" s="25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</row>
    <row r="50">
      <c r="A50" s="31"/>
      <c r="B50" s="32"/>
      <c r="C50" s="33"/>
      <c r="D50" s="33"/>
      <c r="E50" s="27"/>
      <c r="F50" s="29"/>
      <c r="G50" s="28" t="str">
        <f>IF(NOT(ISERROR(MATCH(D50,'Tannbleking - Oppsalg US'!D:D, 0))), "Ja", "")</f>
        <v/>
      </c>
      <c r="H50" s="28"/>
      <c r="I50" s="34"/>
      <c r="J50" s="21"/>
      <c r="K50" s="22"/>
      <c r="L50" s="23"/>
      <c r="M50" s="24"/>
      <c r="N50" s="25"/>
      <c r="O50" s="26"/>
      <c r="P50" s="26"/>
      <c r="Q50" s="25"/>
      <c r="R50" s="25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</row>
    <row r="51">
      <c r="A51" s="31"/>
      <c r="B51" s="32"/>
      <c r="C51" s="33"/>
      <c r="D51" s="33"/>
      <c r="E51" s="27"/>
      <c r="F51" s="29"/>
      <c r="G51" s="28" t="str">
        <f>IF(NOT(ISERROR(MATCH(D51,'Tannbleking - Oppsalg US'!D:D, 0))), "Ja", "")</f>
        <v/>
      </c>
      <c r="H51" s="28"/>
      <c r="I51" s="34"/>
      <c r="J51" s="21"/>
      <c r="K51" s="22"/>
      <c r="L51" s="23"/>
      <c r="M51" s="24"/>
      <c r="N51" s="25"/>
      <c r="O51" s="26"/>
      <c r="P51" s="26"/>
      <c r="Q51" s="25"/>
      <c r="R51" s="25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</row>
    <row r="52">
      <c r="A52" s="31"/>
      <c r="B52" s="32"/>
      <c r="C52" s="33"/>
      <c r="D52" s="33"/>
      <c r="E52" s="27"/>
      <c r="F52" s="29"/>
      <c r="G52" s="28" t="str">
        <f>IF(NOT(ISERROR(MATCH(D52,'Tannbleking - Oppsalg US'!D:D, 0))), "Ja", "")</f>
        <v/>
      </c>
      <c r="H52" s="28"/>
      <c r="I52" s="34"/>
      <c r="J52" s="21"/>
      <c r="K52" s="22"/>
      <c r="L52" s="23"/>
      <c r="M52" s="24"/>
      <c r="N52" s="25"/>
      <c r="O52" s="26"/>
      <c r="P52" s="26"/>
      <c r="Q52" s="25"/>
      <c r="R52" s="25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</row>
    <row r="53">
      <c r="A53" s="31"/>
      <c r="B53" s="32"/>
      <c r="C53" s="33"/>
      <c r="D53" s="33"/>
      <c r="E53" s="27"/>
      <c r="F53" s="29"/>
      <c r="G53" s="28" t="str">
        <f>IF(NOT(ISERROR(MATCH(D53,'Tannbleking - Oppsalg US'!D:D, 0))), "Ja", "")</f>
        <v/>
      </c>
      <c r="H53" s="28"/>
      <c r="I53" s="34"/>
      <c r="J53" s="21"/>
      <c r="K53" s="22"/>
      <c r="L53" s="23"/>
      <c r="M53" s="24"/>
      <c r="N53" s="25"/>
      <c r="O53" s="26"/>
      <c r="P53" s="26"/>
      <c r="Q53" s="25"/>
      <c r="R53" s="25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</row>
    <row r="54">
      <c r="A54" s="31"/>
      <c r="B54" s="32"/>
      <c r="C54" s="33"/>
      <c r="D54" s="33"/>
      <c r="E54" s="27"/>
      <c r="F54" s="29"/>
      <c r="G54" s="28" t="str">
        <f>IF(NOT(ISERROR(MATCH(D54,'Tannbleking - Oppsalg US'!D:D, 0))), "Ja", "")</f>
        <v/>
      </c>
      <c r="H54" s="28"/>
      <c r="I54" s="34"/>
      <c r="J54" s="21"/>
      <c r="K54" s="22"/>
      <c r="L54" s="23"/>
      <c r="M54" s="24"/>
      <c r="N54" s="25"/>
      <c r="O54" s="26"/>
      <c r="P54" s="26"/>
      <c r="Q54" s="25"/>
      <c r="R54" s="25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</row>
    <row r="55">
      <c r="A55" s="31"/>
      <c r="B55" s="32"/>
      <c r="C55" s="33"/>
      <c r="D55" s="33"/>
      <c r="E55" s="27"/>
      <c r="F55" s="29"/>
      <c r="G55" s="28" t="str">
        <f>IF(NOT(ISERROR(MATCH(D55,'Tannbleking - Oppsalg US'!D:D, 0))), "Ja", "")</f>
        <v/>
      </c>
      <c r="H55" s="28"/>
      <c r="I55" s="34"/>
      <c r="J55" s="21"/>
      <c r="K55" s="22"/>
      <c r="L55" s="23"/>
      <c r="M55" s="24"/>
      <c r="N55" s="25"/>
      <c r="O55" s="26"/>
      <c r="P55" s="26"/>
      <c r="Q55" s="25"/>
      <c r="R55" s="25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</row>
    <row r="56">
      <c r="A56" s="31"/>
      <c r="B56" s="32"/>
      <c r="C56" s="33"/>
      <c r="D56" s="33"/>
      <c r="E56" s="27"/>
      <c r="F56" s="29"/>
      <c r="G56" s="28" t="str">
        <f>IF(NOT(ISERROR(MATCH(D56,'Tannbleking - Oppsalg US'!D:D, 0))), "Ja", "")</f>
        <v/>
      </c>
      <c r="H56" s="28"/>
      <c r="I56" s="34"/>
      <c r="J56" s="21"/>
      <c r="K56" s="22"/>
      <c r="L56" s="23"/>
      <c r="M56" s="24"/>
      <c r="N56" s="25"/>
      <c r="O56" s="26"/>
      <c r="P56" s="26"/>
      <c r="Q56" s="25"/>
      <c r="R56" s="25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</row>
    <row r="57">
      <c r="A57" s="31"/>
      <c r="B57" s="32"/>
      <c r="C57" s="33"/>
      <c r="D57" s="33"/>
      <c r="E57" s="27"/>
      <c r="F57" s="29"/>
      <c r="G57" s="28" t="str">
        <f>IF(NOT(ISERROR(MATCH(D57,'Tannbleking - Oppsalg US'!D:D, 0))), "Ja", "")</f>
        <v/>
      </c>
      <c r="H57" s="28"/>
      <c r="I57" s="34"/>
      <c r="J57" s="21"/>
      <c r="K57" s="22"/>
      <c r="L57" s="23"/>
      <c r="M57" s="24"/>
      <c r="N57" s="25"/>
      <c r="O57" s="26"/>
      <c r="P57" s="26"/>
      <c r="Q57" s="25"/>
      <c r="R57" s="25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</row>
    <row r="58">
      <c r="A58" s="31"/>
      <c r="B58" s="32"/>
      <c r="C58" s="33"/>
      <c r="D58" s="33"/>
      <c r="E58" s="27"/>
      <c r="F58" s="29"/>
      <c r="G58" s="28" t="str">
        <f>IF(NOT(ISERROR(MATCH(D58,'Tannbleking - Oppsalg US'!D:D, 0))), "Ja", "")</f>
        <v/>
      </c>
      <c r="H58" s="28"/>
      <c r="I58" s="34"/>
      <c r="J58" s="21"/>
      <c r="K58" s="22"/>
      <c r="L58" s="23"/>
      <c r="M58" s="24"/>
      <c r="N58" s="25"/>
      <c r="O58" s="26"/>
      <c r="P58" s="26"/>
      <c r="Q58" s="25"/>
      <c r="R58" s="25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</row>
    <row r="59">
      <c r="A59" s="31"/>
      <c r="B59" s="32"/>
      <c r="C59" s="33"/>
      <c r="D59" s="33"/>
      <c r="E59" s="27"/>
      <c r="F59" s="29"/>
      <c r="G59" s="28" t="str">
        <f>IF(NOT(ISERROR(MATCH(D59,'Tannbleking - Oppsalg US'!D:D, 0))), "Ja", "")</f>
        <v/>
      </c>
      <c r="H59" s="28"/>
      <c r="I59" s="34"/>
      <c r="J59" s="21"/>
      <c r="K59" s="22"/>
      <c r="L59" s="23"/>
      <c r="M59" s="24"/>
      <c r="N59" s="25"/>
      <c r="O59" s="26"/>
      <c r="P59" s="26"/>
      <c r="Q59" s="25"/>
      <c r="R59" s="25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</row>
    <row r="60">
      <c r="A60" s="31"/>
      <c r="B60" s="32"/>
      <c r="C60" s="33"/>
      <c r="D60" s="33"/>
      <c r="E60" s="27"/>
      <c r="F60" s="29"/>
      <c r="G60" s="28" t="str">
        <f>IF(NOT(ISERROR(MATCH(D60,'Tannbleking - Oppsalg US'!D:D, 0))), "Ja", "")</f>
        <v/>
      </c>
      <c r="H60" s="28"/>
      <c r="I60" s="34"/>
      <c r="J60" s="21"/>
      <c r="K60" s="22"/>
      <c r="L60" s="23"/>
      <c r="M60" s="24"/>
      <c r="N60" s="25"/>
      <c r="O60" s="26"/>
      <c r="P60" s="26"/>
      <c r="Q60" s="25"/>
      <c r="R60" s="25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</row>
    <row r="61">
      <c r="A61" s="31"/>
      <c r="B61" s="32"/>
      <c r="C61" s="33"/>
      <c r="D61" s="33"/>
      <c r="E61" s="27"/>
      <c r="F61" s="29"/>
      <c r="G61" s="28" t="str">
        <f>IF(NOT(ISERROR(MATCH(D61,'Tannbleking - Oppsalg US'!D:D, 0))), "Ja", "")</f>
        <v/>
      </c>
      <c r="H61" s="28"/>
      <c r="I61" s="34"/>
      <c r="J61" s="21"/>
      <c r="K61" s="22"/>
      <c r="L61" s="23"/>
      <c r="M61" s="24"/>
      <c r="N61" s="25"/>
      <c r="O61" s="26"/>
      <c r="P61" s="26"/>
      <c r="Q61" s="25"/>
      <c r="R61" s="25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</row>
    <row r="62">
      <c r="A62" s="31"/>
      <c r="B62" s="32"/>
      <c r="C62" s="33"/>
      <c r="D62" s="33"/>
      <c r="E62" s="27"/>
      <c r="F62" s="29"/>
      <c r="G62" s="28" t="str">
        <f>IF(NOT(ISERROR(MATCH(D62,'Tannbleking - Oppsalg US'!D:D, 0))), "Ja", "")</f>
        <v/>
      </c>
      <c r="H62" s="28"/>
      <c r="I62" s="34"/>
      <c r="J62" s="21"/>
      <c r="K62" s="22"/>
      <c r="L62" s="23"/>
      <c r="M62" s="24"/>
      <c r="N62" s="25"/>
      <c r="O62" s="26"/>
      <c r="P62" s="26"/>
      <c r="Q62" s="25"/>
      <c r="R62" s="25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</row>
    <row r="63">
      <c r="A63" s="31"/>
      <c r="B63" s="32"/>
      <c r="C63" s="33"/>
      <c r="D63" s="33"/>
      <c r="E63" s="27"/>
      <c r="F63" s="29"/>
      <c r="G63" s="28" t="str">
        <f>IF(NOT(ISERROR(MATCH(D63,'Tannbleking - Oppsalg US'!D:D, 0))), "Ja", "")</f>
        <v/>
      </c>
      <c r="H63" s="28"/>
      <c r="I63" s="34"/>
      <c r="J63" s="21"/>
      <c r="K63" s="22"/>
      <c r="L63" s="23"/>
      <c r="M63" s="24"/>
      <c r="N63" s="25"/>
      <c r="O63" s="26"/>
      <c r="P63" s="26"/>
      <c r="Q63" s="25"/>
      <c r="R63" s="25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</row>
    <row r="64">
      <c r="A64" s="31"/>
      <c r="B64" s="32"/>
      <c r="C64" s="33"/>
      <c r="D64" s="33"/>
      <c r="E64" s="27"/>
      <c r="F64" s="29"/>
      <c r="G64" s="28" t="str">
        <f>IF(NOT(ISERROR(MATCH(D64,'Tannbleking - Oppsalg US'!D:D, 0))), "Ja", "")</f>
        <v/>
      </c>
      <c r="H64" s="28"/>
      <c r="I64" s="34"/>
      <c r="J64" s="21"/>
      <c r="K64" s="22"/>
      <c r="L64" s="23"/>
      <c r="M64" s="24"/>
      <c r="N64" s="25"/>
      <c r="O64" s="26"/>
      <c r="P64" s="26"/>
      <c r="Q64" s="25"/>
      <c r="R64" s="25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</row>
    <row r="65">
      <c r="A65" s="31"/>
      <c r="B65" s="32"/>
      <c r="C65" s="33"/>
      <c r="D65" s="33"/>
      <c r="E65" s="27"/>
      <c r="F65" s="29"/>
      <c r="G65" s="28" t="str">
        <f>IF(NOT(ISERROR(MATCH(D65,'Tannbleking - Oppsalg US'!D:D, 0))), "Ja", "")</f>
        <v/>
      </c>
      <c r="H65" s="28"/>
      <c r="I65" s="34"/>
      <c r="J65" s="21"/>
      <c r="K65" s="22"/>
      <c r="L65" s="23"/>
      <c r="M65" s="24"/>
      <c r="N65" s="25"/>
      <c r="O65" s="26"/>
      <c r="P65" s="26"/>
      <c r="Q65" s="25"/>
      <c r="R65" s="25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</row>
    <row r="66">
      <c r="A66" s="31"/>
      <c r="B66" s="32"/>
      <c r="C66" s="33"/>
      <c r="D66" s="33"/>
      <c r="E66" s="27"/>
      <c r="F66" s="29"/>
      <c r="G66" s="28" t="str">
        <f>IF(NOT(ISERROR(MATCH(D66,'Tannbleking - Oppsalg US'!D:D, 0))), "Ja", "")</f>
        <v/>
      </c>
      <c r="H66" s="28"/>
      <c r="I66" s="34"/>
      <c r="J66" s="21"/>
      <c r="K66" s="22"/>
      <c r="L66" s="23"/>
      <c r="M66" s="24"/>
      <c r="N66" s="25"/>
      <c r="O66" s="26"/>
      <c r="P66" s="26"/>
      <c r="Q66" s="25"/>
      <c r="R66" s="25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</row>
    <row r="67">
      <c r="A67" s="31"/>
      <c r="B67" s="32"/>
      <c r="C67" s="33"/>
      <c r="D67" s="33"/>
      <c r="E67" s="27"/>
      <c r="F67" s="29"/>
      <c r="G67" s="28" t="str">
        <f>IF(NOT(ISERROR(MATCH(D67,'Tannbleking - Oppsalg US'!D:D, 0))), "Ja", "")</f>
        <v/>
      </c>
      <c r="H67" s="28"/>
      <c r="I67" s="34"/>
      <c r="J67" s="21"/>
      <c r="K67" s="22"/>
      <c r="L67" s="23"/>
      <c r="M67" s="24"/>
      <c r="N67" s="25"/>
      <c r="O67" s="26"/>
      <c r="P67" s="26"/>
      <c r="Q67" s="25"/>
      <c r="R67" s="25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</row>
    <row r="68">
      <c r="A68" s="31"/>
      <c r="B68" s="32"/>
      <c r="C68" s="33"/>
      <c r="D68" s="33"/>
      <c r="E68" s="27"/>
      <c r="F68" s="29"/>
      <c r="G68" s="28" t="str">
        <f>IF(NOT(ISERROR(MATCH(D68,'Tannbleking - Oppsalg US'!D:D, 0))), "Ja", "")</f>
        <v/>
      </c>
      <c r="H68" s="28"/>
      <c r="I68" s="34"/>
      <c r="J68" s="21"/>
      <c r="K68" s="22"/>
      <c r="L68" s="23"/>
      <c r="M68" s="24"/>
      <c r="N68" s="25"/>
      <c r="O68" s="26"/>
      <c r="P68" s="26"/>
      <c r="Q68" s="25"/>
      <c r="R68" s="25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</row>
    <row r="69">
      <c r="A69" s="31"/>
      <c r="B69" s="32"/>
      <c r="C69" s="33"/>
      <c r="D69" s="33"/>
      <c r="E69" s="27"/>
      <c r="F69" s="29"/>
      <c r="G69" s="28" t="str">
        <f>IF(NOT(ISERROR(MATCH(D69,'Tannbleking - Oppsalg US'!D:D, 0))), "Ja", "")</f>
        <v/>
      </c>
      <c r="H69" s="28"/>
      <c r="I69" s="34"/>
      <c r="J69" s="21"/>
      <c r="K69" s="22"/>
      <c r="L69" s="23"/>
      <c r="M69" s="24"/>
      <c r="N69" s="25"/>
      <c r="O69" s="26"/>
      <c r="P69" s="26"/>
      <c r="Q69" s="25"/>
      <c r="R69" s="25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</row>
    <row r="70">
      <c r="A70" s="31"/>
      <c r="B70" s="32"/>
      <c r="C70" s="33"/>
      <c r="D70" s="33"/>
      <c r="E70" s="27"/>
      <c r="F70" s="29"/>
      <c r="G70" s="28" t="str">
        <f>IF(NOT(ISERROR(MATCH(D70,'Tannbleking - Oppsalg US'!D:D, 0))), "Ja", "")</f>
        <v/>
      </c>
      <c r="H70" s="28"/>
      <c r="I70" s="34"/>
      <c r="J70" s="21"/>
      <c r="K70" s="22"/>
      <c r="L70" s="23"/>
      <c r="M70" s="24"/>
      <c r="N70" s="25"/>
      <c r="O70" s="26"/>
      <c r="P70" s="26"/>
      <c r="Q70" s="25"/>
      <c r="R70" s="25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</row>
    <row r="71">
      <c r="A71" s="31"/>
      <c r="B71" s="32"/>
      <c r="C71" s="33"/>
      <c r="D71" s="33"/>
      <c r="E71" s="27"/>
      <c r="F71" s="29"/>
      <c r="G71" s="28" t="str">
        <f>IF(NOT(ISERROR(MATCH(D71,'Tannbleking - Oppsalg US'!D:D, 0))), "Ja", "")</f>
        <v/>
      </c>
      <c r="H71" s="28"/>
      <c r="I71" s="34"/>
      <c r="J71" s="21"/>
      <c r="K71" s="22"/>
      <c r="L71" s="23"/>
      <c r="M71" s="24"/>
      <c r="N71" s="25"/>
      <c r="O71" s="26"/>
      <c r="P71" s="26"/>
      <c r="Q71" s="25"/>
      <c r="R71" s="25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</row>
    <row r="72">
      <c r="A72" s="31"/>
      <c r="B72" s="32"/>
      <c r="C72" s="33"/>
      <c r="D72" s="33"/>
      <c r="E72" s="27"/>
      <c r="F72" s="29"/>
      <c r="G72" s="28" t="str">
        <f>IF(NOT(ISERROR(MATCH(D72,'Tannbleking - Oppsalg US'!D:D, 0))), "Ja", "")</f>
        <v/>
      </c>
      <c r="H72" s="28"/>
      <c r="I72" s="34"/>
      <c r="J72" s="21"/>
      <c r="K72" s="22"/>
      <c r="L72" s="23"/>
      <c r="M72" s="24"/>
      <c r="N72" s="25"/>
      <c r="O72" s="26"/>
      <c r="P72" s="26"/>
      <c r="Q72" s="25"/>
      <c r="R72" s="25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</row>
    <row r="73">
      <c r="A73" s="31"/>
      <c r="B73" s="32"/>
      <c r="C73" s="33"/>
      <c r="D73" s="33"/>
      <c r="E73" s="27"/>
      <c r="F73" s="29"/>
      <c r="G73" s="28" t="str">
        <f>IF(NOT(ISERROR(MATCH(D73,'Tannbleking - Oppsalg US'!D:D, 0))), "Ja", "")</f>
        <v/>
      </c>
      <c r="H73" s="28"/>
      <c r="I73" s="34"/>
      <c r="J73" s="21"/>
      <c r="K73" s="22"/>
      <c r="L73" s="23"/>
      <c r="M73" s="24"/>
      <c r="N73" s="25"/>
      <c r="O73" s="26"/>
      <c r="P73" s="26"/>
      <c r="Q73" s="25"/>
      <c r="R73" s="25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</row>
    <row r="74">
      <c r="A74" s="31"/>
      <c r="B74" s="32"/>
      <c r="C74" s="33"/>
      <c r="D74" s="33"/>
      <c r="E74" s="27"/>
      <c r="F74" s="29"/>
      <c r="G74" s="28" t="str">
        <f>IF(NOT(ISERROR(MATCH(D74,'Tannbleking - Oppsalg US'!D:D, 0))), "Ja", "")</f>
        <v/>
      </c>
      <c r="H74" s="28"/>
      <c r="I74" s="34"/>
      <c r="J74" s="21"/>
      <c r="K74" s="22"/>
      <c r="L74" s="23"/>
      <c r="M74" s="24"/>
      <c r="N74" s="25"/>
      <c r="O74" s="26"/>
      <c r="P74" s="26"/>
      <c r="Q74" s="25"/>
      <c r="R74" s="25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</row>
    <row r="75">
      <c r="A75" s="31"/>
      <c r="B75" s="32"/>
      <c r="C75" s="33"/>
      <c r="D75" s="33"/>
      <c r="E75" s="27"/>
      <c r="F75" s="29"/>
      <c r="G75" s="28" t="str">
        <f>IF(NOT(ISERROR(MATCH(D75,'Tannbleking - Oppsalg US'!D:D, 0))), "Ja", "")</f>
        <v/>
      </c>
      <c r="H75" s="28"/>
      <c r="I75" s="34"/>
      <c r="J75" s="21"/>
      <c r="K75" s="22"/>
      <c r="L75" s="23"/>
      <c r="M75" s="24"/>
      <c r="N75" s="25"/>
      <c r="O75" s="26"/>
      <c r="P75" s="26"/>
      <c r="Q75" s="25"/>
      <c r="R75" s="25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</row>
    <row r="76">
      <c r="A76" s="31"/>
      <c r="B76" s="32"/>
      <c r="C76" s="33"/>
      <c r="D76" s="33"/>
      <c r="E76" s="27"/>
      <c r="F76" s="29"/>
      <c r="G76" s="28" t="str">
        <f>IF(NOT(ISERROR(MATCH(D76,'Tannbleking - Oppsalg US'!D:D, 0))), "Ja", "")</f>
        <v/>
      </c>
      <c r="H76" s="28"/>
      <c r="I76" s="34"/>
      <c r="J76" s="21"/>
      <c r="K76" s="22"/>
      <c r="L76" s="23"/>
      <c r="M76" s="24"/>
      <c r="N76" s="25"/>
      <c r="O76" s="26"/>
      <c r="P76" s="26"/>
      <c r="Q76" s="25"/>
      <c r="R76" s="25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</row>
    <row r="77">
      <c r="A77" s="31"/>
      <c r="B77" s="32"/>
      <c r="C77" s="33"/>
      <c r="D77" s="33"/>
      <c r="E77" s="27"/>
      <c r="F77" s="29"/>
      <c r="G77" s="28" t="str">
        <f>IF(NOT(ISERROR(MATCH(D77,'Tannbleking - Oppsalg US'!D:D, 0))), "Ja", "")</f>
        <v/>
      </c>
      <c r="H77" s="28"/>
      <c r="I77" s="34"/>
      <c r="J77" s="21"/>
      <c r="K77" s="22"/>
      <c r="L77" s="23"/>
      <c r="M77" s="24"/>
      <c r="N77" s="25"/>
      <c r="O77" s="26"/>
      <c r="P77" s="26"/>
      <c r="Q77" s="25"/>
      <c r="R77" s="25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</row>
    <row r="78">
      <c r="A78" s="31"/>
      <c r="B78" s="32"/>
      <c r="C78" s="33"/>
      <c r="D78" s="33"/>
      <c r="E78" s="27"/>
      <c r="F78" s="29"/>
      <c r="G78" s="28" t="str">
        <f>IF(NOT(ISERROR(MATCH(D78,'Tannbleking - Oppsalg US'!D:D, 0))), "Ja", "")</f>
        <v/>
      </c>
      <c r="H78" s="28"/>
      <c r="I78" s="34"/>
      <c r="J78" s="21"/>
      <c r="K78" s="22"/>
      <c r="L78" s="23"/>
      <c r="M78" s="24"/>
      <c r="N78" s="25"/>
      <c r="O78" s="26"/>
      <c r="P78" s="26"/>
      <c r="Q78" s="25"/>
      <c r="R78" s="25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</row>
    <row r="79">
      <c r="A79" s="31"/>
      <c r="B79" s="32"/>
      <c r="C79" s="33"/>
      <c r="D79" s="33"/>
      <c r="E79" s="27"/>
      <c r="F79" s="29"/>
      <c r="G79" s="28" t="str">
        <f>IF(NOT(ISERROR(MATCH(D79,'Tannbleking - Oppsalg US'!D:D, 0))), "Ja", "")</f>
        <v/>
      </c>
      <c r="H79" s="28"/>
      <c r="I79" s="34"/>
      <c r="J79" s="21"/>
      <c r="K79" s="22"/>
      <c r="L79" s="23"/>
      <c r="M79" s="24"/>
      <c r="N79" s="25"/>
      <c r="O79" s="26"/>
      <c r="P79" s="26"/>
      <c r="Q79" s="25"/>
      <c r="R79" s="25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</row>
    <row r="80">
      <c r="A80" s="31"/>
      <c r="B80" s="32"/>
      <c r="C80" s="33"/>
      <c r="D80" s="33"/>
      <c r="E80" s="27"/>
      <c r="F80" s="29"/>
      <c r="G80" s="28" t="str">
        <f>IF(NOT(ISERROR(MATCH(D80,'Tannbleking - Oppsalg US'!D:D, 0))), "Ja", "")</f>
        <v/>
      </c>
      <c r="H80" s="28"/>
      <c r="I80" s="34"/>
      <c r="J80" s="21"/>
      <c r="K80" s="22"/>
      <c r="L80" s="23"/>
      <c r="M80" s="24"/>
      <c r="N80" s="25"/>
      <c r="O80" s="26"/>
      <c r="P80" s="26"/>
      <c r="Q80" s="25"/>
      <c r="R80" s="25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</row>
    <row r="81">
      <c r="A81" s="31"/>
      <c r="B81" s="32"/>
      <c r="C81" s="33"/>
      <c r="D81" s="33"/>
      <c r="E81" s="27"/>
      <c r="F81" s="29"/>
      <c r="G81" s="28" t="str">
        <f>IF(NOT(ISERROR(MATCH(D81,'Tannbleking - Oppsalg US'!D:D, 0))), "Ja", "")</f>
        <v/>
      </c>
      <c r="H81" s="28"/>
      <c r="I81" s="34"/>
      <c r="J81" s="21"/>
      <c r="K81" s="22"/>
      <c r="L81" s="23"/>
      <c r="M81" s="24"/>
      <c r="N81" s="25"/>
      <c r="O81" s="26"/>
      <c r="P81" s="26"/>
      <c r="Q81" s="25"/>
      <c r="R81" s="25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</row>
    <row r="82">
      <c r="A82" s="31"/>
      <c r="B82" s="32"/>
      <c r="C82" s="33"/>
      <c r="D82" s="33"/>
      <c r="E82" s="27"/>
      <c r="F82" s="29"/>
      <c r="G82" s="28" t="str">
        <f>IF(NOT(ISERROR(MATCH(D82,'Tannbleking - Oppsalg US'!D:D, 0))), "Ja", "")</f>
        <v/>
      </c>
      <c r="H82" s="28"/>
      <c r="I82" s="34"/>
      <c r="J82" s="21"/>
      <c r="K82" s="22"/>
      <c r="L82" s="23"/>
      <c r="M82" s="24"/>
      <c r="N82" s="25"/>
      <c r="O82" s="26"/>
      <c r="P82" s="26"/>
      <c r="Q82" s="25"/>
      <c r="R82" s="25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</row>
    <row r="83">
      <c r="A83" s="31"/>
      <c r="B83" s="32"/>
      <c r="C83" s="33"/>
      <c r="D83" s="33"/>
      <c r="E83" s="27"/>
      <c r="F83" s="29"/>
      <c r="G83" s="28" t="str">
        <f>IF(NOT(ISERROR(MATCH(D83,'Tannbleking - Oppsalg US'!D:D, 0))), "Ja", "")</f>
        <v/>
      </c>
      <c r="H83" s="28"/>
      <c r="I83" s="34"/>
      <c r="J83" s="21"/>
      <c r="K83" s="22"/>
      <c r="L83" s="23"/>
      <c r="M83" s="24"/>
      <c r="N83" s="25"/>
      <c r="O83" s="26"/>
      <c r="P83" s="26"/>
      <c r="Q83" s="25"/>
      <c r="R83" s="25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</row>
    <row r="84">
      <c r="A84" s="31"/>
      <c r="B84" s="32"/>
      <c r="C84" s="33"/>
      <c r="D84" s="33"/>
      <c r="E84" s="27"/>
      <c r="F84" s="29"/>
      <c r="G84" s="28" t="str">
        <f>IF(NOT(ISERROR(MATCH(D84,'Tannbleking - Oppsalg US'!D:D, 0))), "Ja", "")</f>
        <v/>
      </c>
      <c r="H84" s="28"/>
      <c r="I84" s="34"/>
      <c r="J84" s="21"/>
      <c r="K84" s="22"/>
      <c r="L84" s="23"/>
      <c r="M84" s="24"/>
      <c r="N84" s="25"/>
      <c r="O84" s="26"/>
      <c r="P84" s="26"/>
      <c r="Q84" s="25"/>
      <c r="R84" s="25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</row>
    <row r="85">
      <c r="A85" s="31"/>
      <c r="B85" s="32"/>
      <c r="C85" s="33"/>
      <c r="D85" s="33"/>
      <c r="E85" s="27"/>
      <c r="F85" s="29"/>
      <c r="G85" s="28" t="str">
        <f>IF(NOT(ISERROR(MATCH(D85,'Tannbleking - Oppsalg US'!D:D, 0))), "Ja", "")</f>
        <v/>
      </c>
      <c r="H85" s="28"/>
      <c r="I85" s="34"/>
      <c r="J85" s="21"/>
      <c r="K85" s="22"/>
      <c r="L85" s="23"/>
      <c r="M85" s="24"/>
      <c r="N85" s="25"/>
      <c r="O85" s="26"/>
      <c r="P85" s="26"/>
      <c r="Q85" s="25"/>
      <c r="R85" s="25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</row>
    <row r="86">
      <c r="A86" s="31"/>
      <c r="B86" s="32"/>
      <c r="C86" s="33"/>
      <c r="D86" s="33"/>
      <c r="E86" s="27"/>
      <c r="F86" s="29"/>
      <c r="G86" s="28" t="str">
        <f>IF(NOT(ISERROR(MATCH(D86,'Tannbleking - Oppsalg US'!D:D, 0))), "Ja", "")</f>
        <v/>
      </c>
      <c r="H86" s="28"/>
      <c r="I86" s="34"/>
      <c r="J86" s="21"/>
      <c r="K86" s="22"/>
      <c r="L86" s="23"/>
      <c r="M86" s="24"/>
      <c r="N86" s="25"/>
      <c r="O86" s="26"/>
      <c r="P86" s="26"/>
      <c r="Q86" s="25"/>
      <c r="R86" s="25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</row>
    <row r="87">
      <c r="A87" s="31"/>
      <c r="B87" s="32"/>
      <c r="C87" s="33"/>
      <c r="D87" s="33"/>
      <c r="E87" s="27"/>
      <c r="F87" s="29"/>
      <c r="G87" s="28" t="str">
        <f>IF(NOT(ISERROR(MATCH(D87,'Tannbleking - Oppsalg US'!D:D, 0))), "Ja", "")</f>
        <v/>
      </c>
      <c r="H87" s="28"/>
      <c r="I87" s="34"/>
      <c r="J87" s="21"/>
      <c r="K87" s="22"/>
      <c r="L87" s="23"/>
      <c r="M87" s="24"/>
      <c r="N87" s="25"/>
      <c r="O87" s="26"/>
      <c r="P87" s="26"/>
      <c r="Q87" s="25"/>
      <c r="R87" s="25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</row>
    <row r="88">
      <c r="A88" s="31"/>
      <c r="B88" s="32"/>
      <c r="C88" s="33"/>
      <c r="D88" s="33"/>
      <c r="E88" s="27"/>
      <c r="F88" s="29"/>
      <c r="G88" s="28" t="str">
        <f>IF(NOT(ISERROR(MATCH(D88,'Tannbleking - Oppsalg US'!D:D, 0))), "Ja", "")</f>
        <v/>
      </c>
      <c r="H88" s="28"/>
      <c r="I88" s="34"/>
      <c r="J88" s="21"/>
      <c r="K88" s="22"/>
      <c r="L88" s="23"/>
      <c r="M88" s="24"/>
      <c r="N88" s="25"/>
      <c r="O88" s="26"/>
      <c r="P88" s="26"/>
      <c r="Q88" s="25"/>
      <c r="R88" s="25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</row>
    <row r="89">
      <c r="A89" s="31"/>
      <c r="B89" s="32"/>
      <c r="C89" s="33"/>
      <c r="D89" s="33"/>
      <c r="E89" s="27"/>
      <c r="F89" s="29"/>
      <c r="G89" s="28" t="str">
        <f>IF(NOT(ISERROR(MATCH(D89,'Tannbleking - Oppsalg US'!D:D, 0))), "Ja", "")</f>
        <v/>
      </c>
      <c r="H89" s="28"/>
      <c r="I89" s="34"/>
      <c r="J89" s="21"/>
      <c r="K89" s="22"/>
      <c r="L89" s="23"/>
      <c r="M89" s="24"/>
      <c r="N89" s="25"/>
      <c r="O89" s="26"/>
      <c r="P89" s="26"/>
      <c r="Q89" s="25"/>
      <c r="R89" s="25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</row>
    <row r="90">
      <c r="A90" s="31"/>
      <c r="B90" s="32"/>
      <c r="C90" s="33"/>
      <c r="D90" s="33"/>
      <c r="E90" s="27"/>
      <c r="F90" s="29"/>
      <c r="G90" s="28" t="str">
        <f>IF(NOT(ISERROR(MATCH(D90,'Tannbleking - Oppsalg US'!D:D, 0))), "Ja", "")</f>
        <v/>
      </c>
      <c r="H90" s="28"/>
      <c r="I90" s="34"/>
      <c r="J90" s="21"/>
      <c r="K90" s="22"/>
      <c r="L90" s="23"/>
      <c r="M90" s="24"/>
      <c r="N90" s="25"/>
      <c r="O90" s="26"/>
      <c r="P90" s="26"/>
      <c r="Q90" s="25"/>
      <c r="R90" s="25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</row>
    <row r="91">
      <c r="A91" s="31"/>
      <c r="B91" s="32"/>
      <c r="C91" s="33"/>
      <c r="D91" s="33"/>
      <c r="E91" s="27"/>
      <c r="F91" s="29"/>
      <c r="G91" s="28" t="str">
        <f>IF(NOT(ISERROR(MATCH(D91,'Tannbleking - Oppsalg US'!D:D, 0))), "Ja", "")</f>
        <v/>
      </c>
      <c r="H91" s="28"/>
      <c r="I91" s="34"/>
      <c r="J91" s="21"/>
      <c r="K91" s="22"/>
      <c r="L91" s="23"/>
      <c r="M91" s="24"/>
      <c r="N91" s="25"/>
      <c r="O91" s="26"/>
      <c r="P91" s="26"/>
      <c r="Q91" s="25"/>
      <c r="R91" s="25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</row>
    <row r="92">
      <c r="A92" s="31"/>
      <c r="B92" s="32"/>
      <c r="C92" s="33"/>
      <c r="D92" s="33"/>
      <c r="E92" s="27"/>
      <c r="F92" s="29"/>
      <c r="G92" s="28" t="str">
        <f>IF(NOT(ISERROR(MATCH(D92,'Tannbleking - Oppsalg US'!D:D, 0))), "Ja", "")</f>
        <v/>
      </c>
      <c r="H92" s="28"/>
      <c r="I92" s="34"/>
      <c r="J92" s="21"/>
      <c r="K92" s="22"/>
      <c r="L92" s="23"/>
      <c r="M92" s="24"/>
      <c r="N92" s="25"/>
      <c r="O92" s="26"/>
      <c r="P92" s="26"/>
      <c r="Q92" s="25"/>
      <c r="R92" s="25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</row>
    <row r="93">
      <c r="A93" s="31"/>
      <c r="B93" s="32"/>
      <c r="C93" s="33"/>
      <c r="D93" s="33"/>
      <c r="E93" s="27"/>
      <c r="F93" s="29"/>
      <c r="G93" s="28" t="str">
        <f>IF(NOT(ISERROR(MATCH(D93,'Tannbleking - Oppsalg US'!D:D, 0))), "Ja", "")</f>
        <v/>
      </c>
      <c r="H93" s="28"/>
      <c r="I93" s="34"/>
      <c r="J93" s="21"/>
      <c r="K93" s="22"/>
      <c r="L93" s="23"/>
      <c r="M93" s="24"/>
      <c r="N93" s="25"/>
      <c r="O93" s="26"/>
      <c r="P93" s="26"/>
      <c r="Q93" s="25"/>
      <c r="R93" s="25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>
      <c r="A94" s="31"/>
      <c r="B94" s="32"/>
      <c r="C94" s="33"/>
      <c r="D94" s="33"/>
      <c r="E94" s="27"/>
      <c r="F94" s="29"/>
      <c r="G94" s="28" t="str">
        <f>IF(NOT(ISERROR(MATCH(D94,'Tannbleking - Oppsalg US'!D:D, 0))), "Ja", "")</f>
        <v/>
      </c>
      <c r="H94" s="28"/>
      <c r="I94" s="34"/>
      <c r="J94" s="21"/>
      <c r="K94" s="22"/>
      <c r="L94" s="23"/>
      <c r="M94" s="24"/>
      <c r="N94" s="25"/>
      <c r="O94" s="26"/>
      <c r="P94" s="26"/>
      <c r="Q94" s="25"/>
      <c r="R94" s="25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>
      <c r="A95" s="31"/>
      <c r="B95" s="32"/>
      <c r="C95" s="33"/>
      <c r="D95" s="33"/>
      <c r="E95" s="27"/>
      <c r="F95" s="29"/>
      <c r="G95" s="28" t="str">
        <f>IF(NOT(ISERROR(MATCH(D95,'Tannbleking - Oppsalg US'!D:D, 0))), "Ja", "")</f>
        <v/>
      </c>
      <c r="H95" s="28"/>
      <c r="I95" s="34"/>
      <c r="J95" s="21"/>
      <c r="K95" s="22"/>
      <c r="L95" s="23"/>
      <c r="M95" s="24"/>
      <c r="N95" s="25"/>
      <c r="O95" s="26"/>
      <c r="P95" s="26"/>
      <c r="Q95" s="25"/>
      <c r="R95" s="25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</row>
    <row r="96">
      <c r="A96" s="31"/>
      <c r="B96" s="32"/>
      <c r="C96" s="33"/>
      <c r="D96" s="33"/>
      <c r="E96" s="27"/>
      <c r="F96" s="29"/>
      <c r="G96" s="28" t="str">
        <f>IF(NOT(ISERROR(MATCH(D96,'Tannbleking - Oppsalg US'!D:D, 0))), "Ja", "")</f>
        <v/>
      </c>
      <c r="H96" s="28"/>
      <c r="I96" s="34"/>
      <c r="J96" s="21"/>
      <c r="K96" s="22"/>
      <c r="L96" s="23"/>
      <c r="M96" s="24"/>
      <c r="N96" s="25"/>
      <c r="O96" s="26"/>
      <c r="P96" s="26"/>
      <c r="Q96" s="25"/>
      <c r="R96" s="25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</row>
    <row r="97">
      <c r="A97" s="31"/>
      <c r="B97" s="32"/>
      <c r="C97" s="33"/>
      <c r="D97" s="33"/>
      <c r="E97" s="27"/>
      <c r="F97" s="29"/>
      <c r="G97" s="28" t="str">
        <f>IF(NOT(ISERROR(MATCH(D97,'Tannbleking - Oppsalg US'!D:D, 0))), "Ja", "")</f>
        <v/>
      </c>
      <c r="H97" s="28"/>
      <c r="I97" s="34"/>
      <c r="J97" s="21"/>
      <c r="K97" s="22"/>
      <c r="L97" s="23"/>
      <c r="M97" s="24"/>
      <c r="N97" s="25"/>
      <c r="O97" s="26"/>
      <c r="P97" s="26"/>
      <c r="Q97" s="25"/>
      <c r="R97" s="25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</row>
    <row r="98">
      <c r="A98" s="31"/>
      <c r="B98" s="32"/>
      <c r="C98" s="33"/>
      <c r="D98" s="33"/>
      <c r="E98" s="27"/>
      <c r="F98" s="29"/>
      <c r="G98" s="28" t="str">
        <f>IF(NOT(ISERROR(MATCH(D98,'Tannbleking - Oppsalg US'!D:D, 0))), "Ja", "")</f>
        <v/>
      </c>
      <c r="H98" s="28"/>
      <c r="I98" s="34"/>
      <c r="J98" s="21"/>
      <c r="K98" s="22"/>
      <c r="L98" s="23"/>
      <c r="M98" s="24"/>
      <c r="N98" s="25"/>
      <c r="O98" s="26"/>
      <c r="P98" s="26"/>
      <c r="Q98" s="25"/>
      <c r="R98" s="25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</row>
    <row r="99">
      <c r="A99" s="31"/>
      <c r="B99" s="32"/>
      <c r="C99" s="33"/>
      <c r="D99" s="33"/>
      <c r="E99" s="27"/>
      <c r="F99" s="29"/>
      <c r="G99" s="28" t="str">
        <f>IF(NOT(ISERROR(MATCH(D99,'Tannbleking - Oppsalg US'!D:D, 0))), "Ja", "")</f>
        <v/>
      </c>
      <c r="H99" s="28"/>
      <c r="I99" s="34"/>
      <c r="J99" s="21"/>
      <c r="K99" s="22"/>
      <c r="L99" s="23"/>
      <c r="M99" s="24"/>
      <c r="N99" s="25"/>
      <c r="O99" s="26"/>
      <c r="P99" s="26"/>
      <c r="Q99" s="25"/>
      <c r="R99" s="25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</row>
    <row r="100">
      <c r="A100" s="31"/>
      <c r="B100" s="32"/>
      <c r="C100" s="33"/>
      <c r="D100" s="33"/>
      <c r="E100" s="27"/>
      <c r="F100" s="29"/>
      <c r="G100" s="28" t="str">
        <f>IF(NOT(ISERROR(MATCH(D100,'Tannbleking - Oppsalg US'!D:D, 0))), "Ja", "")</f>
        <v/>
      </c>
      <c r="H100" s="28"/>
      <c r="I100" s="34"/>
      <c r="J100" s="21"/>
      <c r="K100" s="22"/>
      <c r="L100" s="23"/>
      <c r="M100" s="24"/>
      <c r="N100" s="25"/>
      <c r="O100" s="26"/>
      <c r="P100" s="26"/>
      <c r="Q100" s="25"/>
      <c r="R100" s="25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</row>
    <row r="101">
      <c r="A101" s="31"/>
      <c r="B101" s="32"/>
      <c r="C101" s="33"/>
      <c r="D101" s="33"/>
      <c r="E101" s="27"/>
      <c r="F101" s="29"/>
      <c r="G101" s="28" t="str">
        <f>IF(NOT(ISERROR(MATCH(D101,'Tannbleking - Oppsalg US'!D:D, 0))), "Ja", "")</f>
        <v/>
      </c>
      <c r="H101" s="28"/>
      <c r="I101" s="34"/>
      <c r="J101" s="21"/>
      <c r="K101" s="22"/>
      <c r="L101" s="23"/>
      <c r="M101" s="24"/>
      <c r="N101" s="25"/>
      <c r="O101" s="26"/>
      <c r="P101" s="26"/>
      <c r="Q101" s="25"/>
      <c r="R101" s="25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</row>
    <row r="102">
      <c r="A102" s="31"/>
      <c r="B102" s="32"/>
      <c r="C102" s="33"/>
      <c r="D102" s="33"/>
      <c r="E102" s="27"/>
      <c r="F102" s="29"/>
      <c r="G102" s="28" t="str">
        <f>IF(NOT(ISERROR(MATCH(D102,'Tannbleking - Oppsalg US'!D:D, 0))), "Ja", "")</f>
        <v/>
      </c>
      <c r="H102" s="28"/>
      <c r="I102" s="34"/>
      <c r="J102" s="21"/>
      <c r="K102" s="22"/>
      <c r="L102" s="23"/>
      <c r="M102" s="24"/>
      <c r="N102" s="25"/>
      <c r="O102" s="26"/>
      <c r="P102" s="26"/>
      <c r="Q102" s="25"/>
      <c r="R102" s="25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</row>
    <row r="103">
      <c r="A103" s="31"/>
      <c r="B103" s="32"/>
      <c r="C103" s="33"/>
      <c r="D103" s="33"/>
      <c r="E103" s="27"/>
      <c r="F103" s="29"/>
      <c r="G103" s="28" t="str">
        <f>IF(NOT(ISERROR(MATCH(D103,'Tannbleking - Oppsalg US'!D:D, 0))), "Ja", "")</f>
        <v/>
      </c>
      <c r="H103" s="28"/>
      <c r="I103" s="34"/>
      <c r="J103" s="21"/>
      <c r="K103" s="22"/>
      <c r="L103" s="23"/>
      <c r="M103" s="24"/>
      <c r="N103" s="25"/>
      <c r="O103" s="26"/>
      <c r="P103" s="26"/>
      <c r="Q103" s="25"/>
      <c r="R103" s="25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</row>
    <row r="104">
      <c r="A104" s="31"/>
      <c r="B104" s="32"/>
      <c r="C104" s="33"/>
      <c r="D104" s="33"/>
      <c r="E104" s="27"/>
      <c r="F104" s="29"/>
      <c r="G104" s="28" t="str">
        <f>IF(NOT(ISERROR(MATCH(D104,'Tannbleking - Oppsalg US'!D:D, 0))), "Ja", "")</f>
        <v/>
      </c>
      <c r="H104" s="28"/>
      <c r="I104" s="34"/>
      <c r="J104" s="21"/>
      <c r="K104" s="22"/>
      <c r="L104" s="23"/>
      <c r="M104" s="24"/>
      <c r="N104" s="25"/>
      <c r="O104" s="26"/>
      <c r="P104" s="26"/>
      <c r="Q104" s="25"/>
      <c r="R104" s="25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</row>
    <row r="105">
      <c r="A105" s="31"/>
      <c r="B105" s="32"/>
      <c r="C105" s="33"/>
      <c r="D105" s="33"/>
      <c r="E105" s="27"/>
      <c r="F105" s="29"/>
      <c r="G105" s="28" t="str">
        <f>IF(NOT(ISERROR(MATCH(D105,'Tannbleking - Oppsalg US'!D:D, 0))), "Ja", "")</f>
        <v/>
      </c>
      <c r="H105" s="28"/>
      <c r="I105" s="34"/>
      <c r="J105" s="21"/>
      <c r="K105" s="22"/>
      <c r="L105" s="23"/>
      <c r="M105" s="24"/>
      <c r="N105" s="25"/>
      <c r="O105" s="26"/>
      <c r="P105" s="26"/>
      <c r="Q105" s="25"/>
      <c r="R105" s="25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</row>
    <row r="106">
      <c r="A106" s="31"/>
      <c r="B106" s="32"/>
      <c r="C106" s="33"/>
      <c r="D106" s="33"/>
      <c r="E106" s="27"/>
      <c r="F106" s="29"/>
      <c r="G106" s="28" t="str">
        <f>IF(NOT(ISERROR(MATCH(D106,'Tannbleking - Oppsalg US'!D:D, 0))), "Ja", "")</f>
        <v/>
      </c>
      <c r="H106" s="28"/>
      <c r="I106" s="34"/>
      <c r="J106" s="21"/>
      <c r="K106" s="22"/>
      <c r="L106" s="23"/>
      <c r="M106" s="24"/>
      <c r="N106" s="25"/>
      <c r="O106" s="26"/>
      <c r="P106" s="26"/>
      <c r="Q106" s="25"/>
      <c r="R106" s="25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</row>
    <row r="107">
      <c r="A107" s="31"/>
      <c r="B107" s="32"/>
      <c r="C107" s="33"/>
      <c r="D107" s="33"/>
      <c r="E107" s="27"/>
      <c r="F107" s="29"/>
      <c r="G107" s="28" t="str">
        <f>IF(NOT(ISERROR(MATCH(D107,'Tannbleking - Oppsalg US'!D:D, 0))), "Ja", "")</f>
        <v/>
      </c>
      <c r="H107" s="28"/>
      <c r="I107" s="34"/>
      <c r="J107" s="21"/>
      <c r="K107" s="22"/>
      <c r="L107" s="23"/>
      <c r="M107" s="24"/>
      <c r="N107" s="25"/>
      <c r="O107" s="26"/>
      <c r="P107" s="26"/>
      <c r="Q107" s="25"/>
      <c r="R107" s="25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</row>
    <row r="108">
      <c r="A108" s="31"/>
      <c r="B108" s="32"/>
      <c r="C108" s="33"/>
      <c r="D108" s="33"/>
      <c r="E108" s="27"/>
      <c r="F108" s="29"/>
      <c r="G108" s="28" t="str">
        <f>IF(NOT(ISERROR(MATCH(D108,'Tannbleking - Oppsalg US'!D:D, 0))), "Ja", "")</f>
        <v/>
      </c>
      <c r="H108" s="28"/>
      <c r="I108" s="34"/>
      <c r="J108" s="21"/>
      <c r="K108" s="22"/>
      <c r="L108" s="23"/>
      <c r="M108" s="24"/>
      <c r="N108" s="25"/>
      <c r="O108" s="26"/>
      <c r="P108" s="26"/>
      <c r="Q108" s="25"/>
      <c r="R108" s="25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</row>
    <row r="109">
      <c r="A109" s="31"/>
      <c r="B109" s="32"/>
      <c r="C109" s="33"/>
      <c r="D109" s="33"/>
      <c r="E109" s="27"/>
      <c r="F109" s="29"/>
      <c r="G109" s="28" t="str">
        <f>IF(NOT(ISERROR(MATCH(D109,'Tannbleking - Oppsalg US'!D:D, 0))), "Ja", "")</f>
        <v/>
      </c>
      <c r="H109" s="28"/>
      <c r="I109" s="34"/>
      <c r="J109" s="21"/>
      <c r="K109" s="22"/>
      <c r="L109" s="23"/>
      <c r="M109" s="24"/>
      <c r="N109" s="25"/>
      <c r="O109" s="26"/>
      <c r="P109" s="26"/>
      <c r="Q109" s="25"/>
      <c r="R109" s="25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>
      <c r="A110" s="31"/>
      <c r="B110" s="32"/>
      <c r="C110" s="33"/>
      <c r="D110" s="33"/>
      <c r="E110" s="27"/>
      <c r="F110" s="29"/>
      <c r="G110" s="28" t="str">
        <f>IF(NOT(ISERROR(MATCH(D110,'Tannbleking - Oppsalg US'!D:D, 0))), "Ja", "")</f>
        <v/>
      </c>
      <c r="H110" s="28"/>
      <c r="I110" s="34"/>
      <c r="J110" s="21"/>
      <c r="K110" s="22"/>
      <c r="L110" s="23"/>
      <c r="M110" s="24"/>
      <c r="N110" s="25"/>
      <c r="O110" s="26"/>
      <c r="P110" s="26"/>
      <c r="Q110" s="25"/>
      <c r="R110" s="25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>
      <c r="A111" s="31"/>
      <c r="B111" s="32"/>
      <c r="C111" s="33"/>
      <c r="D111" s="33"/>
      <c r="E111" s="27"/>
      <c r="F111" s="29"/>
      <c r="G111" s="28" t="str">
        <f>IF(NOT(ISERROR(MATCH(D111,'Tannbleking - Oppsalg US'!D:D, 0))), "Ja", "")</f>
        <v/>
      </c>
      <c r="H111" s="28"/>
      <c r="I111" s="34"/>
      <c r="J111" s="21"/>
      <c r="K111" s="22"/>
      <c r="L111" s="23"/>
      <c r="M111" s="24"/>
      <c r="N111" s="25"/>
      <c r="O111" s="26"/>
      <c r="P111" s="26"/>
      <c r="Q111" s="25"/>
      <c r="R111" s="25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</row>
    <row r="112">
      <c r="A112" s="31"/>
      <c r="B112" s="32"/>
      <c r="C112" s="33"/>
      <c r="D112" s="33"/>
      <c r="E112" s="27"/>
      <c r="F112" s="29"/>
      <c r="G112" s="28" t="str">
        <f>IF(NOT(ISERROR(MATCH(D112,'Tannbleking - Oppsalg US'!D:D, 0))), "Ja", "")</f>
        <v/>
      </c>
      <c r="H112" s="28"/>
      <c r="I112" s="34"/>
      <c r="J112" s="21"/>
      <c r="K112" s="22"/>
      <c r="L112" s="23"/>
      <c r="M112" s="24"/>
      <c r="N112" s="25"/>
      <c r="O112" s="26"/>
      <c r="P112" s="26"/>
      <c r="Q112" s="25"/>
      <c r="R112" s="25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</row>
    <row r="113">
      <c r="A113" s="31"/>
      <c r="B113" s="32"/>
      <c r="C113" s="33"/>
      <c r="D113" s="33"/>
      <c r="E113" s="27"/>
      <c r="F113" s="29"/>
      <c r="G113" s="28" t="str">
        <f>IF(NOT(ISERROR(MATCH(D113,'Tannbleking - Oppsalg US'!D:D, 0))), "Ja", "")</f>
        <v/>
      </c>
      <c r="H113" s="28"/>
      <c r="I113" s="34"/>
      <c r="J113" s="21"/>
      <c r="K113" s="22"/>
      <c r="L113" s="23"/>
      <c r="M113" s="24"/>
      <c r="N113" s="25"/>
      <c r="O113" s="26"/>
      <c r="P113" s="26"/>
      <c r="Q113" s="25"/>
      <c r="R113" s="25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</row>
    <row r="114">
      <c r="A114" s="31"/>
      <c r="B114" s="32"/>
      <c r="C114" s="33"/>
      <c r="D114" s="33"/>
      <c r="E114" s="27"/>
      <c r="F114" s="29"/>
      <c r="G114" s="28" t="str">
        <f>IF(NOT(ISERROR(MATCH(D114,'Tannbleking - Oppsalg US'!D:D, 0))), "Ja", "")</f>
        <v/>
      </c>
      <c r="H114" s="28"/>
      <c r="I114" s="34"/>
      <c r="J114" s="21"/>
      <c r="K114" s="22"/>
      <c r="L114" s="23"/>
      <c r="M114" s="24"/>
      <c r="N114" s="25"/>
      <c r="O114" s="26"/>
      <c r="P114" s="26"/>
      <c r="Q114" s="25"/>
      <c r="R114" s="25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</row>
    <row r="115">
      <c r="A115" s="31"/>
      <c r="B115" s="32"/>
      <c r="C115" s="33"/>
      <c r="D115" s="33"/>
      <c r="E115" s="27"/>
      <c r="F115" s="29"/>
      <c r="G115" s="28" t="str">
        <f>IF(NOT(ISERROR(MATCH(D115,'Tannbleking - Oppsalg US'!D:D, 0))), "Ja", "")</f>
        <v/>
      </c>
      <c r="H115" s="28"/>
      <c r="I115" s="34"/>
      <c r="J115" s="21"/>
      <c r="K115" s="22"/>
      <c r="L115" s="23"/>
      <c r="M115" s="24"/>
      <c r="N115" s="25"/>
      <c r="O115" s="26"/>
      <c r="P115" s="26"/>
      <c r="Q115" s="25"/>
      <c r="R115" s="25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</row>
    <row r="116">
      <c r="A116" s="31"/>
      <c r="B116" s="32"/>
      <c r="C116" s="33"/>
      <c r="D116" s="33"/>
      <c r="E116" s="27"/>
      <c r="F116" s="29"/>
      <c r="G116" s="28" t="str">
        <f>IF(NOT(ISERROR(MATCH(D116,'Tannbleking - Oppsalg US'!D:D, 0))), "Ja", "")</f>
        <v/>
      </c>
      <c r="H116" s="28"/>
      <c r="I116" s="34"/>
      <c r="J116" s="21"/>
      <c r="K116" s="22"/>
      <c r="L116" s="23"/>
      <c r="M116" s="24"/>
      <c r="N116" s="25"/>
      <c r="O116" s="26"/>
      <c r="P116" s="26"/>
      <c r="Q116" s="25"/>
      <c r="R116" s="25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</row>
    <row r="117">
      <c r="A117" s="31"/>
      <c r="B117" s="32"/>
      <c r="C117" s="33"/>
      <c r="D117" s="33"/>
      <c r="E117" s="27"/>
      <c r="F117" s="29"/>
      <c r="G117" s="28" t="str">
        <f>IF(NOT(ISERROR(MATCH(D117,'Tannbleking - Oppsalg US'!D:D, 0))), "Ja", "")</f>
        <v/>
      </c>
      <c r="H117" s="28"/>
      <c r="I117" s="34"/>
      <c r="J117" s="21"/>
      <c r="K117" s="22"/>
      <c r="L117" s="23"/>
      <c r="M117" s="24"/>
      <c r="N117" s="25"/>
      <c r="O117" s="26"/>
      <c r="P117" s="26"/>
      <c r="Q117" s="25"/>
      <c r="R117" s="25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</row>
    <row r="118">
      <c r="A118" s="31"/>
      <c r="B118" s="32"/>
      <c r="C118" s="33"/>
      <c r="D118" s="33"/>
      <c r="E118" s="27"/>
      <c r="F118" s="29"/>
      <c r="G118" s="28" t="str">
        <f>IF(NOT(ISERROR(MATCH(D118,'Tannbleking - Oppsalg US'!D:D, 0))), "Ja", "")</f>
        <v/>
      </c>
      <c r="H118" s="28"/>
      <c r="I118" s="34"/>
      <c r="J118" s="21"/>
      <c r="K118" s="22"/>
      <c r="L118" s="23"/>
      <c r="M118" s="24"/>
      <c r="N118" s="25"/>
      <c r="O118" s="26"/>
      <c r="P118" s="26"/>
      <c r="Q118" s="25"/>
      <c r="R118" s="25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</row>
    <row r="119">
      <c r="A119" s="31"/>
      <c r="B119" s="32"/>
      <c r="C119" s="33"/>
      <c r="D119" s="33"/>
      <c r="E119" s="27"/>
      <c r="F119" s="29"/>
      <c r="G119" s="28" t="str">
        <f>IF(NOT(ISERROR(MATCH(D119,'Tannbleking - Oppsalg US'!D:D, 0))), "Ja", "")</f>
        <v/>
      </c>
      <c r="H119" s="28"/>
      <c r="I119" s="34"/>
      <c r="J119" s="21"/>
      <c r="K119" s="22"/>
      <c r="L119" s="23"/>
      <c r="M119" s="24"/>
      <c r="N119" s="25"/>
      <c r="O119" s="26"/>
      <c r="P119" s="26"/>
      <c r="Q119" s="25"/>
      <c r="R119" s="25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</row>
    <row r="120">
      <c r="A120" s="31"/>
      <c r="B120" s="32"/>
      <c r="C120" s="33"/>
      <c r="D120" s="33"/>
      <c r="E120" s="27"/>
      <c r="F120" s="29"/>
      <c r="G120" s="28" t="str">
        <f>IF(NOT(ISERROR(MATCH(D120,'Tannbleking - Oppsalg US'!D:D, 0))), "Ja", "")</f>
        <v/>
      </c>
      <c r="H120" s="28"/>
      <c r="I120" s="34"/>
      <c r="J120" s="21"/>
      <c r="K120" s="22"/>
      <c r="L120" s="23"/>
      <c r="M120" s="24"/>
      <c r="N120" s="25"/>
      <c r="O120" s="26"/>
      <c r="P120" s="26"/>
      <c r="Q120" s="25"/>
      <c r="R120" s="25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</row>
    <row r="121">
      <c r="A121" s="31"/>
      <c r="B121" s="32"/>
      <c r="C121" s="33"/>
      <c r="D121" s="33"/>
      <c r="E121" s="27"/>
      <c r="F121" s="29"/>
      <c r="G121" s="28" t="str">
        <f>IF(NOT(ISERROR(MATCH(D121,'Tannbleking - Oppsalg US'!D:D, 0))), "Ja", "")</f>
        <v/>
      </c>
      <c r="H121" s="28"/>
      <c r="I121" s="34"/>
      <c r="J121" s="21"/>
      <c r="K121" s="22"/>
      <c r="L121" s="23"/>
      <c r="M121" s="24"/>
      <c r="N121" s="25"/>
      <c r="O121" s="26"/>
      <c r="P121" s="26"/>
      <c r="Q121" s="25"/>
      <c r="R121" s="25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</row>
    <row r="122">
      <c r="A122" s="31"/>
      <c r="B122" s="32"/>
      <c r="C122" s="33"/>
      <c r="D122" s="33"/>
      <c r="E122" s="27"/>
      <c r="F122" s="29"/>
      <c r="G122" s="28" t="str">
        <f>IF(NOT(ISERROR(MATCH(D122,'Tannbleking - Oppsalg US'!D:D, 0))), "Ja", "")</f>
        <v/>
      </c>
      <c r="H122" s="28"/>
      <c r="I122" s="34"/>
      <c r="J122" s="21"/>
      <c r="K122" s="22"/>
      <c r="L122" s="23"/>
      <c r="M122" s="24"/>
      <c r="N122" s="25"/>
      <c r="O122" s="26"/>
      <c r="P122" s="26"/>
      <c r="Q122" s="25"/>
      <c r="R122" s="25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</row>
    <row r="123">
      <c r="A123" s="31"/>
      <c r="B123" s="32"/>
      <c r="C123" s="33"/>
      <c r="D123" s="33"/>
      <c r="E123" s="27"/>
      <c r="F123" s="29"/>
      <c r="G123" s="28" t="str">
        <f>IF(NOT(ISERROR(MATCH(D123,'Tannbleking - Oppsalg US'!D:D, 0))), "Ja", "")</f>
        <v/>
      </c>
      <c r="H123" s="28"/>
      <c r="I123" s="34"/>
      <c r="J123" s="21"/>
      <c r="K123" s="22"/>
      <c r="L123" s="23"/>
      <c r="M123" s="24"/>
      <c r="N123" s="25"/>
      <c r="O123" s="26"/>
      <c r="P123" s="26"/>
      <c r="Q123" s="25"/>
      <c r="R123" s="25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</row>
    <row r="124">
      <c r="A124" s="31"/>
      <c r="B124" s="32"/>
      <c r="C124" s="33"/>
      <c r="D124" s="33"/>
      <c r="E124" s="27"/>
      <c r="F124" s="29"/>
      <c r="G124" s="28" t="str">
        <f>IF(NOT(ISERROR(MATCH(D124,'Tannbleking - Oppsalg US'!D:D, 0))), "Ja", "")</f>
        <v/>
      </c>
      <c r="H124" s="28"/>
      <c r="I124" s="34"/>
      <c r="J124" s="21"/>
      <c r="K124" s="22"/>
      <c r="L124" s="23"/>
      <c r="M124" s="24"/>
      <c r="N124" s="25"/>
      <c r="O124" s="26"/>
      <c r="P124" s="26"/>
      <c r="Q124" s="25"/>
      <c r="R124" s="25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</row>
    <row r="125">
      <c r="A125" s="31"/>
      <c r="B125" s="32"/>
      <c r="C125" s="33"/>
      <c r="D125" s="33"/>
      <c r="E125" s="27"/>
      <c r="F125" s="29"/>
      <c r="G125" s="28" t="str">
        <f>IF(NOT(ISERROR(MATCH(D125,'Tannbleking - Oppsalg US'!D:D, 0))), "Ja", "")</f>
        <v/>
      </c>
      <c r="H125" s="28"/>
      <c r="I125" s="34"/>
      <c r="J125" s="21"/>
      <c r="K125" s="22"/>
      <c r="L125" s="23"/>
      <c r="M125" s="24"/>
      <c r="N125" s="25"/>
      <c r="O125" s="26"/>
      <c r="P125" s="26"/>
      <c r="Q125" s="25"/>
      <c r="R125" s="25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</row>
    <row r="126">
      <c r="A126" s="31"/>
      <c r="B126" s="32"/>
      <c r="C126" s="33"/>
      <c r="D126" s="33"/>
      <c r="E126" s="27"/>
      <c r="F126" s="29"/>
      <c r="G126" s="28" t="str">
        <f>IF(NOT(ISERROR(MATCH(D126,'Tannbleking - Oppsalg US'!D:D, 0))), "Ja", "")</f>
        <v/>
      </c>
      <c r="H126" s="28"/>
      <c r="I126" s="34"/>
      <c r="J126" s="21"/>
      <c r="K126" s="22"/>
      <c r="L126" s="23"/>
      <c r="M126" s="24"/>
      <c r="N126" s="25"/>
      <c r="O126" s="26"/>
      <c r="P126" s="26"/>
      <c r="Q126" s="25"/>
      <c r="R126" s="25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</row>
    <row r="127">
      <c r="A127" s="31"/>
      <c r="B127" s="32"/>
      <c r="C127" s="33"/>
      <c r="D127" s="33"/>
      <c r="E127" s="27"/>
      <c r="F127" s="29"/>
      <c r="G127" s="28" t="str">
        <f>IF(NOT(ISERROR(MATCH(D127,'Tannbleking - Oppsalg US'!D:D, 0))), "Ja", "")</f>
        <v/>
      </c>
      <c r="H127" s="28"/>
      <c r="I127" s="34"/>
      <c r="J127" s="21"/>
      <c r="K127" s="22"/>
      <c r="L127" s="23"/>
      <c r="M127" s="24"/>
      <c r="N127" s="25"/>
      <c r="O127" s="26"/>
      <c r="P127" s="26"/>
      <c r="Q127" s="25"/>
      <c r="R127" s="25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</row>
    <row r="128">
      <c r="A128" s="31"/>
      <c r="B128" s="32"/>
      <c r="C128" s="33"/>
      <c r="D128" s="33"/>
      <c r="E128" s="27"/>
      <c r="F128" s="29"/>
      <c r="G128" s="28" t="str">
        <f>IF(NOT(ISERROR(MATCH(D128,'Tannbleking - Oppsalg US'!D:D, 0))), "Ja", "")</f>
        <v/>
      </c>
      <c r="H128" s="28"/>
      <c r="I128" s="34"/>
      <c r="J128" s="21"/>
      <c r="K128" s="22"/>
      <c r="L128" s="23"/>
      <c r="M128" s="24"/>
      <c r="N128" s="25"/>
      <c r="O128" s="26"/>
      <c r="P128" s="26"/>
      <c r="Q128" s="25"/>
      <c r="R128" s="25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</row>
    <row r="129">
      <c r="A129" s="31"/>
      <c r="B129" s="32"/>
      <c r="C129" s="33"/>
      <c r="D129" s="33"/>
      <c r="E129" s="27"/>
      <c r="F129" s="29"/>
      <c r="G129" s="28" t="str">
        <f>IF(NOT(ISERROR(MATCH(D129,'Tannbleking - Oppsalg US'!D:D, 0))), "Ja", "")</f>
        <v/>
      </c>
      <c r="H129" s="28"/>
      <c r="I129" s="34"/>
      <c r="J129" s="21"/>
      <c r="K129" s="22"/>
      <c r="L129" s="23"/>
      <c r="M129" s="24"/>
      <c r="N129" s="25"/>
      <c r="O129" s="26"/>
      <c r="P129" s="26"/>
      <c r="Q129" s="25"/>
      <c r="R129" s="25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</row>
    <row r="130">
      <c r="A130" s="31"/>
      <c r="B130" s="32"/>
      <c r="C130" s="33"/>
      <c r="D130" s="33"/>
      <c r="E130" s="27"/>
      <c r="F130" s="29"/>
      <c r="G130" s="28" t="str">
        <f>IF(NOT(ISERROR(MATCH(D130,'Tannbleking - Oppsalg US'!D:D, 0))), "Ja", "")</f>
        <v/>
      </c>
      <c r="H130" s="28"/>
      <c r="I130" s="34"/>
      <c r="J130" s="21"/>
      <c r="K130" s="22"/>
      <c r="L130" s="23"/>
      <c r="M130" s="24"/>
      <c r="N130" s="25"/>
      <c r="O130" s="26"/>
      <c r="P130" s="26"/>
      <c r="Q130" s="25"/>
      <c r="R130" s="25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</row>
    <row r="131">
      <c r="A131" s="31"/>
      <c r="B131" s="32"/>
      <c r="C131" s="33"/>
      <c r="D131" s="33"/>
      <c r="E131" s="27"/>
      <c r="F131" s="29"/>
      <c r="G131" s="28" t="str">
        <f>IF(NOT(ISERROR(MATCH(D131,'Tannbleking - Oppsalg US'!D:D, 0))), "Ja", "")</f>
        <v/>
      </c>
      <c r="H131" s="28"/>
      <c r="I131" s="34"/>
      <c r="J131" s="21"/>
      <c r="K131" s="22"/>
      <c r="L131" s="23"/>
      <c r="M131" s="24"/>
      <c r="N131" s="25"/>
      <c r="O131" s="26"/>
      <c r="P131" s="26"/>
      <c r="Q131" s="25"/>
      <c r="R131" s="25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</row>
    <row r="132">
      <c r="A132" s="31"/>
      <c r="B132" s="32"/>
      <c r="C132" s="33"/>
      <c r="D132" s="33"/>
      <c r="E132" s="27"/>
      <c r="F132" s="29"/>
      <c r="G132" s="28" t="str">
        <f>IF(NOT(ISERROR(MATCH(D132,'Tannbleking - Oppsalg US'!D:D, 0))), "Ja", "")</f>
        <v/>
      </c>
      <c r="H132" s="28"/>
      <c r="I132" s="34"/>
      <c r="J132" s="21"/>
      <c r="K132" s="22"/>
      <c r="L132" s="23"/>
      <c r="M132" s="24"/>
      <c r="N132" s="25"/>
      <c r="O132" s="26"/>
      <c r="P132" s="26"/>
      <c r="Q132" s="25"/>
      <c r="R132" s="25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</row>
    <row r="133">
      <c r="A133" s="31"/>
      <c r="B133" s="32"/>
      <c r="C133" s="33"/>
      <c r="D133" s="33"/>
      <c r="E133" s="27"/>
      <c r="F133" s="29"/>
      <c r="G133" s="28" t="str">
        <f>IF(NOT(ISERROR(MATCH(D133,'Tannbleking - Oppsalg US'!D:D, 0))), "Ja", "")</f>
        <v/>
      </c>
      <c r="H133" s="28"/>
      <c r="I133" s="34"/>
      <c r="J133" s="21"/>
      <c r="K133" s="22"/>
      <c r="L133" s="23"/>
      <c r="M133" s="24"/>
      <c r="N133" s="25"/>
      <c r="O133" s="26"/>
      <c r="P133" s="26"/>
      <c r="Q133" s="25"/>
      <c r="R133" s="25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</row>
    <row r="134">
      <c r="A134" s="31"/>
      <c r="B134" s="32"/>
      <c r="C134" s="33"/>
      <c r="D134" s="33"/>
      <c r="E134" s="27"/>
      <c r="F134" s="29"/>
      <c r="G134" s="28" t="str">
        <f>IF(NOT(ISERROR(MATCH(D134,'Tannbleking - Oppsalg US'!D:D, 0))), "Ja", "")</f>
        <v/>
      </c>
      <c r="H134" s="28"/>
      <c r="I134" s="34"/>
      <c r="J134" s="21"/>
      <c r="K134" s="22"/>
      <c r="L134" s="23"/>
      <c r="M134" s="24"/>
      <c r="N134" s="25"/>
      <c r="O134" s="26"/>
      <c r="P134" s="26"/>
      <c r="Q134" s="25"/>
      <c r="R134" s="25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</row>
    <row r="135">
      <c r="A135" s="31"/>
      <c r="B135" s="32"/>
      <c r="C135" s="33"/>
      <c r="D135" s="33"/>
      <c r="E135" s="27"/>
      <c r="F135" s="29"/>
      <c r="G135" s="34"/>
      <c r="H135" s="34"/>
      <c r="I135" s="34"/>
      <c r="J135" s="21"/>
      <c r="K135" s="22"/>
      <c r="L135" s="23"/>
      <c r="M135" s="24"/>
      <c r="N135" s="25"/>
      <c r="O135" s="26"/>
      <c r="P135" s="26"/>
      <c r="Q135" s="25"/>
      <c r="R135" s="25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</row>
    <row r="136">
      <c r="A136" s="31"/>
      <c r="B136" s="32"/>
      <c r="C136" s="33"/>
      <c r="D136" s="33"/>
      <c r="E136" s="27"/>
      <c r="F136" s="29"/>
      <c r="G136" s="34"/>
      <c r="H136" s="34"/>
      <c r="I136" s="34"/>
      <c r="J136" s="21"/>
      <c r="K136" s="22"/>
      <c r="L136" s="23"/>
      <c r="M136" s="24"/>
      <c r="N136" s="25"/>
      <c r="O136" s="26"/>
      <c r="P136" s="26"/>
      <c r="Q136" s="25"/>
      <c r="R136" s="25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</row>
    <row r="137">
      <c r="A137" s="31"/>
      <c r="B137" s="32"/>
      <c r="C137" s="33"/>
      <c r="D137" s="33"/>
      <c r="E137" s="27"/>
      <c r="F137" s="29"/>
      <c r="G137" s="34"/>
      <c r="H137" s="34"/>
      <c r="I137" s="34"/>
      <c r="J137" s="21"/>
      <c r="K137" s="22"/>
      <c r="L137" s="23"/>
      <c r="M137" s="24"/>
      <c r="N137" s="25"/>
      <c r="O137" s="26"/>
      <c r="P137" s="26"/>
      <c r="Q137" s="25"/>
      <c r="R137" s="25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</row>
    <row r="138">
      <c r="A138" s="31"/>
      <c r="B138" s="32"/>
      <c r="C138" s="33"/>
      <c r="D138" s="33"/>
      <c r="E138" s="27"/>
      <c r="F138" s="29"/>
      <c r="G138" s="34"/>
      <c r="H138" s="34"/>
      <c r="I138" s="34"/>
      <c r="J138" s="21"/>
      <c r="K138" s="22"/>
      <c r="L138" s="23"/>
      <c r="M138" s="24"/>
      <c r="N138" s="25"/>
      <c r="O138" s="26"/>
      <c r="P138" s="26"/>
      <c r="Q138" s="25"/>
      <c r="R138" s="25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</row>
    <row r="139">
      <c r="A139" s="31"/>
      <c r="B139" s="32"/>
      <c r="C139" s="33"/>
      <c r="D139" s="33"/>
      <c r="E139" s="27"/>
      <c r="F139" s="29"/>
      <c r="G139" s="34"/>
      <c r="H139" s="34"/>
      <c r="I139" s="34"/>
      <c r="J139" s="21"/>
      <c r="K139" s="22"/>
      <c r="L139" s="23"/>
      <c r="M139" s="24"/>
      <c r="N139" s="25"/>
      <c r="O139" s="26"/>
      <c r="P139" s="26"/>
      <c r="Q139" s="25"/>
      <c r="R139" s="25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</row>
    <row r="140">
      <c r="A140" s="31"/>
      <c r="B140" s="32"/>
      <c r="C140" s="33"/>
      <c r="D140" s="33"/>
      <c r="E140" s="27"/>
      <c r="F140" s="29"/>
      <c r="G140" s="34"/>
      <c r="H140" s="34"/>
      <c r="I140" s="34"/>
      <c r="J140" s="21"/>
      <c r="K140" s="22"/>
      <c r="L140" s="23"/>
      <c r="M140" s="24"/>
      <c r="N140" s="25"/>
      <c r="O140" s="26"/>
      <c r="P140" s="26"/>
      <c r="Q140" s="25"/>
      <c r="R140" s="25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</row>
    <row r="141">
      <c r="A141" s="31"/>
      <c r="B141" s="32"/>
      <c r="C141" s="33"/>
      <c r="D141" s="33"/>
      <c r="E141" s="27"/>
      <c r="F141" s="29"/>
      <c r="G141" s="34"/>
      <c r="H141" s="34"/>
      <c r="I141" s="34"/>
      <c r="J141" s="21"/>
      <c r="K141" s="22"/>
      <c r="L141" s="23"/>
      <c r="M141" s="24"/>
      <c r="N141" s="25"/>
      <c r="O141" s="26"/>
      <c r="P141" s="26"/>
      <c r="Q141" s="25"/>
      <c r="R141" s="25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</row>
    <row r="142">
      <c r="A142" s="31"/>
      <c r="B142" s="32"/>
      <c r="C142" s="33"/>
      <c r="D142" s="33"/>
      <c r="E142" s="27"/>
      <c r="F142" s="29"/>
      <c r="G142" s="34"/>
      <c r="H142" s="34"/>
      <c r="I142" s="34"/>
      <c r="J142" s="21"/>
      <c r="K142" s="22"/>
      <c r="L142" s="23"/>
      <c r="M142" s="24"/>
      <c r="N142" s="25"/>
      <c r="O142" s="26"/>
      <c r="P142" s="26"/>
      <c r="Q142" s="25"/>
      <c r="R142" s="25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</row>
    <row r="143">
      <c r="A143" s="31"/>
      <c r="B143" s="32"/>
      <c r="C143" s="33"/>
      <c r="D143" s="33"/>
      <c r="E143" s="27"/>
      <c r="F143" s="29"/>
      <c r="G143" s="34"/>
      <c r="H143" s="34"/>
      <c r="I143" s="34"/>
      <c r="J143" s="21"/>
      <c r="K143" s="22"/>
      <c r="L143" s="23"/>
      <c r="M143" s="24"/>
      <c r="N143" s="25"/>
      <c r="O143" s="26"/>
      <c r="P143" s="26"/>
      <c r="Q143" s="25"/>
      <c r="R143" s="25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</row>
    <row r="144">
      <c r="A144" s="31"/>
      <c r="B144" s="32"/>
      <c r="C144" s="33"/>
      <c r="D144" s="33"/>
      <c r="E144" s="27"/>
      <c r="F144" s="29"/>
      <c r="G144" s="34"/>
      <c r="H144" s="34"/>
      <c r="I144" s="34"/>
      <c r="J144" s="21"/>
      <c r="K144" s="22"/>
      <c r="L144" s="23"/>
      <c r="M144" s="24"/>
      <c r="N144" s="25"/>
      <c r="O144" s="26"/>
      <c r="P144" s="26"/>
      <c r="Q144" s="25"/>
      <c r="R144" s="25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</row>
    <row r="145">
      <c r="A145" s="31"/>
      <c r="B145" s="32"/>
      <c r="C145" s="33"/>
      <c r="D145" s="33"/>
      <c r="E145" s="27"/>
      <c r="F145" s="29"/>
      <c r="G145" s="34"/>
      <c r="H145" s="34"/>
      <c r="I145" s="34"/>
      <c r="J145" s="21"/>
      <c r="K145" s="22"/>
      <c r="L145" s="23"/>
      <c r="M145" s="24"/>
      <c r="N145" s="25"/>
      <c r="O145" s="26"/>
      <c r="P145" s="26"/>
      <c r="Q145" s="25"/>
      <c r="R145" s="25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</row>
    <row r="146">
      <c r="A146" s="31"/>
      <c r="B146" s="32"/>
      <c r="C146" s="33"/>
      <c r="D146" s="33"/>
      <c r="E146" s="27"/>
      <c r="F146" s="29"/>
      <c r="G146" s="34"/>
      <c r="H146" s="34"/>
      <c r="I146" s="34"/>
      <c r="J146" s="21"/>
      <c r="K146" s="22"/>
      <c r="L146" s="23"/>
      <c r="M146" s="24"/>
      <c r="N146" s="25"/>
      <c r="O146" s="26"/>
      <c r="P146" s="26"/>
      <c r="Q146" s="25"/>
      <c r="R146" s="25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</row>
    <row r="147">
      <c r="A147" s="31"/>
      <c r="B147" s="32"/>
      <c r="C147" s="33"/>
      <c r="D147" s="33"/>
      <c r="E147" s="27"/>
      <c r="F147" s="29"/>
      <c r="G147" s="34"/>
      <c r="H147" s="34"/>
      <c r="I147" s="34"/>
      <c r="J147" s="21"/>
      <c r="K147" s="22"/>
      <c r="L147" s="23"/>
      <c r="M147" s="24"/>
      <c r="N147" s="25"/>
      <c r="O147" s="26"/>
      <c r="P147" s="26"/>
      <c r="Q147" s="25"/>
      <c r="R147" s="25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</row>
    <row r="148">
      <c r="A148" s="31"/>
      <c r="B148" s="32"/>
      <c r="C148" s="33"/>
      <c r="D148" s="33"/>
      <c r="E148" s="27"/>
      <c r="F148" s="29"/>
      <c r="G148" s="34"/>
      <c r="H148" s="34"/>
      <c r="I148" s="34"/>
      <c r="J148" s="21"/>
      <c r="K148" s="22"/>
      <c r="L148" s="23"/>
      <c r="M148" s="24"/>
      <c r="N148" s="25"/>
      <c r="O148" s="26"/>
      <c r="P148" s="26"/>
      <c r="Q148" s="25"/>
      <c r="R148" s="25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</row>
    <row r="149">
      <c r="A149" s="31"/>
      <c r="B149" s="32"/>
      <c r="C149" s="33"/>
      <c r="D149" s="33"/>
      <c r="E149" s="27"/>
      <c r="F149" s="29"/>
      <c r="G149" s="34"/>
      <c r="H149" s="34"/>
      <c r="I149" s="34"/>
      <c r="J149" s="21"/>
      <c r="K149" s="22"/>
      <c r="L149" s="23"/>
      <c r="M149" s="24"/>
      <c r="N149" s="25"/>
      <c r="O149" s="26"/>
      <c r="P149" s="26"/>
      <c r="Q149" s="25"/>
      <c r="R149" s="25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</row>
    <row r="150">
      <c r="A150" s="31"/>
      <c r="B150" s="32"/>
      <c r="C150" s="33"/>
      <c r="D150" s="33"/>
      <c r="E150" s="27"/>
      <c r="F150" s="29"/>
      <c r="G150" s="34"/>
      <c r="H150" s="34"/>
      <c r="I150" s="34"/>
      <c r="J150" s="21"/>
      <c r="K150" s="22"/>
      <c r="L150" s="23"/>
      <c r="M150" s="24"/>
      <c r="N150" s="25"/>
      <c r="O150" s="26"/>
      <c r="P150" s="26"/>
      <c r="Q150" s="25"/>
      <c r="R150" s="25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</row>
    <row r="151">
      <c r="A151" s="31"/>
      <c r="B151" s="32"/>
      <c r="C151" s="33"/>
      <c r="D151" s="33"/>
      <c r="E151" s="27"/>
      <c r="F151" s="29"/>
      <c r="G151" s="34"/>
      <c r="H151" s="34"/>
      <c r="I151" s="34"/>
      <c r="J151" s="21"/>
      <c r="K151" s="22"/>
      <c r="L151" s="23"/>
      <c r="M151" s="24"/>
      <c r="N151" s="25"/>
      <c r="O151" s="26"/>
      <c r="P151" s="26"/>
      <c r="Q151" s="25"/>
      <c r="R151" s="25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</row>
    <row r="152">
      <c r="A152" s="31"/>
      <c r="B152" s="32"/>
      <c r="C152" s="33"/>
      <c r="D152" s="33"/>
      <c r="E152" s="27"/>
      <c r="F152" s="29"/>
      <c r="G152" s="34"/>
      <c r="H152" s="34"/>
      <c r="I152" s="34"/>
      <c r="J152" s="21"/>
      <c r="K152" s="22"/>
      <c r="L152" s="23"/>
      <c r="M152" s="24"/>
      <c r="N152" s="25"/>
      <c r="O152" s="26"/>
      <c r="P152" s="26"/>
      <c r="Q152" s="25"/>
      <c r="R152" s="25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</row>
    <row r="153">
      <c r="A153" s="31"/>
      <c r="B153" s="32"/>
      <c r="C153" s="33"/>
      <c r="D153" s="33"/>
      <c r="E153" s="27"/>
      <c r="F153" s="29"/>
      <c r="G153" s="34"/>
      <c r="H153" s="34"/>
      <c r="I153" s="34"/>
      <c r="J153" s="21"/>
      <c r="K153" s="22"/>
      <c r="L153" s="23"/>
      <c r="M153" s="24"/>
      <c r="N153" s="25"/>
      <c r="O153" s="26"/>
      <c r="P153" s="26"/>
      <c r="Q153" s="25"/>
      <c r="R153" s="25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</row>
    <row r="154">
      <c r="A154" s="31"/>
      <c r="B154" s="32"/>
      <c r="C154" s="33"/>
      <c r="D154" s="33"/>
      <c r="E154" s="27"/>
      <c r="F154" s="29"/>
      <c r="G154" s="34"/>
      <c r="H154" s="34"/>
      <c r="I154" s="34"/>
      <c r="J154" s="21"/>
      <c r="K154" s="22"/>
      <c r="L154" s="23"/>
      <c r="M154" s="24"/>
      <c r="N154" s="25"/>
      <c r="O154" s="26"/>
      <c r="P154" s="26"/>
      <c r="Q154" s="25"/>
      <c r="R154" s="25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</row>
    <row r="155">
      <c r="A155" s="31"/>
      <c r="B155" s="32"/>
      <c r="C155" s="33"/>
      <c r="D155" s="33"/>
      <c r="E155" s="27"/>
      <c r="F155" s="29"/>
      <c r="G155" s="34"/>
      <c r="H155" s="34"/>
      <c r="I155" s="34"/>
      <c r="J155" s="21"/>
      <c r="K155" s="22"/>
      <c r="L155" s="23"/>
      <c r="M155" s="24"/>
      <c r="N155" s="25"/>
      <c r="O155" s="26"/>
      <c r="P155" s="26"/>
      <c r="Q155" s="25"/>
      <c r="R155" s="25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</row>
    <row r="156">
      <c r="A156" s="31"/>
      <c r="B156" s="32"/>
      <c r="C156" s="33"/>
      <c r="D156" s="33"/>
      <c r="E156" s="27"/>
      <c r="F156" s="29"/>
      <c r="G156" s="34"/>
      <c r="H156" s="34"/>
      <c r="I156" s="34"/>
      <c r="J156" s="21"/>
      <c r="K156" s="22"/>
      <c r="L156" s="23"/>
      <c r="M156" s="24"/>
      <c r="N156" s="25"/>
      <c r="O156" s="26"/>
      <c r="P156" s="26"/>
      <c r="Q156" s="25"/>
      <c r="R156" s="25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</row>
    <row r="157">
      <c r="A157" s="31"/>
      <c r="B157" s="32"/>
      <c r="C157" s="33"/>
      <c r="D157" s="33"/>
      <c r="E157" s="27"/>
      <c r="F157" s="29"/>
      <c r="G157" s="34"/>
      <c r="H157" s="34"/>
      <c r="I157" s="34"/>
      <c r="J157" s="21"/>
      <c r="K157" s="22"/>
      <c r="L157" s="23"/>
      <c r="M157" s="24"/>
      <c r="N157" s="25"/>
      <c r="O157" s="26"/>
      <c r="P157" s="26"/>
      <c r="Q157" s="25"/>
      <c r="R157" s="25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</row>
    <row r="158">
      <c r="A158" s="31"/>
      <c r="B158" s="32"/>
      <c r="C158" s="33"/>
      <c r="D158" s="33"/>
      <c r="E158" s="27"/>
      <c r="F158" s="29"/>
      <c r="G158" s="34"/>
      <c r="H158" s="34"/>
      <c r="I158" s="34"/>
      <c r="J158" s="21"/>
      <c r="K158" s="22"/>
      <c r="L158" s="23"/>
      <c r="M158" s="24"/>
      <c r="N158" s="25"/>
      <c r="O158" s="26"/>
      <c r="P158" s="26"/>
      <c r="Q158" s="25"/>
      <c r="R158" s="25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</row>
    <row r="159">
      <c r="A159" s="31"/>
      <c r="B159" s="32"/>
      <c r="C159" s="33"/>
      <c r="D159" s="33"/>
      <c r="E159" s="27"/>
      <c r="F159" s="29"/>
      <c r="G159" s="34"/>
      <c r="H159" s="34"/>
      <c r="I159" s="34"/>
      <c r="J159" s="21"/>
      <c r="K159" s="22"/>
      <c r="L159" s="23"/>
      <c r="M159" s="24"/>
      <c r="N159" s="25"/>
      <c r="O159" s="26"/>
      <c r="P159" s="26"/>
      <c r="Q159" s="25"/>
      <c r="R159" s="25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</row>
    <row r="160">
      <c r="A160" s="31"/>
      <c r="B160" s="32"/>
      <c r="C160" s="33"/>
      <c r="D160" s="33"/>
      <c r="E160" s="27"/>
      <c r="F160" s="29"/>
      <c r="G160" s="34"/>
      <c r="H160" s="34"/>
      <c r="I160" s="34"/>
      <c r="J160" s="21"/>
      <c r="K160" s="22"/>
      <c r="L160" s="23"/>
      <c r="M160" s="24"/>
      <c r="N160" s="25"/>
      <c r="O160" s="26"/>
      <c r="P160" s="26"/>
      <c r="Q160" s="25"/>
      <c r="R160" s="25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</row>
    <row r="161">
      <c r="A161" s="31"/>
      <c r="B161" s="32"/>
      <c r="C161" s="33"/>
      <c r="D161" s="33"/>
      <c r="E161" s="27"/>
      <c r="F161" s="29"/>
      <c r="G161" s="34"/>
      <c r="H161" s="34"/>
      <c r="I161" s="34"/>
      <c r="J161" s="21"/>
      <c r="K161" s="22"/>
      <c r="L161" s="23"/>
      <c r="M161" s="24"/>
      <c r="N161" s="25"/>
      <c r="O161" s="26"/>
      <c r="P161" s="26"/>
      <c r="Q161" s="25"/>
      <c r="R161" s="25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</row>
    <row r="162">
      <c r="A162" s="31"/>
      <c r="B162" s="32"/>
      <c r="C162" s="33"/>
      <c r="D162" s="33"/>
      <c r="E162" s="27"/>
      <c r="F162" s="29"/>
      <c r="G162" s="34"/>
      <c r="H162" s="34"/>
      <c r="I162" s="34"/>
      <c r="J162" s="21"/>
      <c r="K162" s="22"/>
      <c r="L162" s="23"/>
      <c r="M162" s="24"/>
      <c r="N162" s="25"/>
      <c r="O162" s="26"/>
      <c r="P162" s="26"/>
      <c r="Q162" s="25"/>
      <c r="R162" s="25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</row>
    <row r="163">
      <c r="A163" s="31"/>
      <c r="B163" s="32"/>
      <c r="C163" s="33"/>
      <c r="D163" s="33"/>
      <c r="E163" s="27"/>
      <c r="F163" s="29"/>
      <c r="G163" s="34"/>
      <c r="H163" s="34"/>
      <c r="I163" s="34"/>
      <c r="J163" s="21"/>
      <c r="K163" s="22"/>
      <c r="L163" s="23"/>
      <c r="M163" s="24"/>
      <c r="N163" s="25"/>
      <c r="O163" s="26"/>
      <c r="P163" s="26"/>
      <c r="Q163" s="25"/>
      <c r="R163" s="25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</row>
    <row r="164">
      <c r="A164" s="31"/>
      <c r="B164" s="32"/>
      <c r="C164" s="33"/>
      <c r="D164" s="33"/>
      <c r="E164" s="27"/>
      <c r="F164" s="29"/>
      <c r="G164" s="34"/>
      <c r="H164" s="34"/>
      <c r="I164" s="34"/>
      <c r="J164" s="21"/>
      <c r="K164" s="22"/>
      <c r="L164" s="23"/>
      <c r="M164" s="24"/>
      <c r="N164" s="25"/>
      <c r="O164" s="26"/>
      <c r="P164" s="26"/>
      <c r="Q164" s="25"/>
      <c r="R164" s="25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</row>
    <row r="165">
      <c r="A165" s="31"/>
      <c r="B165" s="32"/>
      <c r="C165" s="33"/>
      <c r="D165" s="33"/>
      <c r="E165" s="27"/>
      <c r="F165" s="29"/>
      <c r="G165" s="34"/>
      <c r="H165" s="34"/>
      <c r="I165" s="34"/>
      <c r="J165" s="21"/>
      <c r="K165" s="22"/>
      <c r="L165" s="23"/>
      <c r="M165" s="24"/>
      <c r="N165" s="25"/>
      <c r="O165" s="26"/>
      <c r="P165" s="26"/>
      <c r="Q165" s="25"/>
      <c r="R165" s="25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</row>
    <row r="166">
      <c r="A166" s="31"/>
      <c r="B166" s="32"/>
      <c r="C166" s="33"/>
      <c r="D166" s="33"/>
      <c r="E166" s="27"/>
      <c r="F166" s="29"/>
      <c r="G166" s="34"/>
      <c r="H166" s="34"/>
      <c r="I166" s="34"/>
      <c r="J166" s="21"/>
      <c r="K166" s="22"/>
      <c r="L166" s="23"/>
      <c r="M166" s="24"/>
      <c r="N166" s="25"/>
      <c r="O166" s="26"/>
      <c r="P166" s="26"/>
      <c r="Q166" s="25"/>
      <c r="R166" s="25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</row>
    <row r="167">
      <c r="A167" s="31"/>
      <c r="B167" s="32"/>
      <c r="C167" s="33"/>
      <c r="D167" s="33"/>
      <c r="E167" s="27"/>
      <c r="F167" s="29"/>
      <c r="G167" s="34"/>
      <c r="H167" s="34"/>
      <c r="I167" s="34"/>
      <c r="J167" s="21"/>
      <c r="K167" s="22"/>
      <c r="L167" s="23"/>
      <c r="M167" s="24"/>
      <c r="N167" s="25"/>
      <c r="O167" s="26"/>
      <c r="P167" s="26"/>
      <c r="Q167" s="25"/>
      <c r="R167" s="25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</row>
    <row r="168">
      <c r="A168" s="31"/>
      <c r="B168" s="32"/>
      <c r="C168" s="33"/>
      <c r="D168" s="33"/>
      <c r="E168" s="27"/>
      <c r="F168" s="29"/>
      <c r="G168" s="34"/>
      <c r="H168" s="34"/>
      <c r="I168" s="34"/>
      <c r="J168" s="21"/>
      <c r="K168" s="22"/>
      <c r="L168" s="23"/>
      <c r="M168" s="24"/>
      <c r="N168" s="25"/>
      <c r="O168" s="26"/>
      <c r="P168" s="26"/>
      <c r="Q168" s="25"/>
      <c r="R168" s="25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</row>
    <row r="169">
      <c r="A169" s="31"/>
      <c r="B169" s="32"/>
      <c r="C169" s="33"/>
      <c r="D169" s="33"/>
      <c r="E169" s="27"/>
      <c r="F169" s="29"/>
      <c r="G169" s="34"/>
      <c r="H169" s="34"/>
      <c r="I169" s="34"/>
      <c r="J169" s="21"/>
      <c r="K169" s="22"/>
      <c r="L169" s="23"/>
      <c r="M169" s="24"/>
      <c r="N169" s="25"/>
      <c r="O169" s="26"/>
      <c r="P169" s="26"/>
      <c r="Q169" s="25"/>
      <c r="R169" s="25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</row>
    <row r="170">
      <c r="A170" s="31"/>
      <c r="B170" s="32"/>
      <c r="C170" s="33"/>
      <c r="D170" s="33"/>
      <c r="E170" s="27"/>
      <c r="F170" s="29"/>
      <c r="G170" s="34"/>
      <c r="H170" s="34"/>
      <c r="I170" s="34"/>
      <c r="J170" s="21"/>
      <c r="K170" s="22"/>
      <c r="L170" s="23"/>
      <c r="M170" s="24"/>
      <c r="N170" s="25"/>
      <c r="O170" s="26"/>
      <c r="P170" s="26"/>
      <c r="Q170" s="25"/>
      <c r="R170" s="25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</row>
    <row r="171">
      <c r="A171" s="31"/>
      <c r="B171" s="32"/>
      <c r="C171" s="33"/>
      <c r="D171" s="33"/>
      <c r="E171" s="27"/>
      <c r="F171" s="29"/>
      <c r="G171" s="34"/>
      <c r="H171" s="34"/>
      <c r="I171" s="34"/>
      <c r="J171" s="21"/>
      <c r="K171" s="22"/>
      <c r="L171" s="23"/>
      <c r="M171" s="24"/>
      <c r="N171" s="25"/>
      <c r="O171" s="26"/>
      <c r="P171" s="26"/>
      <c r="Q171" s="25"/>
      <c r="R171" s="25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</row>
    <row r="172">
      <c r="A172" s="31"/>
      <c r="B172" s="32"/>
      <c r="C172" s="33"/>
      <c r="D172" s="33"/>
      <c r="E172" s="27"/>
      <c r="F172" s="29"/>
      <c r="G172" s="34"/>
      <c r="H172" s="34"/>
      <c r="I172" s="34"/>
      <c r="J172" s="21"/>
      <c r="K172" s="22"/>
      <c r="L172" s="23"/>
      <c r="M172" s="24"/>
      <c r="N172" s="25"/>
      <c r="O172" s="26"/>
      <c r="P172" s="26"/>
      <c r="Q172" s="25"/>
      <c r="R172" s="25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</row>
    <row r="173">
      <c r="A173" s="31"/>
      <c r="B173" s="32"/>
      <c r="C173" s="33"/>
      <c r="D173" s="33"/>
      <c r="E173" s="27"/>
      <c r="F173" s="29"/>
      <c r="G173" s="34"/>
      <c r="H173" s="34"/>
      <c r="I173" s="34"/>
      <c r="J173" s="21"/>
      <c r="K173" s="22"/>
      <c r="L173" s="23"/>
      <c r="M173" s="24"/>
      <c r="N173" s="25"/>
      <c r="O173" s="26"/>
      <c r="P173" s="26"/>
      <c r="Q173" s="25"/>
      <c r="R173" s="25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</row>
    <row r="174">
      <c r="A174" s="31"/>
      <c r="B174" s="32"/>
      <c r="C174" s="33"/>
      <c r="D174" s="33"/>
      <c r="E174" s="27"/>
      <c r="F174" s="29"/>
      <c r="G174" s="34"/>
      <c r="H174" s="34"/>
      <c r="I174" s="34"/>
      <c r="J174" s="21"/>
      <c r="K174" s="22"/>
      <c r="L174" s="23"/>
      <c r="M174" s="24"/>
      <c r="N174" s="25"/>
      <c r="O174" s="26"/>
      <c r="P174" s="26"/>
      <c r="Q174" s="25"/>
      <c r="R174" s="25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</row>
    <row r="175">
      <c r="A175" s="31"/>
      <c r="B175" s="32"/>
      <c r="C175" s="33"/>
      <c r="D175" s="33"/>
      <c r="E175" s="27"/>
      <c r="F175" s="29"/>
      <c r="G175" s="34"/>
      <c r="H175" s="34"/>
      <c r="I175" s="34"/>
      <c r="J175" s="21"/>
      <c r="K175" s="22"/>
      <c r="L175" s="23"/>
      <c r="M175" s="24"/>
      <c r="N175" s="25"/>
      <c r="O175" s="26"/>
      <c r="P175" s="26"/>
      <c r="Q175" s="25"/>
      <c r="R175" s="25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</row>
    <row r="176">
      <c r="A176" s="31"/>
      <c r="B176" s="32"/>
      <c r="C176" s="33"/>
      <c r="D176" s="33"/>
      <c r="E176" s="27"/>
      <c r="F176" s="29"/>
      <c r="G176" s="34"/>
      <c r="H176" s="34"/>
      <c r="I176" s="34"/>
      <c r="J176" s="21"/>
      <c r="K176" s="22"/>
      <c r="L176" s="23"/>
      <c r="M176" s="24"/>
      <c r="N176" s="25"/>
      <c r="O176" s="26"/>
      <c r="P176" s="26"/>
      <c r="Q176" s="25"/>
      <c r="R176" s="25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</row>
    <row r="177">
      <c r="A177" s="31"/>
      <c r="B177" s="32"/>
      <c r="C177" s="33"/>
      <c r="D177" s="33"/>
      <c r="E177" s="27"/>
      <c r="F177" s="29"/>
      <c r="G177" s="34"/>
      <c r="H177" s="34"/>
      <c r="I177" s="34"/>
      <c r="J177" s="21"/>
      <c r="K177" s="22"/>
      <c r="L177" s="23"/>
      <c r="M177" s="24"/>
      <c r="N177" s="25"/>
      <c r="O177" s="26"/>
      <c r="P177" s="26"/>
      <c r="Q177" s="25"/>
      <c r="R177" s="25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</row>
    <row r="178">
      <c r="A178" s="31"/>
      <c r="B178" s="32"/>
      <c r="C178" s="33"/>
      <c r="D178" s="33"/>
      <c r="E178" s="27"/>
      <c r="F178" s="29"/>
      <c r="G178" s="34"/>
      <c r="H178" s="34"/>
      <c r="I178" s="34"/>
      <c r="J178" s="21"/>
      <c r="K178" s="22"/>
      <c r="L178" s="23"/>
      <c r="M178" s="24"/>
      <c r="N178" s="25"/>
      <c r="O178" s="26"/>
      <c r="P178" s="26"/>
      <c r="Q178" s="25"/>
      <c r="R178" s="25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</row>
    <row r="179">
      <c r="A179" s="31"/>
      <c r="B179" s="32"/>
      <c r="C179" s="33"/>
      <c r="D179" s="33"/>
      <c r="E179" s="27"/>
      <c r="F179" s="29"/>
      <c r="G179" s="34"/>
      <c r="H179" s="34"/>
      <c r="I179" s="34"/>
      <c r="J179" s="21"/>
      <c r="K179" s="22"/>
      <c r="L179" s="23"/>
      <c r="M179" s="24"/>
      <c r="N179" s="25"/>
      <c r="O179" s="26"/>
      <c r="P179" s="26"/>
      <c r="Q179" s="25"/>
      <c r="R179" s="25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</row>
    <row r="180">
      <c r="A180" s="31"/>
      <c r="B180" s="32"/>
      <c r="C180" s="33"/>
      <c r="D180" s="33"/>
      <c r="E180" s="27"/>
      <c r="F180" s="29"/>
      <c r="G180" s="34"/>
      <c r="H180" s="34"/>
      <c r="I180" s="34"/>
      <c r="J180" s="21"/>
      <c r="K180" s="22"/>
      <c r="L180" s="23"/>
      <c r="M180" s="24"/>
      <c r="N180" s="25"/>
      <c r="O180" s="26"/>
      <c r="P180" s="26"/>
      <c r="Q180" s="25"/>
      <c r="R180" s="25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</row>
    <row r="181">
      <c r="A181" s="31"/>
      <c r="B181" s="32"/>
      <c r="C181" s="33"/>
      <c r="D181" s="33"/>
      <c r="E181" s="27"/>
      <c r="F181" s="29"/>
      <c r="G181" s="34"/>
      <c r="H181" s="34"/>
      <c r="I181" s="34"/>
      <c r="J181" s="21"/>
      <c r="K181" s="22"/>
      <c r="L181" s="23"/>
      <c r="M181" s="24"/>
      <c r="N181" s="25"/>
      <c r="O181" s="26"/>
      <c r="P181" s="26"/>
      <c r="Q181" s="25"/>
      <c r="R181" s="25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</row>
    <row r="182">
      <c r="A182" s="31"/>
      <c r="B182" s="32"/>
      <c r="C182" s="33"/>
      <c r="D182" s="33"/>
      <c r="E182" s="27"/>
      <c r="F182" s="29"/>
      <c r="G182" s="34"/>
      <c r="H182" s="34"/>
      <c r="I182" s="34"/>
      <c r="J182" s="21"/>
      <c r="K182" s="22"/>
      <c r="L182" s="23"/>
      <c r="M182" s="24"/>
      <c r="N182" s="25"/>
      <c r="O182" s="26"/>
      <c r="P182" s="26"/>
      <c r="Q182" s="25"/>
      <c r="R182" s="25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</row>
    <row r="183">
      <c r="A183" s="31"/>
      <c r="B183" s="32"/>
      <c r="C183" s="33"/>
      <c r="D183" s="33"/>
      <c r="E183" s="27"/>
      <c r="F183" s="29"/>
      <c r="G183" s="34"/>
      <c r="H183" s="34"/>
      <c r="I183" s="34"/>
      <c r="J183" s="21"/>
      <c r="K183" s="22"/>
      <c r="L183" s="23"/>
      <c r="M183" s="24"/>
      <c r="N183" s="25"/>
      <c r="O183" s="26"/>
      <c r="P183" s="26"/>
      <c r="Q183" s="25"/>
      <c r="R183" s="25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</row>
    <row r="184">
      <c r="A184" s="31"/>
      <c r="B184" s="32"/>
      <c r="C184" s="33"/>
      <c r="D184" s="33"/>
      <c r="E184" s="27"/>
      <c r="F184" s="29"/>
      <c r="G184" s="34"/>
      <c r="H184" s="34"/>
      <c r="I184" s="34"/>
      <c r="J184" s="21"/>
      <c r="K184" s="22"/>
      <c r="L184" s="23"/>
      <c r="M184" s="24"/>
      <c r="N184" s="25"/>
      <c r="O184" s="26"/>
      <c r="P184" s="26"/>
      <c r="Q184" s="25"/>
      <c r="R184" s="25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</row>
    <row r="185">
      <c r="A185" s="31"/>
      <c r="B185" s="32"/>
      <c r="C185" s="33"/>
      <c r="D185" s="33"/>
      <c r="E185" s="27"/>
      <c r="F185" s="29"/>
      <c r="G185" s="34"/>
      <c r="H185" s="34"/>
      <c r="I185" s="34"/>
      <c r="J185" s="21"/>
      <c r="K185" s="22"/>
      <c r="L185" s="23"/>
      <c r="M185" s="24"/>
      <c r="N185" s="25"/>
      <c r="O185" s="26"/>
      <c r="P185" s="26"/>
      <c r="Q185" s="25"/>
      <c r="R185" s="25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</row>
    <row r="186">
      <c r="A186" s="31"/>
      <c r="B186" s="32"/>
      <c r="C186" s="33"/>
      <c r="D186" s="33"/>
      <c r="E186" s="27"/>
      <c r="F186" s="29"/>
      <c r="G186" s="34"/>
      <c r="H186" s="34"/>
      <c r="I186" s="34"/>
      <c r="J186" s="21"/>
      <c r="K186" s="22"/>
      <c r="L186" s="23"/>
      <c r="M186" s="24"/>
      <c r="N186" s="25"/>
      <c r="O186" s="26"/>
      <c r="P186" s="26"/>
      <c r="Q186" s="25"/>
      <c r="R186" s="25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</row>
    <row r="187">
      <c r="A187" s="31"/>
      <c r="B187" s="32"/>
      <c r="C187" s="33"/>
      <c r="D187" s="33"/>
      <c r="E187" s="27"/>
      <c r="F187" s="29"/>
      <c r="G187" s="34"/>
      <c r="H187" s="34"/>
      <c r="I187" s="34"/>
      <c r="J187" s="21"/>
      <c r="K187" s="22"/>
      <c r="L187" s="23"/>
      <c r="M187" s="24"/>
      <c r="N187" s="25"/>
      <c r="O187" s="26"/>
      <c r="P187" s="26"/>
      <c r="Q187" s="25"/>
      <c r="R187" s="25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</row>
    <row r="188">
      <c r="A188" s="31"/>
      <c r="B188" s="32"/>
      <c r="C188" s="33"/>
      <c r="D188" s="33"/>
      <c r="E188" s="27"/>
      <c r="F188" s="29"/>
      <c r="G188" s="34"/>
      <c r="H188" s="34"/>
      <c r="I188" s="34"/>
      <c r="J188" s="21"/>
      <c r="K188" s="22"/>
      <c r="L188" s="23"/>
      <c r="M188" s="24"/>
      <c r="N188" s="25"/>
      <c r="O188" s="26"/>
      <c r="P188" s="26"/>
      <c r="Q188" s="25"/>
      <c r="R188" s="25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</row>
    <row r="189">
      <c r="A189" s="31"/>
      <c r="B189" s="32"/>
      <c r="C189" s="33"/>
      <c r="D189" s="33"/>
      <c r="E189" s="27"/>
      <c r="F189" s="29"/>
      <c r="G189" s="34"/>
      <c r="H189" s="34"/>
      <c r="I189" s="34"/>
      <c r="J189" s="21"/>
      <c r="K189" s="22"/>
      <c r="L189" s="23"/>
      <c r="M189" s="24"/>
      <c r="N189" s="25"/>
      <c r="O189" s="26"/>
      <c r="P189" s="26"/>
      <c r="Q189" s="25"/>
      <c r="R189" s="25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</row>
    <row r="190">
      <c r="A190" s="31"/>
      <c r="B190" s="32"/>
      <c r="C190" s="33"/>
      <c r="D190" s="33"/>
      <c r="E190" s="27"/>
      <c r="F190" s="29"/>
      <c r="G190" s="34"/>
      <c r="H190" s="34"/>
      <c r="I190" s="34"/>
      <c r="J190" s="21"/>
      <c r="K190" s="22"/>
      <c r="L190" s="23"/>
      <c r="M190" s="24"/>
      <c r="N190" s="25"/>
      <c r="O190" s="26"/>
      <c r="P190" s="26"/>
      <c r="Q190" s="25"/>
      <c r="R190" s="25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</row>
    <row r="191">
      <c r="A191" s="31"/>
      <c r="B191" s="32"/>
      <c r="C191" s="33"/>
      <c r="D191" s="33"/>
      <c r="E191" s="27"/>
      <c r="F191" s="29"/>
      <c r="G191" s="34"/>
      <c r="H191" s="34"/>
      <c r="I191" s="34"/>
      <c r="J191" s="21"/>
      <c r="K191" s="22"/>
      <c r="L191" s="23"/>
      <c r="M191" s="24"/>
      <c r="N191" s="25"/>
      <c r="O191" s="26"/>
      <c r="P191" s="26"/>
      <c r="Q191" s="25"/>
      <c r="R191" s="25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</row>
    <row r="192">
      <c r="A192" s="31"/>
      <c r="B192" s="32"/>
      <c r="C192" s="33"/>
      <c r="D192" s="33"/>
      <c r="E192" s="27"/>
      <c r="F192" s="29"/>
      <c r="G192" s="34"/>
      <c r="H192" s="34"/>
      <c r="I192" s="34"/>
      <c r="J192" s="21"/>
      <c r="K192" s="22"/>
      <c r="L192" s="23"/>
      <c r="M192" s="24"/>
      <c r="N192" s="25"/>
      <c r="O192" s="26"/>
      <c r="P192" s="26"/>
      <c r="Q192" s="25"/>
      <c r="R192" s="25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</row>
    <row r="193">
      <c r="A193" s="31"/>
      <c r="B193" s="32"/>
      <c r="C193" s="33"/>
      <c r="D193" s="33"/>
      <c r="E193" s="27"/>
      <c r="F193" s="29"/>
      <c r="G193" s="34"/>
      <c r="H193" s="34"/>
      <c r="I193" s="34"/>
      <c r="J193" s="21"/>
      <c r="K193" s="22"/>
      <c r="L193" s="23"/>
      <c r="M193" s="24"/>
      <c r="N193" s="25"/>
      <c r="O193" s="26"/>
      <c r="P193" s="26"/>
      <c r="Q193" s="25"/>
      <c r="R193" s="25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</row>
    <row r="194">
      <c r="A194" s="31"/>
      <c r="B194" s="32"/>
      <c r="C194" s="33"/>
      <c r="D194" s="33"/>
      <c r="E194" s="27"/>
      <c r="F194" s="29"/>
      <c r="G194" s="34"/>
      <c r="H194" s="34"/>
      <c r="I194" s="34"/>
      <c r="J194" s="21"/>
      <c r="K194" s="22"/>
      <c r="L194" s="23"/>
      <c r="M194" s="24"/>
      <c r="N194" s="25"/>
      <c r="O194" s="26"/>
      <c r="P194" s="26"/>
      <c r="Q194" s="25"/>
      <c r="R194" s="25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</row>
    <row r="195">
      <c r="A195" s="31"/>
      <c r="B195" s="32"/>
      <c r="C195" s="33"/>
      <c r="D195" s="33"/>
      <c r="E195" s="27"/>
      <c r="F195" s="29"/>
      <c r="G195" s="34"/>
      <c r="H195" s="34"/>
      <c r="I195" s="34"/>
      <c r="J195" s="21"/>
      <c r="K195" s="22"/>
      <c r="L195" s="23"/>
      <c r="M195" s="24"/>
      <c r="N195" s="25"/>
      <c r="O195" s="26"/>
      <c r="P195" s="26"/>
      <c r="Q195" s="25"/>
      <c r="R195" s="25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</row>
    <row r="196">
      <c r="A196" s="31"/>
      <c r="B196" s="32"/>
      <c r="C196" s="33"/>
      <c r="D196" s="33"/>
      <c r="E196" s="27"/>
      <c r="F196" s="29"/>
      <c r="G196" s="34"/>
      <c r="H196" s="34"/>
      <c r="I196" s="34"/>
      <c r="J196" s="21"/>
      <c r="K196" s="22"/>
      <c r="L196" s="23"/>
      <c r="M196" s="24"/>
      <c r="N196" s="25"/>
      <c r="O196" s="26"/>
      <c r="P196" s="26"/>
      <c r="Q196" s="25"/>
      <c r="R196" s="25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</row>
    <row r="197">
      <c r="A197" s="31"/>
      <c r="B197" s="32"/>
      <c r="C197" s="33"/>
      <c r="D197" s="33"/>
      <c r="E197" s="27"/>
      <c r="F197" s="29"/>
      <c r="G197" s="34"/>
      <c r="H197" s="34"/>
      <c r="I197" s="34"/>
      <c r="J197" s="21"/>
      <c r="K197" s="22"/>
      <c r="L197" s="23"/>
      <c r="M197" s="24"/>
      <c r="N197" s="25"/>
      <c r="O197" s="26"/>
      <c r="P197" s="26"/>
      <c r="Q197" s="25"/>
      <c r="R197" s="25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</row>
    <row r="198">
      <c r="A198" s="31"/>
      <c r="B198" s="32"/>
      <c r="C198" s="33"/>
      <c r="D198" s="33"/>
      <c r="E198" s="27"/>
      <c r="F198" s="29"/>
      <c r="G198" s="34"/>
      <c r="H198" s="34"/>
      <c r="I198" s="34"/>
      <c r="J198" s="21"/>
      <c r="K198" s="22"/>
      <c r="L198" s="23"/>
      <c r="M198" s="24"/>
      <c r="N198" s="25"/>
      <c r="O198" s="26"/>
      <c r="P198" s="26"/>
      <c r="Q198" s="25"/>
      <c r="R198" s="25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</row>
    <row r="199">
      <c r="A199" s="31"/>
      <c r="B199" s="32"/>
      <c r="C199" s="33"/>
      <c r="D199" s="33"/>
      <c r="E199" s="27"/>
      <c r="F199" s="29"/>
      <c r="G199" s="34"/>
      <c r="H199" s="34"/>
      <c r="I199" s="34"/>
      <c r="J199" s="21"/>
      <c r="K199" s="22"/>
      <c r="L199" s="23"/>
      <c r="M199" s="24"/>
      <c r="N199" s="25"/>
      <c r="O199" s="26"/>
      <c r="P199" s="26"/>
      <c r="Q199" s="25"/>
      <c r="R199" s="25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</row>
    <row r="200">
      <c r="A200" s="31"/>
      <c r="B200" s="32"/>
      <c r="C200" s="33"/>
      <c r="D200" s="33"/>
      <c r="E200" s="27"/>
      <c r="F200" s="29"/>
      <c r="G200" s="34"/>
      <c r="H200" s="34"/>
      <c r="I200" s="34"/>
      <c r="J200" s="21"/>
      <c r="K200" s="22"/>
      <c r="L200" s="23"/>
      <c r="M200" s="24"/>
      <c r="N200" s="25"/>
      <c r="O200" s="26"/>
      <c r="P200" s="26"/>
      <c r="Q200" s="25"/>
      <c r="R200" s="25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</row>
    <row r="201">
      <c r="A201" s="31"/>
      <c r="B201" s="32"/>
      <c r="C201" s="33"/>
      <c r="D201" s="33"/>
      <c r="E201" s="27"/>
      <c r="F201" s="29"/>
      <c r="G201" s="34"/>
      <c r="H201" s="34"/>
      <c r="I201" s="34"/>
      <c r="J201" s="21"/>
      <c r="K201" s="22"/>
      <c r="L201" s="23"/>
      <c r="M201" s="24"/>
      <c r="N201" s="25"/>
      <c r="O201" s="26"/>
      <c r="P201" s="26"/>
      <c r="Q201" s="25"/>
      <c r="R201" s="25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</row>
    <row r="202">
      <c r="A202" s="31"/>
      <c r="B202" s="32"/>
      <c r="C202" s="33"/>
      <c r="D202" s="33"/>
      <c r="E202" s="27"/>
      <c r="F202" s="29"/>
      <c r="G202" s="34"/>
      <c r="H202" s="34"/>
      <c r="I202" s="34"/>
      <c r="J202" s="21"/>
      <c r="K202" s="22"/>
      <c r="L202" s="23"/>
      <c r="M202" s="24"/>
      <c r="N202" s="25"/>
      <c r="O202" s="26"/>
      <c r="P202" s="26"/>
      <c r="Q202" s="25"/>
      <c r="R202" s="25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</row>
    <row r="203">
      <c r="A203" s="31"/>
      <c r="B203" s="32"/>
      <c r="C203" s="33"/>
      <c r="D203" s="33"/>
      <c r="E203" s="27"/>
      <c r="F203" s="29"/>
      <c r="G203" s="34"/>
      <c r="H203" s="34"/>
      <c r="I203" s="34"/>
      <c r="J203" s="21"/>
      <c r="K203" s="22"/>
      <c r="L203" s="23"/>
      <c r="M203" s="24"/>
      <c r="N203" s="25"/>
      <c r="O203" s="26"/>
      <c r="P203" s="26"/>
      <c r="Q203" s="25"/>
      <c r="R203" s="25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</row>
    <row r="204">
      <c r="A204" s="31"/>
      <c r="B204" s="32"/>
      <c r="C204" s="33"/>
      <c r="D204" s="33"/>
      <c r="E204" s="27"/>
      <c r="F204" s="29"/>
      <c r="G204" s="34"/>
      <c r="H204" s="34"/>
      <c r="I204" s="34"/>
      <c r="J204" s="21"/>
      <c r="K204" s="22"/>
      <c r="L204" s="23"/>
      <c r="M204" s="24"/>
      <c r="N204" s="25"/>
      <c r="O204" s="26"/>
      <c r="P204" s="26"/>
      <c r="Q204" s="25"/>
      <c r="R204" s="25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</row>
    <row r="205">
      <c r="A205" s="31"/>
      <c r="B205" s="32"/>
      <c r="C205" s="33"/>
      <c r="D205" s="33"/>
      <c r="E205" s="27"/>
      <c r="F205" s="29"/>
      <c r="G205" s="34"/>
      <c r="H205" s="34"/>
      <c r="I205" s="34"/>
      <c r="J205" s="21"/>
      <c r="K205" s="22"/>
      <c r="L205" s="23"/>
      <c r="M205" s="24"/>
      <c r="N205" s="25"/>
      <c r="O205" s="26"/>
      <c r="P205" s="26"/>
      <c r="Q205" s="25"/>
      <c r="R205" s="25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</row>
    <row r="206">
      <c r="A206" s="31"/>
      <c r="B206" s="32"/>
      <c r="C206" s="33"/>
      <c r="D206" s="33"/>
      <c r="E206" s="27"/>
      <c r="F206" s="29"/>
      <c r="G206" s="34"/>
      <c r="H206" s="34"/>
      <c r="I206" s="34"/>
      <c r="J206" s="21"/>
      <c r="K206" s="22"/>
      <c r="L206" s="23"/>
      <c r="M206" s="24"/>
      <c r="N206" s="25"/>
      <c r="O206" s="26"/>
      <c r="P206" s="26"/>
      <c r="Q206" s="25"/>
      <c r="R206" s="25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</row>
    <row r="207">
      <c r="A207" s="31"/>
      <c r="B207" s="32"/>
      <c r="C207" s="33"/>
      <c r="D207" s="33"/>
      <c r="E207" s="27"/>
      <c r="F207" s="29"/>
      <c r="G207" s="34"/>
      <c r="H207" s="34"/>
      <c r="I207" s="34"/>
      <c r="J207" s="21"/>
      <c r="K207" s="22"/>
      <c r="L207" s="23"/>
      <c r="M207" s="24"/>
      <c r="N207" s="25"/>
      <c r="O207" s="26"/>
      <c r="P207" s="26"/>
      <c r="Q207" s="25"/>
      <c r="R207" s="25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</row>
    <row r="208">
      <c r="A208" s="31"/>
      <c r="B208" s="32"/>
      <c r="C208" s="33"/>
      <c r="D208" s="33"/>
      <c r="E208" s="27"/>
      <c r="F208" s="29"/>
      <c r="G208" s="34"/>
      <c r="H208" s="34"/>
      <c r="I208" s="34"/>
      <c r="J208" s="21"/>
      <c r="K208" s="22"/>
      <c r="L208" s="23"/>
      <c r="M208" s="24"/>
      <c r="N208" s="25"/>
      <c r="O208" s="26"/>
      <c r="P208" s="26"/>
      <c r="Q208" s="25"/>
      <c r="R208" s="25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</row>
    <row r="209">
      <c r="A209" s="31"/>
      <c r="B209" s="32"/>
      <c r="C209" s="33"/>
      <c r="D209" s="33"/>
      <c r="E209" s="27"/>
      <c r="F209" s="29"/>
      <c r="G209" s="34"/>
      <c r="H209" s="34"/>
      <c r="I209" s="34"/>
      <c r="J209" s="21"/>
      <c r="K209" s="22"/>
      <c r="L209" s="23"/>
      <c r="M209" s="24"/>
      <c r="N209" s="25"/>
      <c r="O209" s="26"/>
      <c r="P209" s="26"/>
      <c r="Q209" s="25"/>
      <c r="R209" s="25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</row>
    <row r="210">
      <c r="A210" s="31"/>
      <c r="B210" s="32"/>
      <c r="C210" s="33"/>
      <c r="D210" s="33"/>
      <c r="E210" s="27"/>
      <c r="F210" s="29"/>
      <c r="G210" s="34"/>
      <c r="H210" s="34"/>
      <c r="I210" s="34"/>
      <c r="J210" s="21"/>
      <c r="K210" s="22"/>
      <c r="L210" s="23"/>
      <c r="M210" s="24"/>
      <c r="N210" s="25"/>
      <c r="O210" s="26"/>
      <c r="P210" s="26"/>
      <c r="Q210" s="25"/>
      <c r="R210" s="25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</row>
    <row r="211">
      <c r="A211" s="31"/>
      <c r="B211" s="32"/>
      <c r="C211" s="33"/>
      <c r="D211" s="33"/>
      <c r="E211" s="27"/>
      <c r="F211" s="29"/>
      <c r="G211" s="34"/>
      <c r="H211" s="34"/>
      <c r="I211" s="34"/>
      <c r="J211" s="21"/>
      <c r="K211" s="22"/>
      <c r="L211" s="23"/>
      <c r="M211" s="24"/>
      <c r="N211" s="25"/>
      <c r="O211" s="26"/>
      <c r="P211" s="26"/>
      <c r="Q211" s="25"/>
      <c r="R211" s="25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</row>
    <row r="212">
      <c r="A212" s="31"/>
      <c r="B212" s="32"/>
      <c r="C212" s="33"/>
      <c r="D212" s="33"/>
      <c r="E212" s="27"/>
      <c r="F212" s="29"/>
      <c r="G212" s="34"/>
      <c r="H212" s="34"/>
      <c r="I212" s="34"/>
      <c r="J212" s="21"/>
      <c r="K212" s="22"/>
      <c r="L212" s="23"/>
      <c r="M212" s="24"/>
      <c r="N212" s="25"/>
      <c r="O212" s="26"/>
      <c r="P212" s="26"/>
      <c r="Q212" s="25"/>
      <c r="R212" s="25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</row>
    <row r="213">
      <c r="A213" s="31"/>
      <c r="B213" s="32"/>
      <c r="C213" s="33"/>
      <c r="D213" s="33"/>
      <c r="E213" s="27"/>
      <c r="F213" s="29"/>
      <c r="G213" s="34"/>
      <c r="H213" s="34"/>
      <c r="I213" s="34"/>
      <c r="J213" s="21"/>
      <c r="K213" s="22"/>
      <c r="L213" s="23"/>
      <c r="M213" s="24"/>
      <c r="N213" s="25"/>
      <c r="O213" s="26"/>
      <c r="P213" s="26"/>
      <c r="Q213" s="25"/>
      <c r="R213" s="25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</row>
    <row r="214">
      <c r="A214" s="31"/>
      <c r="B214" s="32"/>
      <c r="C214" s="33"/>
      <c r="D214" s="33"/>
      <c r="E214" s="27"/>
      <c r="F214" s="29"/>
      <c r="G214" s="34"/>
      <c r="H214" s="34"/>
      <c r="I214" s="34"/>
      <c r="J214" s="21"/>
      <c r="K214" s="22"/>
      <c r="L214" s="23"/>
      <c r="M214" s="24"/>
      <c r="N214" s="25"/>
      <c r="O214" s="26"/>
      <c r="P214" s="26"/>
      <c r="Q214" s="25"/>
      <c r="R214" s="25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</row>
    <row r="215">
      <c r="A215" s="31"/>
      <c r="B215" s="32"/>
      <c r="C215" s="33"/>
      <c r="D215" s="33"/>
      <c r="E215" s="27"/>
      <c r="F215" s="29"/>
      <c r="G215" s="34"/>
      <c r="H215" s="34"/>
      <c r="I215" s="34"/>
      <c r="J215" s="21"/>
      <c r="K215" s="22"/>
      <c r="L215" s="23"/>
      <c r="M215" s="24"/>
      <c r="N215" s="25"/>
      <c r="O215" s="26"/>
      <c r="P215" s="26"/>
      <c r="Q215" s="25"/>
      <c r="R215" s="25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</row>
    <row r="216">
      <c r="A216" s="31"/>
      <c r="B216" s="32"/>
      <c r="C216" s="33"/>
      <c r="D216" s="33"/>
      <c r="E216" s="27"/>
      <c r="F216" s="29"/>
      <c r="G216" s="34"/>
      <c r="H216" s="34"/>
      <c r="I216" s="34"/>
      <c r="J216" s="21"/>
      <c r="K216" s="22"/>
      <c r="L216" s="23"/>
      <c r="M216" s="24"/>
      <c r="N216" s="25"/>
      <c r="O216" s="26"/>
      <c r="P216" s="26"/>
      <c r="Q216" s="25"/>
      <c r="R216" s="25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</row>
    <row r="217">
      <c r="A217" s="31"/>
      <c r="B217" s="32"/>
      <c r="C217" s="33"/>
      <c r="D217" s="33"/>
      <c r="E217" s="27"/>
      <c r="F217" s="29"/>
      <c r="G217" s="34"/>
      <c r="H217" s="34"/>
      <c r="I217" s="34"/>
      <c r="J217" s="21"/>
      <c r="K217" s="22"/>
      <c r="L217" s="23"/>
      <c r="M217" s="24"/>
      <c r="N217" s="25"/>
      <c r="O217" s="26"/>
      <c r="P217" s="26"/>
      <c r="Q217" s="25"/>
      <c r="R217" s="25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</row>
    <row r="218">
      <c r="A218" s="31"/>
      <c r="B218" s="32"/>
      <c r="C218" s="33"/>
      <c r="D218" s="33"/>
      <c r="E218" s="27"/>
      <c r="F218" s="29"/>
      <c r="G218" s="34"/>
      <c r="H218" s="34"/>
      <c r="I218" s="34"/>
      <c r="J218" s="21"/>
      <c r="K218" s="22"/>
      <c r="L218" s="23"/>
      <c r="M218" s="24"/>
      <c r="N218" s="25"/>
      <c r="O218" s="26"/>
      <c r="P218" s="26"/>
      <c r="Q218" s="25"/>
      <c r="R218" s="25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</row>
    <row r="219">
      <c r="A219" s="31"/>
      <c r="B219" s="32"/>
      <c r="C219" s="33"/>
      <c r="D219" s="33"/>
      <c r="E219" s="27"/>
      <c r="F219" s="29"/>
      <c r="G219" s="34"/>
      <c r="H219" s="34"/>
      <c r="I219" s="34"/>
      <c r="J219" s="21"/>
      <c r="K219" s="22"/>
      <c r="L219" s="23"/>
      <c r="M219" s="24"/>
      <c r="N219" s="25"/>
      <c r="O219" s="26"/>
      <c r="P219" s="26"/>
      <c r="Q219" s="25"/>
      <c r="R219" s="25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</row>
    <row r="220">
      <c r="A220" s="31"/>
      <c r="B220" s="32"/>
      <c r="C220" s="33"/>
      <c r="D220" s="33"/>
      <c r="E220" s="27"/>
      <c r="F220" s="29"/>
      <c r="G220" s="34"/>
      <c r="H220" s="34"/>
      <c r="I220" s="34"/>
      <c r="J220" s="21"/>
      <c r="K220" s="22"/>
      <c r="L220" s="23"/>
      <c r="M220" s="24"/>
      <c r="N220" s="25"/>
      <c r="O220" s="26"/>
      <c r="P220" s="26"/>
      <c r="Q220" s="25"/>
      <c r="R220" s="25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</row>
    <row r="221">
      <c r="A221" s="31"/>
      <c r="B221" s="32"/>
      <c r="C221" s="33"/>
      <c r="D221" s="33"/>
      <c r="E221" s="27"/>
      <c r="F221" s="29"/>
      <c r="G221" s="34"/>
      <c r="H221" s="34"/>
      <c r="I221" s="34"/>
      <c r="J221" s="21"/>
      <c r="K221" s="22"/>
      <c r="L221" s="23"/>
      <c r="M221" s="24"/>
      <c r="N221" s="25"/>
      <c r="O221" s="26"/>
      <c r="P221" s="26"/>
      <c r="Q221" s="25"/>
      <c r="R221" s="25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</row>
    <row r="222">
      <c r="A222" s="31"/>
      <c r="B222" s="32"/>
      <c r="C222" s="33"/>
      <c r="D222" s="33"/>
      <c r="E222" s="27"/>
      <c r="F222" s="29"/>
      <c r="G222" s="34"/>
      <c r="H222" s="34"/>
      <c r="I222" s="34"/>
      <c r="J222" s="21"/>
      <c r="K222" s="22"/>
      <c r="L222" s="23"/>
      <c r="M222" s="24"/>
      <c r="N222" s="25"/>
      <c r="O222" s="26"/>
      <c r="P222" s="26"/>
      <c r="Q222" s="25"/>
      <c r="R222" s="25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</row>
    <row r="223">
      <c r="A223" s="31"/>
      <c r="B223" s="32"/>
      <c r="C223" s="33"/>
      <c r="D223" s="33"/>
      <c r="E223" s="27"/>
      <c r="F223" s="29"/>
      <c r="G223" s="34"/>
      <c r="H223" s="34"/>
      <c r="I223" s="34"/>
      <c r="J223" s="21"/>
      <c r="K223" s="22"/>
      <c r="L223" s="23"/>
      <c r="M223" s="24"/>
      <c r="N223" s="25"/>
      <c r="O223" s="26"/>
      <c r="P223" s="26"/>
      <c r="Q223" s="25"/>
      <c r="R223" s="25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</row>
    <row r="224">
      <c r="A224" s="31"/>
      <c r="B224" s="32"/>
      <c r="C224" s="33"/>
      <c r="D224" s="33"/>
      <c r="E224" s="27"/>
      <c r="F224" s="29"/>
      <c r="G224" s="34"/>
      <c r="H224" s="34"/>
      <c r="I224" s="34"/>
      <c r="J224" s="21"/>
      <c r="K224" s="22"/>
      <c r="L224" s="23"/>
      <c r="M224" s="24"/>
      <c r="N224" s="25"/>
      <c r="O224" s="26"/>
      <c r="P224" s="26"/>
      <c r="Q224" s="25"/>
      <c r="R224" s="25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</row>
    <row r="225">
      <c r="A225" s="31"/>
      <c r="B225" s="32"/>
      <c r="C225" s="33"/>
      <c r="D225" s="33"/>
      <c r="E225" s="27"/>
      <c r="F225" s="29"/>
      <c r="G225" s="34"/>
      <c r="H225" s="34"/>
      <c r="I225" s="34"/>
      <c r="J225" s="21"/>
      <c r="K225" s="22"/>
      <c r="L225" s="23"/>
      <c r="M225" s="24"/>
      <c r="N225" s="25"/>
      <c r="O225" s="26"/>
      <c r="P225" s="26"/>
      <c r="Q225" s="25"/>
      <c r="R225" s="25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</row>
    <row r="226">
      <c r="A226" s="31"/>
      <c r="B226" s="32"/>
      <c r="C226" s="33"/>
      <c r="D226" s="33"/>
      <c r="E226" s="27"/>
      <c r="F226" s="29"/>
      <c r="G226" s="34"/>
      <c r="H226" s="34"/>
      <c r="I226" s="34"/>
      <c r="J226" s="21"/>
      <c r="K226" s="22"/>
      <c r="L226" s="23"/>
      <c r="M226" s="24"/>
      <c r="N226" s="25"/>
      <c r="O226" s="26"/>
      <c r="P226" s="26"/>
      <c r="Q226" s="25"/>
      <c r="R226" s="25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</row>
    <row r="227">
      <c r="A227" s="31"/>
      <c r="B227" s="32"/>
      <c r="C227" s="33"/>
      <c r="D227" s="33"/>
      <c r="E227" s="27"/>
      <c r="F227" s="29"/>
      <c r="G227" s="34"/>
      <c r="H227" s="34"/>
      <c r="I227" s="34"/>
      <c r="J227" s="21"/>
      <c r="K227" s="22"/>
      <c r="L227" s="23"/>
      <c r="M227" s="24"/>
      <c r="N227" s="25"/>
      <c r="O227" s="26"/>
      <c r="P227" s="26"/>
      <c r="Q227" s="25"/>
      <c r="R227" s="25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</row>
    <row r="228">
      <c r="A228" s="31"/>
      <c r="B228" s="32"/>
      <c r="C228" s="33"/>
      <c r="D228" s="33"/>
      <c r="E228" s="27"/>
      <c r="F228" s="29"/>
      <c r="G228" s="34"/>
      <c r="H228" s="34"/>
      <c r="I228" s="34"/>
      <c r="J228" s="21"/>
      <c r="K228" s="22"/>
      <c r="L228" s="23"/>
      <c r="M228" s="24"/>
      <c r="N228" s="25"/>
      <c r="O228" s="26"/>
      <c r="P228" s="26"/>
      <c r="Q228" s="25"/>
      <c r="R228" s="25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</row>
    <row r="229">
      <c r="A229" s="31"/>
      <c r="B229" s="32"/>
      <c r="C229" s="33"/>
      <c r="D229" s="33"/>
      <c r="E229" s="27"/>
      <c r="F229" s="29"/>
      <c r="G229" s="34"/>
      <c r="H229" s="34"/>
      <c r="I229" s="34"/>
      <c r="J229" s="21"/>
      <c r="K229" s="22"/>
      <c r="L229" s="23"/>
      <c r="M229" s="24"/>
      <c r="N229" s="25"/>
      <c r="O229" s="26"/>
      <c r="P229" s="26"/>
      <c r="Q229" s="25"/>
      <c r="R229" s="25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</row>
    <row r="230">
      <c r="A230" s="31"/>
      <c r="B230" s="32"/>
      <c r="C230" s="33"/>
      <c r="D230" s="33"/>
      <c r="E230" s="27"/>
      <c r="F230" s="29"/>
      <c r="G230" s="34"/>
      <c r="H230" s="34"/>
      <c r="I230" s="34"/>
      <c r="J230" s="21"/>
      <c r="K230" s="22"/>
      <c r="L230" s="23"/>
      <c r="M230" s="24"/>
      <c r="N230" s="25"/>
      <c r="O230" s="26"/>
      <c r="P230" s="26"/>
      <c r="Q230" s="25"/>
      <c r="R230" s="25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</row>
    <row r="231">
      <c r="A231" s="31"/>
      <c r="B231" s="32"/>
      <c r="C231" s="33"/>
      <c r="D231" s="33"/>
      <c r="E231" s="27"/>
      <c r="F231" s="29"/>
      <c r="G231" s="34"/>
      <c r="H231" s="34"/>
      <c r="I231" s="34"/>
      <c r="J231" s="21"/>
      <c r="K231" s="22"/>
      <c r="L231" s="23"/>
      <c r="M231" s="24"/>
      <c r="N231" s="25"/>
      <c r="O231" s="26"/>
      <c r="P231" s="26"/>
      <c r="Q231" s="25"/>
      <c r="R231" s="25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</row>
    <row r="232">
      <c r="A232" s="31"/>
      <c r="B232" s="32"/>
      <c r="C232" s="33"/>
      <c r="D232" s="33"/>
      <c r="E232" s="27"/>
      <c r="F232" s="29"/>
      <c r="G232" s="34"/>
      <c r="H232" s="34"/>
      <c r="I232" s="34"/>
      <c r="J232" s="21"/>
      <c r="K232" s="22"/>
      <c r="L232" s="23"/>
      <c r="M232" s="24"/>
      <c r="N232" s="25"/>
      <c r="O232" s="26"/>
      <c r="P232" s="26"/>
      <c r="Q232" s="25"/>
      <c r="R232" s="25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</row>
    <row r="233">
      <c r="A233" s="31"/>
      <c r="B233" s="32"/>
      <c r="C233" s="33"/>
      <c r="D233" s="33"/>
      <c r="E233" s="27"/>
      <c r="F233" s="29"/>
      <c r="G233" s="34"/>
      <c r="H233" s="34"/>
      <c r="I233" s="34"/>
      <c r="J233" s="21"/>
      <c r="K233" s="22"/>
      <c r="L233" s="23"/>
      <c r="M233" s="24"/>
      <c r="N233" s="25"/>
      <c r="O233" s="26"/>
      <c r="P233" s="26"/>
      <c r="Q233" s="25"/>
      <c r="R233" s="25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</row>
    <row r="234">
      <c r="A234" s="31"/>
      <c r="B234" s="32"/>
      <c r="C234" s="33"/>
      <c r="D234" s="33"/>
      <c r="E234" s="27"/>
      <c r="F234" s="29"/>
      <c r="G234" s="34"/>
      <c r="H234" s="34"/>
      <c r="I234" s="34"/>
      <c r="J234" s="21"/>
      <c r="K234" s="22"/>
      <c r="L234" s="23"/>
      <c r="M234" s="24"/>
      <c r="N234" s="25"/>
      <c r="O234" s="26"/>
      <c r="P234" s="26"/>
      <c r="Q234" s="25"/>
      <c r="R234" s="25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</row>
    <row r="235">
      <c r="A235" s="31"/>
      <c r="B235" s="32"/>
      <c r="C235" s="33"/>
      <c r="D235" s="33"/>
      <c r="E235" s="27"/>
      <c r="F235" s="29"/>
      <c r="G235" s="34"/>
      <c r="H235" s="34"/>
      <c r="I235" s="34"/>
      <c r="J235" s="21"/>
      <c r="K235" s="22"/>
      <c r="L235" s="23"/>
      <c r="M235" s="24"/>
      <c r="N235" s="25"/>
      <c r="O235" s="26"/>
      <c r="P235" s="26"/>
      <c r="Q235" s="25"/>
      <c r="R235" s="25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</row>
    <row r="236">
      <c r="A236" s="31"/>
      <c r="B236" s="32"/>
      <c r="C236" s="33"/>
      <c r="D236" s="33"/>
      <c r="E236" s="27"/>
      <c r="F236" s="29"/>
      <c r="G236" s="34"/>
      <c r="H236" s="34"/>
      <c r="I236" s="34"/>
      <c r="J236" s="21"/>
      <c r="K236" s="22"/>
      <c r="L236" s="23"/>
      <c r="M236" s="24"/>
      <c r="N236" s="25"/>
      <c r="O236" s="26"/>
      <c r="P236" s="26"/>
      <c r="Q236" s="25"/>
      <c r="R236" s="25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</row>
    <row r="237">
      <c r="A237" s="31"/>
      <c r="B237" s="32"/>
      <c r="C237" s="33"/>
      <c r="D237" s="33"/>
      <c r="E237" s="27"/>
      <c r="F237" s="29"/>
      <c r="G237" s="34"/>
      <c r="H237" s="34"/>
      <c r="I237" s="34"/>
      <c r="J237" s="21"/>
      <c r="K237" s="22"/>
      <c r="L237" s="23"/>
      <c r="M237" s="24"/>
      <c r="N237" s="25"/>
      <c r="O237" s="26"/>
      <c r="P237" s="26"/>
      <c r="Q237" s="25"/>
      <c r="R237" s="25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</row>
    <row r="238">
      <c r="A238" s="31"/>
      <c r="B238" s="32"/>
      <c r="C238" s="33"/>
      <c r="D238" s="33"/>
      <c r="E238" s="27"/>
      <c r="F238" s="29"/>
      <c r="G238" s="34"/>
      <c r="H238" s="34"/>
      <c r="I238" s="34"/>
      <c r="J238" s="21"/>
      <c r="K238" s="22"/>
      <c r="L238" s="23"/>
      <c r="M238" s="24"/>
      <c r="N238" s="25"/>
      <c r="O238" s="26"/>
      <c r="P238" s="26"/>
      <c r="Q238" s="25"/>
      <c r="R238" s="25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</row>
    <row r="239">
      <c r="A239" s="31"/>
      <c r="B239" s="32"/>
      <c r="C239" s="33"/>
      <c r="D239" s="33"/>
      <c r="E239" s="27"/>
      <c r="F239" s="29"/>
      <c r="G239" s="34"/>
      <c r="H239" s="34"/>
      <c r="I239" s="34"/>
      <c r="J239" s="21"/>
      <c r="K239" s="22"/>
      <c r="L239" s="23"/>
      <c r="M239" s="24"/>
      <c r="N239" s="25"/>
      <c r="O239" s="26"/>
      <c r="P239" s="26"/>
      <c r="Q239" s="25"/>
      <c r="R239" s="25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</row>
    <row r="240">
      <c r="A240" s="31"/>
      <c r="B240" s="32"/>
      <c r="C240" s="33"/>
      <c r="D240" s="33"/>
      <c r="E240" s="27"/>
      <c r="F240" s="29"/>
      <c r="G240" s="34"/>
      <c r="H240" s="34"/>
      <c r="I240" s="34"/>
      <c r="J240" s="21"/>
      <c r="K240" s="22"/>
      <c r="L240" s="23"/>
      <c r="M240" s="24"/>
      <c r="N240" s="25"/>
      <c r="O240" s="26"/>
      <c r="P240" s="26"/>
      <c r="Q240" s="25"/>
      <c r="R240" s="25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</row>
    <row r="241">
      <c r="A241" s="31"/>
      <c r="B241" s="32"/>
      <c r="C241" s="33"/>
      <c r="D241" s="33"/>
      <c r="E241" s="27"/>
      <c r="F241" s="29"/>
      <c r="G241" s="34"/>
      <c r="H241" s="34"/>
      <c r="I241" s="34"/>
      <c r="J241" s="21"/>
      <c r="K241" s="22"/>
      <c r="L241" s="23"/>
      <c r="M241" s="24"/>
      <c r="N241" s="25"/>
      <c r="O241" s="26"/>
      <c r="P241" s="26"/>
      <c r="Q241" s="25"/>
      <c r="R241" s="25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</row>
    <row r="242">
      <c r="A242" s="31"/>
      <c r="B242" s="32"/>
      <c r="C242" s="33"/>
      <c r="D242" s="33"/>
      <c r="E242" s="27"/>
      <c r="F242" s="29"/>
      <c r="G242" s="34"/>
      <c r="H242" s="34"/>
      <c r="I242" s="34"/>
      <c r="J242" s="21"/>
      <c r="K242" s="22"/>
      <c r="L242" s="23"/>
      <c r="M242" s="24"/>
      <c r="N242" s="25"/>
      <c r="O242" s="26"/>
      <c r="P242" s="26"/>
      <c r="Q242" s="25"/>
      <c r="R242" s="25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</row>
    <row r="243">
      <c r="A243" s="31"/>
      <c r="B243" s="32"/>
      <c r="C243" s="33"/>
      <c r="D243" s="33"/>
      <c r="E243" s="27"/>
      <c r="F243" s="29"/>
      <c r="G243" s="34"/>
      <c r="H243" s="34"/>
      <c r="I243" s="34"/>
      <c r="J243" s="21"/>
      <c r="K243" s="22"/>
      <c r="L243" s="23"/>
      <c r="M243" s="24"/>
      <c r="N243" s="25"/>
      <c r="O243" s="26"/>
      <c r="P243" s="26"/>
      <c r="Q243" s="25"/>
      <c r="R243" s="25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</row>
    <row r="244">
      <c r="A244" s="31"/>
      <c r="B244" s="32"/>
      <c r="C244" s="33"/>
      <c r="D244" s="33"/>
      <c r="E244" s="27"/>
      <c r="F244" s="29"/>
      <c r="G244" s="34"/>
      <c r="H244" s="34"/>
      <c r="I244" s="34"/>
      <c r="J244" s="21"/>
      <c r="K244" s="22"/>
      <c r="L244" s="23"/>
      <c r="M244" s="24"/>
      <c r="N244" s="25"/>
      <c r="O244" s="26"/>
      <c r="P244" s="26"/>
      <c r="Q244" s="25"/>
      <c r="R244" s="25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</row>
    <row r="245">
      <c r="A245" s="31"/>
      <c r="B245" s="32"/>
      <c r="C245" s="33"/>
      <c r="D245" s="33"/>
      <c r="E245" s="27"/>
      <c r="F245" s="29"/>
      <c r="G245" s="34"/>
      <c r="H245" s="34"/>
      <c r="I245" s="34"/>
      <c r="J245" s="21"/>
      <c r="K245" s="22"/>
      <c r="L245" s="23"/>
      <c r="M245" s="24"/>
      <c r="N245" s="25"/>
      <c r="O245" s="26"/>
      <c r="P245" s="26"/>
      <c r="Q245" s="25"/>
      <c r="R245" s="25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>
      <c r="A246" s="31"/>
      <c r="B246" s="32"/>
      <c r="C246" s="33"/>
      <c r="D246" s="33"/>
      <c r="E246" s="27"/>
      <c r="F246" s="29"/>
      <c r="G246" s="34"/>
      <c r="H246" s="34"/>
      <c r="I246" s="34"/>
      <c r="J246" s="21"/>
      <c r="K246" s="22"/>
      <c r="L246" s="23"/>
      <c r="M246" s="24"/>
      <c r="N246" s="25"/>
      <c r="O246" s="26"/>
      <c r="P246" s="26"/>
      <c r="Q246" s="25"/>
      <c r="R246" s="25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>
      <c r="A247" s="31"/>
      <c r="B247" s="32"/>
      <c r="C247" s="33"/>
      <c r="D247" s="33"/>
      <c r="E247" s="27"/>
      <c r="F247" s="29"/>
      <c r="G247" s="34"/>
      <c r="H247" s="34"/>
      <c r="I247" s="34"/>
      <c r="J247" s="21"/>
      <c r="K247" s="22"/>
      <c r="L247" s="23"/>
      <c r="M247" s="24"/>
      <c r="N247" s="25"/>
      <c r="O247" s="26"/>
      <c r="P247" s="26"/>
      <c r="Q247" s="25"/>
      <c r="R247" s="25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</row>
    <row r="248">
      <c r="A248" s="31"/>
      <c r="B248" s="32"/>
      <c r="C248" s="33"/>
      <c r="D248" s="33"/>
      <c r="E248" s="27"/>
      <c r="F248" s="29"/>
      <c r="G248" s="34"/>
      <c r="H248" s="34"/>
      <c r="I248" s="34"/>
      <c r="J248" s="21"/>
      <c r="K248" s="22"/>
      <c r="L248" s="23"/>
      <c r="M248" s="24"/>
      <c r="N248" s="25"/>
      <c r="O248" s="26"/>
      <c r="P248" s="26"/>
      <c r="Q248" s="25"/>
      <c r="R248" s="25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</row>
    <row r="249">
      <c r="A249" s="31"/>
      <c r="B249" s="32"/>
      <c r="C249" s="33"/>
      <c r="D249" s="33"/>
      <c r="E249" s="27"/>
      <c r="F249" s="29"/>
      <c r="G249" s="34"/>
      <c r="H249" s="34"/>
      <c r="I249" s="34"/>
      <c r="J249" s="21"/>
      <c r="K249" s="22"/>
      <c r="L249" s="23"/>
      <c r="M249" s="24"/>
      <c r="N249" s="25"/>
      <c r="O249" s="26"/>
      <c r="P249" s="26"/>
      <c r="Q249" s="25"/>
      <c r="R249" s="25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</row>
    <row r="250">
      <c r="A250" s="31"/>
      <c r="B250" s="32"/>
      <c r="C250" s="33"/>
      <c r="D250" s="33"/>
      <c r="E250" s="27"/>
      <c r="F250" s="29"/>
      <c r="G250" s="34"/>
      <c r="H250" s="34"/>
      <c r="I250" s="34"/>
      <c r="J250" s="21"/>
      <c r="K250" s="22"/>
      <c r="L250" s="23"/>
      <c r="M250" s="24"/>
      <c r="N250" s="25"/>
      <c r="O250" s="26"/>
      <c r="P250" s="26"/>
      <c r="Q250" s="25"/>
      <c r="R250" s="25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</row>
    <row r="251">
      <c r="A251" s="31"/>
      <c r="B251" s="32"/>
      <c r="C251" s="33"/>
      <c r="D251" s="33"/>
      <c r="E251" s="27"/>
      <c r="F251" s="29"/>
      <c r="G251" s="34"/>
      <c r="H251" s="34"/>
      <c r="I251" s="34"/>
      <c r="J251" s="21"/>
      <c r="K251" s="22"/>
      <c r="L251" s="23"/>
      <c r="M251" s="24"/>
      <c r="N251" s="25"/>
      <c r="O251" s="26"/>
      <c r="P251" s="26"/>
      <c r="Q251" s="25"/>
      <c r="R251" s="25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</row>
    <row r="252">
      <c r="A252" s="31"/>
      <c r="B252" s="32"/>
      <c r="C252" s="33"/>
      <c r="D252" s="33"/>
      <c r="E252" s="27"/>
      <c r="F252" s="29"/>
      <c r="G252" s="34"/>
      <c r="H252" s="34"/>
      <c r="I252" s="34"/>
      <c r="J252" s="21"/>
      <c r="K252" s="22"/>
      <c r="L252" s="23"/>
      <c r="M252" s="24"/>
      <c r="N252" s="25"/>
      <c r="O252" s="26"/>
      <c r="P252" s="26"/>
      <c r="Q252" s="25"/>
      <c r="R252" s="25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>
      <c r="A253" s="31"/>
      <c r="B253" s="32"/>
      <c r="C253" s="33"/>
      <c r="D253" s="33"/>
      <c r="E253" s="27"/>
      <c r="F253" s="29"/>
      <c r="G253" s="34"/>
      <c r="H253" s="34"/>
      <c r="I253" s="34"/>
      <c r="J253" s="21"/>
      <c r="K253" s="22"/>
      <c r="L253" s="23"/>
      <c r="M253" s="24"/>
      <c r="N253" s="25"/>
      <c r="O253" s="26"/>
      <c r="P253" s="26"/>
      <c r="Q253" s="25"/>
      <c r="R253" s="25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>
      <c r="A254" s="31"/>
      <c r="B254" s="32"/>
      <c r="C254" s="33"/>
      <c r="D254" s="33"/>
      <c r="E254" s="27"/>
      <c r="F254" s="29"/>
      <c r="G254" s="34"/>
      <c r="H254" s="34"/>
      <c r="I254" s="34"/>
      <c r="J254" s="21"/>
      <c r="K254" s="22"/>
      <c r="L254" s="23"/>
      <c r="M254" s="24"/>
      <c r="N254" s="25"/>
      <c r="O254" s="26"/>
      <c r="P254" s="26"/>
      <c r="Q254" s="25"/>
      <c r="R254" s="25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</row>
    <row r="255">
      <c r="A255" s="31"/>
      <c r="B255" s="32"/>
      <c r="C255" s="33"/>
      <c r="D255" s="33"/>
      <c r="E255" s="27"/>
      <c r="F255" s="29"/>
      <c r="G255" s="34"/>
      <c r="H255" s="34"/>
      <c r="I255" s="34"/>
      <c r="J255" s="21"/>
      <c r="K255" s="22"/>
      <c r="L255" s="23"/>
      <c r="M255" s="24"/>
      <c r="N255" s="25"/>
      <c r="O255" s="26"/>
      <c r="P255" s="26"/>
      <c r="Q255" s="25"/>
      <c r="R255" s="25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>
      <c r="A256" s="31"/>
      <c r="B256" s="32"/>
      <c r="C256" s="33"/>
      <c r="D256" s="33"/>
      <c r="E256" s="27"/>
      <c r="F256" s="29"/>
      <c r="G256" s="34"/>
      <c r="H256" s="34"/>
      <c r="I256" s="34"/>
      <c r="J256" s="21"/>
      <c r="K256" s="22"/>
      <c r="L256" s="23"/>
      <c r="M256" s="24"/>
      <c r="N256" s="25"/>
      <c r="O256" s="26"/>
      <c r="P256" s="26"/>
      <c r="Q256" s="25"/>
      <c r="R256" s="25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>
      <c r="A257" s="31"/>
      <c r="B257" s="32"/>
      <c r="C257" s="33"/>
      <c r="D257" s="33"/>
      <c r="E257" s="27"/>
      <c r="F257" s="29"/>
      <c r="G257" s="34"/>
      <c r="H257" s="34"/>
      <c r="I257" s="34"/>
      <c r="J257" s="21"/>
      <c r="K257" s="22"/>
      <c r="L257" s="23"/>
      <c r="M257" s="24"/>
      <c r="N257" s="25"/>
      <c r="O257" s="26"/>
      <c r="P257" s="26"/>
      <c r="Q257" s="25"/>
      <c r="R257" s="25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>
      <c r="A258" s="31"/>
      <c r="B258" s="32"/>
      <c r="C258" s="33"/>
      <c r="D258" s="33"/>
      <c r="E258" s="27"/>
      <c r="F258" s="29"/>
      <c r="G258" s="34"/>
      <c r="H258" s="34"/>
      <c r="I258" s="34"/>
      <c r="J258" s="21"/>
      <c r="K258" s="22"/>
      <c r="L258" s="23"/>
      <c r="M258" s="24"/>
      <c r="N258" s="25"/>
      <c r="O258" s="26"/>
      <c r="P258" s="26"/>
      <c r="Q258" s="25"/>
      <c r="R258" s="25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>
      <c r="A259" s="31"/>
      <c r="B259" s="32"/>
      <c r="C259" s="33"/>
      <c r="D259" s="33"/>
      <c r="E259" s="27"/>
      <c r="F259" s="29"/>
      <c r="G259" s="34"/>
      <c r="H259" s="34"/>
      <c r="I259" s="34"/>
      <c r="J259" s="21"/>
      <c r="K259" s="22"/>
      <c r="L259" s="23"/>
      <c r="M259" s="24"/>
      <c r="N259" s="25"/>
      <c r="O259" s="26"/>
      <c r="P259" s="26"/>
      <c r="Q259" s="25"/>
      <c r="R259" s="25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</row>
    <row r="260">
      <c r="A260" s="31"/>
      <c r="B260" s="32"/>
      <c r="C260" s="33"/>
      <c r="D260" s="33"/>
      <c r="E260" s="27"/>
      <c r="F260" s="29"/>
      <c r="G260" s="34"/>
      <c r="H260" s="34"/>
      <c r="I260" s="34"/>
      <c r="J260" s="21"/>
      <c r="K260" s="22"/>
      <c r="L260" s="23"/>
      <c r="M260" s="24"/>
      <c r="N260" s="25"/>
      <c r="O260" s="26"/>
      <c r="P260" s="26"/>
      <c r="Q260" s="25"/>
      <c r="R260" s="25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</row>
    <row r="261">
      <c r="A261" s="31"/>
      <c r="B261" s="32"/>
      <c r="C261" s="33"/>
      <c r="D261" s="33"/>
      <c r="E261" s="27"/>
      <c r="F261" s="29"/>
      <c r="G261" s="34"/>
      <c r="H261" s="34"/>
      <c r="I261" s="34"/>
      <c r="J261" s="21"/>
      <c r="K261" s="22"/>
      <c r="L261" s="23"/>
      <c r="M261" s="24"/>
      <c r="N261" s="25"/>
      <c r="O261" s="26"/>
      <c r="P261" s="26"/>
      <c r="Q261" s="25"/>
      <c r="R261" s="25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</row>
    <row r="262">
      <c r="A262" s="31"/>
      <c r="B262" s="32"/>
      <c r="C262" s="33"/>
      <c r="D262" s="33"/>
      <c r="E262" s="27"/>
      <c r="F262" s="29"/>
      <c r="G262" s="34"/>
      <c r="H262" s="34"/>
      <c r="I262" s="34"/>
      <c r="J262" s="21"/>
      <c r="K262" s="22"/>
      <c r="L262" s="23"/>
      <c r="M262" s="24"/>
      <c r="N262" s="25"/>
      <c r="O262" s="26"/>
      <c r="P262" s="26"/>
      <c r="Q262" s="25"/>
      <c r="R262" s="25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</row>
    <row r="263">
      <c r="A263" s="31"/>
      <c r="B263" s="32"/>
      <c r="C263" s="33"/>
      <c r="D263" s="33"/>
      <c r="E263" s="27"/>
      <c r="F263" s="29"/>
      <c r="G263" s="34"/>
      <c r="H263" s="34"/>
      <c r="I263" s="34"/>
      <c r="J263" s="21"/>
      <c r="K263" s="22"/>
      <c r="L263" s="23"/>
      <c r="M263" s="24"/>
      <c r="N263" s="25"/>
      <c r="O263" s="26"/>
      <c r="P263" s="26"/>
      <c r="Q263" s="25"/>
      <c r="R263" s="25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</row>
    <row r="264">
      <c r="A264" s="31"/>
      <c r="B264" s="32"/>
      <c r="C264" s="33"/>
      <c r="D264" s="33"/>
      <c r="E264" s="27"/>
      <c r="F264" s="29"/>
      <c r="G264" s="34"/>
      <c r="H264" s="34"/>
      <c r="I264" s="34"/>
      <c r="J264" s="21"/>
      <c r="K264" s="22"/>
      <c r="L264" s="23"/>
      <c r="M264" s="24"/>
      <c r="N264" s="25"/>
      <c r="O264" s="26"/>
      <c r="P264" s="26"/>
      <c r="Q264" s="25"/>
      <c r="R264" s="25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</row>
    <row r="265">
      <c r="A265" s="31"/>
      <c r="B265" s="32"/>
      <c r="C265" s="33"/>
      <c r="D265" s="33"/>
      <c r="E265" s="27"/>
      <c r="F265" s="29"/>
      <c r="G265" s="34"/>
      <c r="H265" s="34"/>
      <c r="I265" s="34"/>
      <c r="J265" s="21"/>
      <c r="K265" s="22"/>
      <c r="L265" s="23"/>
      <c r="M265" s="24"/>
      <c r="N265" s="25"/>
      <c r="O265" s="26"/>
      <c r="P265" s="26"/>
      <c r="Q265" s="25"/>
      <c r="R265" s="25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</row>
    <row r="266">
      <c r="A266" s="31"/>
      <c r="B266" s="32"/>
      <c r="C266" s="33"/>
      <c r="D266" s="33"/>
      <c r="E266" s="27"/>
      <c r="F266" s="29"/>
      <c r="G266" s="34"/>
      <c r="H266" s="34"/>
      <c r="I266" s="34"/>
      <c r="J266" s="21"/>
      <c r="K266" s="22"/>
      <c r="L266" s="23"/>
      <c r="M266" s="24"/>
      <c r="N266" s="25"/>
      <c r="O266" s="26"/>
      <c r="P266" s="26"/>
      <c r="Q266" s="25"/>
      <c r="R266" s="25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</row>
    <row r="267">
      <c r="A267" s="31"/>
      <c r="B267" s="32"/>
      <c r="C267" s="33"/>
      <c r="D267" s="33"/>
      <c r="E267" s="27"/>
      <c r="F267" s="29"/>
      <c r="G267" s="34"/>
      <c r="H267" s="34"/>
      <c r="I267" s="34"/>
      <c r="J267" s="21"/>
      <c r="K267" s="22"/>
      <c r="L267" s="23"/>
      <c r="M267" s="24"/>
      <c r="N267" s="25"/>
      <c r="O267" s="26"/>
      <c r="P267" s="26"/>
      <c r="Q267" s="25"/>
      <c r="R267" s="25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</row>
    <row r="268">
      <c r="A268" s="31"/>
      <c r="B268" s="32"/>
      <c r="C268" s="33"/>
      <c r="D268" s="33"/>
      <c r="E268" s="27"/>
      <c r="F268" s="29"/>
      <c r="G268" s="34"/>
      <c r="H268" s="34"/>
      <c r="I268" s="34"/>
      <c r="J268" s="21"/>
      <c r="K268" s="22"/>
      <c r="L268" s="23"/>
      <c r="M268" s="24"/>
      <c r="N268" s="25"/>
      <c r="O268" s="26"/>
      <c r="P268" s="26"/>
      <c r="Q268" s="25"/>
      <c r="R268" s="25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</row>
    <row r="269">
      <c r="A269" s="31"/>
      <c r="B269" s="32"/>
      <c r="C269" s="33"/>
      <c r="D269" s="33"/>
      <c r="E269" s="27"/>
      <c r="F269" s="29"/>
      <c r="G269" s="34"/>
      <c r="H269" s="34"/>
      <c r="I269" s="34"/>
      <c r="J269" s="21"/>
      <c r="K269" s="22"/>
      <c r="L269" s="23"/>
      <c r="M269" s="24"/>
      <c r="N269" s="25"/>
      <c r="O269" s="26"/>
      <c r="P269" s="26"/>
      <c r="Q269" s="25"/>
      <c r="R269" s="25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</row>
    <row r="270">
      <c r="A270" s="31"/>
      <c r="B270" s="32"/>
      <c r="C270" s="33"/>
      <c r="D270" s="33"/>
      <c r="E270" s="27"/>
      <c r="F270" s="29"/>
      <c r="G270" s="34"/>
      <c r="H270" s="34"/>
      <c r="I270" s="34"/>
      <c r="J270" s="21"/>
      <c r="K270" s="22"/>
      <c r="L270" s="23"/>
      <c r="M270" s="24"/>
      <c r="N270" s="25"/>
      <c r="O270" s="26"/>
      <c r="P270" s="26"/>
      <c r="Q270" s="25"/>
      <c r="R270" s="25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</row>
    <row r="271">
      <c r="A271" s="31"/>
      <c r="B271" s="32"/>
      <c r="C271" s="33"/>
      <c r="D271" s="33"/>
      <c r="E271" s="27"/>
      <c r="F271" s="29"/>
      <c r="G271" s="34"/>
      <c r="H271" s="34"/>
      <c r="I271" s="34"/>
      <c r="J271" s="21"/>
      <c r="K271" s="22"/>
      <c r="L271" s="23"/>
      <c r="M271" s="24"/>
      <c r="N271" s="25"/>
      <c r="O271" s="26"/>
      <c r="P271" s="26"/>
      <c r="Q271" s="25"/>
      <c r="R271" s="25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</row>
    <row r="272">
      <c r="A272" s="31"/>
      <c r="B272" s="32"/>
      <c r="C272" s="33"/>
      <c r="D272" s="33"/>
      <c r="E272" s="27"/>
      <c r="F272" s="29"/>
      <c r="G272" s="34"/>
      <c r="H272" s="34"/>
      <c r="I272" s="34"/>
      <c r="J272" s="21"/>
      <c r="K272" s="22"/>
      <c r="L272" s="23"/>
      <c r="M272" s="24"/>
      <c r="N272" s="25"/>
      <c r="O272" s="26"/>
      <c r="P272" s="26"/>
      <c r="Q272" s="25"/>
      <c r="R272" s="25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</row>
    <row r="273">
      <c r="A273" s="31"/>
      <c r="B273" s="32"/>
      <c r="C273" s="33"/>
      <c r="D273" s="33"/>
      <c r="E273" s="27"/>
      <c r="F273" s="29"/>
      <c r="G273" s="34"/>
      <c r="H273" s="34"/>
      <c r="I273" s="34"/>
      <c r="J273" s="21"/>
      <c r="K273" s="22"/>
      <c r="L273" s="23"/>
      <c r="M273" s="24"/>
      <c r="N273" s="25"/>
      <c r="O273" s="26"/>
      <c r="P273" s="26"/>
      <c r="Q273" s="25"/>
      <c r="R273" s="25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</row>
    <row r="274">
      <c r="A274" s="31"/>
      <c r="B274" s="32"/>
      <c r="C274" s="33"/>
      <c r="D274" s="33"/>
      <c r="E274" s="27"/>
      <c r="F274" s="29"/>
      <c r="G274" s="34"/>
      <c r="H274" s="34"/>
      <c r="I274" s="34"/>
      <c r="J274" s="21"/>
      <c r="K274" s="22"/>
      <c r="L274" s="23"/>
      <c r="M274" s="24"/>
      <c r="N274" s="25"/>
      <c r="O274" s="26"/>
      <c r="P274" s="26"/>
      <c r="Q274" s="25"/>
      <c r="R274" s="25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</row>
    <row r="275">
      <c r="A275" s="31"/>
      <c r="B275" s="32"/>
      <c r="C275" s="33"/>
      <c r="D275" s="33"/>
      <c r="E275" s="27"/>
      <c r="F275" s="29"/>
      <c r="G275" s="34"/>
      <c r="H275" s="34"/>
      <c r="I275" s="34"/>
      <c r="J275" s="21"/>
      <c r="K275" s="22"/>
      <c r="L275" s="23"/>
      <c r="M275" s="24"/>
      <c r="N275" s="25"/>
      <c r="O275" s="26"/>
      <c r="P275" s="26"/>
      <c r="Q275" s="25"/>
      <c r="R275" s="25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</row>
    <row r="276">
      <c r="A276" s="31"/>
      <c r="B276" s="32"/>
      <c r="C276" s="33"/>
      <c r="D276" s="33"/>
      <c r="E276" s="27"/>
      <c r="F276" s="29"/>
      <c r="G276" s="34"/>
      <c r="H276" s="34"/>
      <c r="I276" s="34"/>
      <c r="J276" s="21"/>
      <c r="K276" s="22"/>
      <c r="L276" s="23"/>
      <c r="M276" s="24"/>
      <c r="N276" s="25"/>
      <c r="O276" s="26"/>
      <c r="P276" s="26"/>
      <c r="Q276" s="25"/>
      <c r="R276" s="25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</row>
    <row r="277">
      <c r="A277" s="31"/>
      <c r="B277" s="32"/>
      <c r="C277" s="33"/>
      <c r="D277" s="33"/>
      <c r="E277" s="27"/>
      <c r="F277" s="29"/>
      <c r="G277" s="34"/>
      <c r="H277" s="34"/>
      <c r="I277" s="34"/>
      <c r="J277" s="21"/>
      <c r="K277" s="22"/>
      <c r="L277" s="23"/>
      <c r="M277" s="24"/>
      <c r="N277" s="25"/>
      <c r="O277" s="26"/>
      <c r="P277" s="26"/>
      <c r="Q277" s="25"/>
      <c r="R277" s="25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</row>
    <row r="278">
      <c r="A278" s="31"/>
      <c r="B278" s="32"/>
      <c r="C278" s="33"/>
      <c r="D278" s="33"/>
      <c r="E278" s="27"/>
      <c r="F278" s="29"/>
      <c r="G278" s="34"/>
      <c r="H278" s="34"/>
      <c r="I278" s="34"/>
      <c r="J278" s="21"/>
      <c r="K278" s="22"/>
      <c r="L278" s="23"/>
      <c r="M278" s="24"/>
      <c r="N278" s="25"/>
      <c r="O278" s="26"/>
      <c r="P278" s="26"/>
      <c r="Q278" s="25"/>
      <c r="R278" s="25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</row>
    <row r="279">
      <c r="A279" s="31"/>
      <c r="B279" s="32"/>
      <c r="C279" s="33"/>
      <c r="D279" s="33"/>
      <c r="E279" s="27"/>
      <c r="F279" s="29"/>
      <c r="G279" s="34"/>
      <c r="H279" s="34"/>
      <c r="I279" s="34"/>
      <c r="J279" s="21"/>
      <c r="K279" s="22"/>
      <c r="L279" s="23"/>
      <c r="M279" s="24"/>
      <c r="N279" s="25"/>
      <c r="O279" s="26"/>
      <c r="P279" s="26"/>
      <c r="Q279" s="25"/>
      <c r="R279" s="25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</row>
    <row r="280">
      <c r="A280" s="31"/>
      <c r="B280" s="32"/>
      <c r="C280" s="33"/>
      <c r="D280" s="33"/>
      <c r="E280" s="27"/>
      <c r="F280" s="29"/>
      <c r="G280" s="34"/>
      <c r="H280" s="34"/>
      <c r="I280" s="34"/>
      <c r="J280" s="21"/>
      <c r="K280" s="22"/>
      <c r="L280" s="23"/>
      <c r="M280" s="24"/>
      <c r="N280" s="25"/>
      <c r="O280" s="26"/>
      <c r="P280" s="26"/>
      <c r="Q280" s="25"/>
      <c r="R280" s="25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</row>
    <row r="281">
      <c r="A281" s="31"/>
      <c r="B281" s="32"/>
      <c r="C281" s="33"/>
      <c r="D281" s="33"/>
      <c r="E281" s="27"/>
      <c r="F281" s="29"/>
      <c r="G281" s="34"/>
      <c r="H281" s="34"/>
      <c r="I281" s="34"/>
      <c r="J281" s="21"/>
      <c r="K281" s="22"/>
      <c r="L281" s="23"/>
      <c r="M281" s="24"/>
      <c r="N281" s="25"/>
      <c r="O281" s="26"/>
      <c r="P281" s="26"/>
      <c r="Q281" s="25"/>
      <c r="R281" s="25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</row>
    <row r="282">
      <c r="A282" s="31"/>
      <c r="B282" s="32"/>
      <c r="C282" s="33"/>
      <c r="D282" s="33"/>
      <c r="E282" s="27"/>
      <c r="F282" s="29"/>
      <c r="G282" s="34"/>
      <c r="H282" s="34"/>
      <c r="I282" s="34"/>
      <c r="J282" s="21"/>
      <c r="K282" s="22"/>
      <c r="L282" s="23"/>
      <c r="M282" s="24"/>
      <c r="N282" s="25"/>
      <c r="O282" s="26"/>
      <c r="P282" s="26"/>
      <c r="Q282" s="25"/>
      <c r="R282" s="25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</row>
    <row r="283">
      <c r="A283" s="31"/>
      <c r="B283" s="32"/>
      <c r="C283" s="33"/>
      <c r="D283" s="33"/>
      <c r="E283" s="27"/>
      <c r="F283" s="29"/>
      <c r="G283" s="34"/>
      <c r="H283" s="34"/>
      <c r="I283" s="34"/>
      <c r="J283" s="21"/>
      <c r="K283" s="22"/>
      <c r="L283" s="23"/>
      <c r="M283" s="24"/>
      <c r="N283" s="25"/>
      <c r="O283" s="26"/>
      <c r="P283" s="26"/>
      <c r="Q283" s="25"/>
      <c r="R283" s="25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</row>
    <row r="284">
      <c r="A284" s="31"/>
      <c r="B284" s="32"/>
      <c r="C284" s="33"/>
      <c r="D284" s="33"/>
      <c r="E284" s="27"/>
      <c r="F284" s="29"/>
      <c r="G284" s="34"/>
      <c r="H284" s="34"/>
      <c r="I284" s="34"/>
      <c r="J284" s="21"/>
      <c r="K284" s="22"/>
      <c r="L284" s="23"/>
      <c r="M284" s="24"/>
      <c r="N284" s="25"/>
      <c r="O284" s="26"/>
      <c r="P284" s="26"/>
      <c r="Q284" s="25"/>
      <c r="R284" s="25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</row>
    <row r="285">
      <c r="A285" s="31"/>
      <c r="B285" s="32"/>
      <c r="C285" s="33"/>
      <c r="D285" s="33"/>
      <c r="E285" s="27"/>
      <c r="F285" s="29"/>
      <c r="G285" s="34"/>
      <c r="H285" s="34"/>
      <c r="I285" s="34"/>
      <c r="J285" s="21"/>
      <c r="K285" s="22"/>
      <c r="L285" s="23"/>
      <c r="M285" s="24"/>
      <c r="N285" s="25"/>
      <c r="O285" s="26"/>
      <c r="P285" s="26"/>
      <c r="Q285" s="25"/>
      <c r="R285" s="25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</row>
    <row r="286">
      <c r="A286" s="31"/>
      <c r="B286" s="32"/>
      <c r="C286" s="33"/>
      <c r="D286" s="33"/>
      <c r="E286" s="27"/>
      <c r="F286" s="29"/>
      <c r="G286" s="34"/>
      <c r="H286" s="34"/>
      <c r="I286" s="34"/>
      <c r="J286" s="21"/>
      <c r="K286" s="22"/>
      <c r="L286" s="23"/>
      <c r="M286" s="24"/>
      <c r="N286" s="25"/>
      <c r="O286" s="26"/>
      <c r="P286" s="26"/>
      <c r="Q286" s="25"/>
      <c r="R286" s="25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</row>
    <row r="287">
      <c r="A287" s="31"/>
      <c r="B287" s="32"/>
      <c r="C287" s="33"/>
      <c r="D287" s="33"/>
      <c r="E287" s="27"/>
      <c r="F287" s="29"/>
      <c r="G287" s="34"/>
      <c r="H287" s="34"/>
      <c r="I287" s="34"/>
      <c r="J287" s="21"/>
      <c r="K287" s="22"/>
      <c r="L287" s="23"/>
      <c r="M287" s="24"/>
      <c r="N287" s="25"/>
      <c r="O287" s="26"/>
      <c r="P287" s="26"/>
      <c r="Q287" s="25"/>
      <c r="R287" s="25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</row>
    <row r="288">
      <c r="A288" s="31"/>
      <c r="B288" s="32"/>
      <c r="C288" s="33"/>
      <c r="D288" s="33"/>
      <c r="E288" s="27"/>
      <c r="F288" s="29"/>
      <c r="G288" s="34"/>
      <c r="H288" s="34"/>
      <c r="I288" s="34"/>
      <c r="J288" s="21"/>
      <c r="K288" s="22"/>
      <c r="L288" s="23"/>
      <c r="M288" s="24"/>
      <c r="N288" s="25"/>
      <c r="O288" s="26"/>
      <c r="P288" s="26"/>
      <c r="Q288" s="25"/>
      <c r="R288" s="25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</row>
    <row r="289">
      <c r="A289" s="31"/>
      <c r="B289" s="32"/>
      <c r="C289" s="33"/>
      <c r="D289" s="33"/>
      <c r="E289" s="27"/>
      <c r="F289" s="29"/>
      <c r="G289" s="34"/>
      <c r="H289" s="34"/>
      <c r="I289" s="34"/>
      <c r="J289" s="21"/>
      <c r="K289" s="22"/>
      <c r="L289" s="23"/>
      <c r="M289" s="24"/>
      <c r="N289" s="25"/>
      <c r="O289" s="26"/>
      <c r="P289" s="26"/>
      <c r="Q289" s="25"/>
      <c r="R289" s="25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</row>
    <row r="290">
      <c r="A290" s="31"/>
      <c r="B290" s="32"/>
      <c r="C290" s="33"/>
      <c r="D290" s="33"/>
      <c r="E290" s="27"/>
      <c r="F290" s="29"/>
      <c r="G290" s="34"/>
      <c r="H290" s="34"/>
      <c r="I290" s="34"/>
      <c r="J290" s="21"/>
      <c r="K290" s="22"/>
      <c r="L290" s="23"/>
      <c r="M290" s="24"/>
      <c r="N290" s="25"/>
      <c r="O290" s="26"/>
      <c r="P290" s="26"/>
      <c r="Q290" s="25"/>
      <c r="R290" s="25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</row>
    <row r="291">
      <c r="A291" s="31"/>
      <c r="B291" s="32"/>
      <c r="C291" s="33"/>
      <c r="D291" s="33"/>
      <c r="E291" s="27"/>
      <c r="F291" s="29"/>
      <c r="G291" s="34"/>
      <c r="H291" s="34"/>
      <c r="I291" s="34"/>
      <c r="J291" s="21"/>
      <c r="K291" s="22"/>
      <c r="L291" s="23"/>
      <c r="M291" s="24"/>
      <c r="N291" s="25"/>
      <c r="O291" s="26"/>
      <c r="P291" s="26"/>
      <c r="Q291" s="25"/>
      <c r="R291" s="25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</row>
    <row r="292">
      <c r="A292" s="31"/>
      <c r="B292" s="32"/>
      <c r="C292" s="33"/>
      <c r="D292" s="33"/>
      <c r="E292" s="27"/>
      <c r="F292" s="29"/>
      <c r="G292" s="34"/>
      <c r="H292" s="34"/>
      <c r="I292" s="34"/>
      <c r="J292" s="21"/>
      <c r="K292" s="22"/>
      <c r="L292" s="23"/>
      <c r="M292" s="24"/>
      <c r="N292" s="25"/>
      <c r="O292" s="26"/>
      <c r="P292" s="26"/>
      <c r="Q292" s="25"/>
      <c r="R292" s="25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</row>
    <row r="293">
      <c r="A293" s="31"/>
      <c r="B293" s="32"/>
      <c r="C293" s="33"/>
      <c r="D293" s="33"/>
      <c r="E293" s="27"/>
      <c r="F293" s="29"/>
      <c r="G293" s="34"/>
      <c r="H293" s="34"/>
      <c r="I293" s="34"/>
      <c r="J293" s="21"/>
      <c r="K293" s="22"/>
      <c r="L293" s="23"/>
      <c r="M293" s="24"/>
      <c r="N293" s="25"/>
      <c r="O293" s="26"/>
      <c r="P293" s="26"/>
      <c r="Q293" s="25"/>
      <c r="R293" s="25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</row>
    <row r="294">
      <c r="A294" s="31"/>
      <c r="B294" s="32"/>
      <c r="C294" s="33"/>
      <c r="D294" s="33"/>
      <c r="E294" s="27"/>
      <c r="F294" s="29"/>
      <c r="G294" s="34"/>
      <c r="H294" s="34"/>
      <c r="I294" s="34"/>
      <c r="J294" s="21"/>
      <c r="K294" s="22"/>
      <c r="L294" s="23"/>
      <c r="M294" s="24"/>
      <c r="N294" s="25"/>
      <c r="O294" s="26"/>
      <c r="P294" s="26"/>
      <c r="Q294" s="25"/>
      <c r="R294" s="25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</row>
    <row r="295">
      <c r="A295" s="31"/>
      <c r="B295" s="32"/>
      <c r="C295" s="33"/>
      <c r="D295" s="33"/>
      <c r="E295" s="27"/>
      <c r="F295" s="29"/>
      <c r="G295" s="34"/>
      <c r="H295" s="34"/>
      <c r="I295" s="34"/>
      <c r="J295" s="21"/>
      <c r="K295" s="22"/>
      <c r="L295" s="23"/>
      <c r="M295" s="24"/>
      <c r="N295" s="25"/>
      <c r="O295" s="26"/>
      <c r="P295" s="26"/>
      <c r="Q295" s="25"/>
      <c r="R295" s="25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</row>
    <row r="296">
      <c r="A296" s="31"/>
      <c r="B296" s="32"/>
      <c r="C296" s="33"/>
      <c r="D296" s="33"/>
      <c r="E296" s="27"/>
      <c r="F296" s="29"/>
      <c r="G296" s="34"/>
      <c r="H296" s="34"/>
      <c r="I296" s="34"/>
      <c r="J296" s="21"/>
      <c r="K296" s="22"/>
      <c r="L296" s="23"/>
      <c r="M296" s="24"/>
      <c r="N296" s="25"/>
      <c r="O296" s="26"/>
      <c r="P296" s="26"/>
      <c r="Q296" s="25"/>
      <c r="R296" s="25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</row>
    <row r="297">
      <c r="A297" s="31"/>
      <c r="B297" s="32"/>
      <c r="C297" s="33"/>
      <c r="D297" s="33"/>
      <c r="E297" s="27"/>
      <c r="F297" s="29"/>
      <c r="G297" s="34"/>
      <c r="H297" s="34"/>
      <c r="I297" s="34"/>
      <c r="J297" s="21"/>
      <c r="K297" s="22"/>
      <c r="L297" s="23"/>
      <c r="M297" s="24"/>
      <c r="N297" s="25"/>
      <c r="O297" s="26"/>
      <c r="P297" s="26"/>
      <c r="Q297" s="25"/>
      <c r="R297" s="25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</row>
    <row r="298">
      <c r="A298" s="31"/>
      <c r="B298" s="32"/>
      <c r="C298" s="33"/>
      <c r="D298" s="33"/>
      <c r="E298" s="27"/>
      <c r="F298" s="29"/>
      <c r="G298" s="34"/>
      <c r="H298" s="34"/>
      <c r="I298" s="34"/>
      <c r="J298" s="21"/>
      <c r="K298" s="22"/>
      <c r="L298" s="23"/>
      <c r="M298" s="24"/>
      <c r="N298" s="25"/>
      <c r="O298" s="26"/>
      <c r="P298" s="26"/>
      <c r="Q298" s="25"/>
      <c r="R298" s="25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</row>
    <row r="299">
      <c r="A299" s="31"/>
      <c r="B299" s="32"/>
      <c r="C299" s="33"/>
      <c r="D299" s="33"/>
      <c r="E299" s="27"/>
      <c r="F299" s="29"/>
      <c r="G299" s="34"/>
      <c r="H299" s="34"/>
      <c r="I299" s="34"/>
      <c r="J299" s="21"/>
      <c r="K299" s="22"/>
      <c r="L299" s="23"/>
      <c r="M299" s="24"/>
      <c r="N299" s="25"/>
      <c r="O299" s="26"/>
      <c r="P299" s="26"/>
      <c r="Q299" s="25"/>
      <c r="R299" s="25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>
      <c r="A300" s="31"/>
      <c r="B300" s="32"/>
      <c r="C300" s="33"/>
      <c r="D300" s="33"/>
      <c r="E300" s="27"/>
      <c r="F300" s="29"/>
      <c r="G300" s="34"/>
      <c r="H300" s="34"/>
      <c r="I300" s="34"/>
      <c r="J300" s="21"/>
      <c r="K300" s="22"/>
      <c r="L300" s="23"/>
      <c r="M300" s="24"/>
      <c r="N300" s="25"/>
      <c r="O300" s="26"/>
      <c r="P300" s="26"/>
      <c r="Q300" s="25"/>
      <c r="R300" s="25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>
      <c r="A301" s="31"/>
      <c r="B301" s="32"/>
      <c r="C301" s="33"/>
      <c r="D301" s="33"/>
      <c r="E301" s="27"/>
      <c r="F301" s="29"/>
      <c r="G301" s="34"/>
      <c r="H301" s="34"/>
      <c r="I301" s="34"/>
      <c r="J301" s="21"/>
      <c r="K301" s="22"/>
      <c r="L301" s="23"/>
      <c r="M301" s="24"/>
      <c r="N301" s="25"/>
      <c r="O301" s="26"/>
      <c r="P301" s="26"/>
      <c r="Q301" s="25"/>
      <c r="R301" s="25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</row>
    <row r="302">
      <c r="A302" s="31"/>
      <c r="B302" s="32"/>
      <c r="C302" s="33"/>
      <c r="D302" s="33"/>
      <c r="E302" s="27"/>
      <c r="F302" s="29"/>
      <c r="G302" s="34"/>
      <c r="H302" s="34"/>
      <c r="I302" s="34"/>
      <c r="J302" s="21"/>
      <c r="K302" s="22"/>
      <c r="L302" s="23"/>
      <c r="M302" s="24"/>
      <c r="N302" s="25"/>
      <c r="O302" s="26"/>
      <c r="P302" s="26"/>
      <c r="Q302" s="25"/>
      <c r="R302" s="25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</row>
    <row r="303">
      <c r="A303" s="31"/>
      <c r="B303" s="32"/>
      <c r="C303" s="33"/>
      <c r="D303" s="33"/>
      <c r="E303" s="27"/>
      <c r="F303" s="29"/>
      <c r="G303" s="34"/>
      <c r="H303" s="34"/>
      <c r="I303" s="34"/>
      <c r="J303" s="21"/>
      <c r="K303" s="22"/>
      <c r="L303" s="23"/>
      <c r="M303" s="24"/>
      <c r="N303" s="25"/>
      <c r="O303" s="26"/>
      <c r="P303" s="26"/>
      <c r="Q303" s="25"/>
      <c r="R303" s="25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</row>
    <row r="304">
      <c r="A304" s="31"/>
      <c r="B304" s="32"/>
      <c r="C304" s="33"/>
      <c r="D304" s="33"/>
      <c r="E304" s="27"/>
      <c r="F304" s="29"/>
      <c r="G304" s="34"/>
      <c r="H304" s="34"/>
      <c r="I304" s="34"/>
      <c r="J304" s="21"/>
      <c r="K304" s="22"/>
      <c r="L304" s="23"/>
      <c r="M304" s="24"/>
      <c r="N304" s="25"/>
      <c r="O304" s="26"/>
      <c r="P304" s="26"/>
      <c r="Q304" s="25"/>
      <c r="R304" s="25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</row>
    <row r="305">
      <c r="A305" s="31"/>
      <c r="B305" s="32"/>
      <c r="C305" s="33"/>
      <c r="D305" s="33"/>
      <c r="E305" s="27"/>
      <c r="F305" s="29"/>
      <c r="G305" s="34"/>
      <c r="H305" s="34"/>
      <c r="I305" s="34"/>
      <c r="J305" s="21"/>
      <c r="K305" s="22"/>
      <c r="L305" s="23"/>
      <c r="M305" s="24"/>
      <c r="N305" s="25"/>
      <c r="O305" s="26"/>
      <c r="P305" s="26"/>
      <c r="Q305" s="25"/>
      <c r="R305" s="25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</row>
    <row r="306">
      <c r="A306" s="31"/>
      <c r="B306" s="32"/>
      <c r="C306" s="33"/>
      <c r="D306" s="33"/>
      <c r="E306" s="27"/>
      <c r="F306" s="29"/>
      <c r="G306" s="34"/>
      <c r="H306" s="34"/>
      <c r="I306" s="34"/>
      <c r="J306" s="21"/>
      <c r="K306" s="22"/>
      <c r="L306" s="23"/>
      <c r="M306" s="24"/>
      <c r="N306" s="25"/>
      <c r="O306" s="26"/>
      <c r="P306" s="26"/>
      <c r="Q306" s="25"/>
      <c r="R306" s="25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</row>
    <row r="307">
      <c r="A307" s="31"/>
      <c r="B307" s="32"/>
      <c r="C307" s="33"/>
      <c r="D307" s="33"/>
      <c r="E307" s="27"/>
      <c r="F307" s="29"/>
      <c r="G307" s="34"/>
      <c r="H307" s="34"/>
      <c r="I307" s="34"/>
      <c r="J307" s="21"/>
      <c r="K307" s="22"/>
      <c r="L307" s="23"/>
      <c r="M307" s="24"/>
      <c r="N307" s="25"/>
      <c r="O307" s="26"/>
      <c r="P307" s="26"/>
      <c r="Q307" s="25"/>
      <c r="R307" s="25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</row>
    <row r="308">
      <c r="A308" s="31"/>
      <c r="B308" s="32"/>
      <c r="C308" s="33"/>
      <c r="D308" s="33"/>
      <c r="E308" s="27"/>
      <c r="F308" s="29"/>
      <c r="G308" s="34"/>
      <c r="H308" s="34"/>
      <c r="I308" s="34"/>
      <c r="J308" s="21"/>
      <c r="K308" s="22"/>
      <c r="L308" s="23"/>
      <c r="M308" s="24"/>
      <c r="N308" s="25"/>
      <c r="O308" s="26"/>
      <c r="P308" s="26"/>
      <c r="Q308" s="25"/>
      <c r="R308" s="25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</row>
    <row r="309">
      <c r="A309" s="31"/>
      <c r="B309" s="32"/>
      <c r="C309" s="33"/>
      <c r="D309" s="33"/>
      <c r="E309" s="27"/>
      <c r="F309" s="29"/>
      <c r="G309" s="34"/>
      <c r="H309" s="34"/>
      <c r="I309" s="34"/>
      <c r="J309" s="21"/>
      <c r="K309" s="22"/>
      <c r="L309" s="23"/>
      <c r="M309" s="24"/>
      <c r="N309" s="25"/>
      <c r="O309" s="26"/>
      <c r="P309" s="26"/>
      <c r="Q309" s="25"/>
      <c r="R309" s="25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</row>
    <row r="310">
      <c r="A310" s="31"/>
      <c r="B310" s="32"/>
      <c r="C310" s="33"/>
      <c r="D310" s="33"/>
      <c r="E310" s="27"/>
      <c r="F310" s="29"/>
      <c r="G310" s="34"/>
      <c r="H310" s="34"/>
      <c r="I310" s="34"/>
      <c r="J310" s="21"/>
      <c r="K310" s="22"/>
      <c r="L310" s="23"/>
      <c r="M310" s="24"/>
      <c r="N310" s="25"/>
      <c r="O310" s="26"/>
      <c r="P310" s="26"/>
      <c r="Q310" s="25"/>
      <c r="R310" s="25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</row>
    <row r="311">
      <c r="A311" s="31"/>
      <c r="B311" s="32"/>
      <c r="C311" s="33"/>
      <c r="D311" s="33"/>
      <c r="E311" s="27"/>
      <c r="F311" s="29"/>
      <c r="G311" s="34"/>
      <c r="H311" s="34"/>
      <c r="I311" s="34"/>
      <c r="J311" s="21"/>
      <c r="K311" s="22"/>
      <c r="L311" s="23"/>
      <c r="M311" s="24"/>
      <c r="N311" s="25"/>
      <c r="O311" s="26"/>
      <c r="P311" s="26"/>
      <c r="Q311" s="25"/>
      <c r="R311" s="25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</row>
    <row r="312">
      <c r="A312" s="31"/>
      <c r="B312" s="32"/>
      <c r="C312" s="33"/>
      <c r="D312" s="33"/>
      <c r="E312" s="27"/>
      <c r="F312" s="29"/>
      <c r="G312" s="34"/>
      <c r="H312" s="34"/>
      <c r="I312" s="34"/>
      <c r="J312" s="21"/>
      <c r="K312" s="22"/>
      <c r="L312" s="23"/>
      <c r="M312" s="24"/>
      <c r="N312" s="25"/>
      <c r="O312" s="26"/>
      <c r="P312" s="26"/>
      <c r="Q312" s="25"/>
      <c r="R312" s="25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</row>
    <row r="313">
      <c r="A313" s="31"/>
      <c r="B313" s="32"/>
      <c r="C313" s="33"/>
      <c r="D313" s="33"/>
      <c r="E313" s="27"/>
      <c r="F313" s="29"/>
      <c r="G313" s="34"/>
      <c r="H313" s="34"/>
      <c r="I313" s="34"/>
      <c r="J313" s="21"/>
      <c r="K313" s="22"/>
      <c r="L313" s="23"/>
      <c r="M313" s="24"/>
      <c r="N313" s="25"/>
      <c r="O313" s="26"/>
      <c r="P313" s="26"/>
      <c r="Q313" s="25"/>
      <c r="R313" s="25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</row>
    <row r="314">
      <c r="A314" s="31"/>
      <c r="B314" s="32"/>
      <c r="C314" s="33"/>
      <c r="D314" s="33"/>
      <c r="E314" s="27"/>
      <c r="F314" s="29"/>
      <c r="G314" s="34"/>
      <c r="H314" s="34"/>
      <c r="I314" s="34"/>
      <c r="J314" s="21"/>
      <c r="K314" s="22"/>
      <c r="L314" s="23"/>
      <c r="M314" s="24"/>
      <c r="N314" s="25"/>
      <c r="O314" s="26"/>
      <c r="P314" s="26"/>
      <c r="Q314" s="25"/>
      <c r="R314" s="25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</row>
    <row r="315">
      <c r="A315" s="31"/>
      <c r="B315" s="32"/>
      <c r="C315" s="33"/>
      <c r="D315" s="33"/>
      <c r="E315" s="27"/>
      <c r="F315" s="29"/>
      <c r="G315" s="34"/>
      <c r="H315" s="34"/>
      <c r="I315" s="34"/>
      <c r="J315" s="21"/>
      <c r="K315" s="22"/>
      <c r="L315" s="23"/>
      <c r="M315" s="24"/>
      <c r="N315" s="25"/>
      <c r="O315" s="26"/>
      <c r="P315" s="26"/>
      <c r="Q315" s="25"/>
      <c r="R315" s="25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</row>
    <row r="316">
      <c r="A316" s="31"/>
      <c r="B316" s="32"/>
      <c r="C316" s="33"/>
      <c r="D316" s="33"/>
      <c r="E316" s="27"/>
      <c r="F316" s="29"/>
      <c r="G316" s="34"/>
      <c r="H316" s="34"/>
      <c r="I316" s="34"/>
      <c r="J316" s="21"/>
      <c r="K316" s="22"/>
      <c r="L316" s="23"/>
      <c r="M316" s="24"/>
      <c r="N316" s="25"/>
      <c r="O316" s="26"/>
      <c r="P316" s="26"/>
      <c r="Q316" s="25"/>
      <c r="R316" s="25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</row>
    <row r="317">
      <c r="A317" s="31"/>
      <c r="B317" s="32"/>
      <c r="C317" s="33"/>
      <c r="D317" s="33"/>
      <c r="E317" s="27"/>
      <c r="F317" s="29"/>
      <c r="G317" s="34"/>
      <c r="H317" s="34"/>
      <c r="I317" s="34"/>
      <c r="J317" s="21"/>
      <c r="K317" s="22"/>
      <c r="L317" s="23"/>
      <c r="M317" s="24"/>
      <c r="N317" s="25"/>
      <c r="O317" s="26"/>
      <c r="P317" s="26"/>
      <c r="Q317" s="25"/>
      <c r="R317" s="25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</row>
    <row r="318">
      <c r="A318" s="31"/>
      <c r="B318" s="32"/>
      <c r="C318" s="33"/>
      <c r="D318" s="33"/>
      <c r="E318" s="27"/>
      <c r="F318" s="29"/>
      <c r="G318" s="34"/>
      <c r="H318" s="34"/>
      <c r="I318" s="34"/>
      <c r="J318" s="21"/>
      <c r="K318" s="22"/>
      <c r="L318" s="23"/>
      <c r="M318" s="24"/>
      <c r="N318" s="25"/>
      <c r="O318" s="26"/>
      <c r="P318" s="26"/>
      <c r="Q318" s="25"/>
      <c r="R318" s="25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</row>
    <row r="319">
      <c r="A319" s="31"/>
      <c r="B319" s="32"/>
      <c r="C319" s="33"/>
      <c r="D319" s="33"/>
      <c r="E319" s="27"/>
      <c r="F319" s="29"/>
      <c r="G319" s="34"/>
      <c r="H319" s="34"/>
      <c r="I319" s="34"/>
      <c r="J319" s="21"/>
      <c r="K319" s="22"/>
      <c r="L319" s="23"/>
      <c r="M319" s="24"/>
      <c r="N319" s="25"/>
      <c r="O319" s="26"/>
      <c r="P319" s="26"/>
      <c r="Q319" s="25"/>
      <c r="R319" s="25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</row>
    <row r="320">
      <c r="A320" s="31"/>
      <c r="B320" s="32"/>
      <c r="C320" s="33"/>
      <c r="D320" s="33"/>
      <c r="E320" s="27"/>
      <c r="F320" s="29"/>
      <c r="G320" s="34"/>
      <c r="H320" s="34"/>
      <c r="I320" s="34"/>
      <c r="J320" s="21"/>
      <c r="K320" s="22"/>
      <c r="L320" s="23"/>
      <c r="M320" s="24"/>
      <c r="N320" s="25"/>
      <c r="O320" s="26"/>
      <c r="P320" s="26"/>
      <c r="Q320" s="25"/>
      <c r="R320" s="25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</row>
    <row r="321">
      <c r="A321" s="31"/>
      <c r="B321" s="32"/>
      <c r="C321" s="33"/>
      <c r="D321" s="33"/>
      <c r="E321" s="27"/>
      <c r="F321" s="29"/>
      <c r="G321" s="34"/>
      <c r="H321" s="34"/>
      <c r="I321" s="34"/>
      <c r="J321" s="21"/>
      <c r="K321" s="22"/>
      <c r="L321" s="23"/>
      <c r="M321" s="24"/>
      <c r="N321" s="25"/>
      <c r="O321" s="26"/>
      <c r="P321" s="26"/>
      <c r="Q321" s="25"/>
      <c r="R321" s="25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</row>
    <row r="322">
      <c r="A322" s="31"/>
      <c r="B322" s="32"/>
      <c r="C322" s="33"/>
      <c r="D322" s="33"/>
      <c r="E322" s="27"/>
      <c r="F322" s="29"/>
      <c r="G322" s="34"/>
      <c r="H322" s="34"/>
      <c r="I322" s="34"/>
      <c r="J322" s="21"/>
      <c r="K322" s="22"/>
      <c r="L322" s="23"/>
      <c r="M322" s="24"/>
      <c r="N322" s="25"/>
      <c r="O322" s="26"/>
      <c r="P322" s="26"/>
      <c r="Q322" s="25"/>
      <c r="R322" s="25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</row>
    <row r="323">
      <c r="A323" s="31"/>
      <c r="B323" s="32"/>
      <c r="C323" s="33"/>
      <c r="D323" s="33"/>
      <c r="E323" s="27"/>
      <c r="F323" s="29"/>
      <c r="G323" s="34"/>
      <c r="H323" s="34"/>
      <c r="I323" s="34"/>
      <c r="J323" s="21"/>
      <c r="K323" s="22"/>
      <c r="L323" s="23"/>
      <c r="M323" s="24"/>
      <c r="N323" s="25"/>
      <c r="O323" s="26"/>
      <c r="P323" s="26"/>
      <c r="Q323" s="25"/>
      <c r="R323" s="25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</row>
    <row r="324">
      <c r="A324" s="31"/>
      <c r="B324" s="32"/>
      <c r="C324" s="33"/>
      <c r="D324" s="33"/>
      <c r="E324" s="27"/>
      <c r="F324" s="29"/>
      <c r="G324" s="34"/>
      <c r="H324" s="34"/>
      <c r="I324" s="34"/>
      <c r="J324" s="21"/>
      <c r="K324" s="22"/>
      <c r="L324" s="23"/>
      <c r="M324" s="24"/>
      <c r="N324" s="25"/>
      <c r="O324" s="26"/>
      <c r="P324" s="26"/>
      <c r="Q324" s="25"/>
      <c r="R324" s="25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</row>
    <row r="325">
      <c r="A325" s="31"/>
      <c r="B325" s="32"/>
      <c r="C325" s="33"/>
      <c r="D325" s="33"/>
      <c r="E325" s="27"/>
      <c r="F325" s="29"/>
      <c r="G325" s="34"/>
      <c r="H325" s="34"/>
      <c r="I325" s="34"/>
      <c r="J325" s="21"/>
      <c r="K325" s="22"/>
      <c r="L325" s="23"/>
      <c r="M325" s="24"/>
      <c r="N325" s="25"/>
      <c r="O325" s="26"/>
      <c r="P325" s="26"/>
      <c r="Q325" s="25"/>
      <c r="R325" s="25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</row>
    <row r="326">
      <c r="A326" s="31"/>
      <c r="B326" s="32"/>
      <c r="C326" s="33"/>
      <c r="D326" s="33"/>
      <c r="E326" s="27"/>
      <c r="F326" s="29"/>
      <c r="G326" s="34"/>
      <c r="H326" s="34"/>
      <c r="I326" s="34"/>
      <c r="J326" s="21"/>
      <c r="K326" s="22"/>
      <c r="L326" s="23"/>
      <c r="M326" s="24"/>
      <c r="N326" s="25"/>
      <c r="O326" s="26"/>
      <c r="P326" s="26"/>
      <c r="Q326" s="25"/>
      <c r="R326" s="25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>
      <c r="A327" s="31"/>
      <c r="B327" s="32"/>
      <c r="C327" s="33"/>
      <c r="D327" s="33"/>
      <c r="E327" s="27"/>
      <c r="F327" s="29"/>
      <c r="G327" s="34"/>
      <c r="H327" s="34"/>
      <c r="I327" s="34"/>
      <c r="J327" s="21"/>
      <c r="K327" s="22"/>
      <c r="L327" s="23"/>
      <c r="M327" s="24"/>
      <c r="N327" s="25"/>
      <c r="O327" s="26"/>
      <c r="P327" s="26"/>
      <c r="Q327" s="25"/>
      <c r="R327" s="25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</row>
    <row r="328">
      <c r="A328" s="31"/>
      <c r="B328" s="32"/>
      <c r="C328" s="33"/>
      <c r="D328" s="33"/>
      <c r="E328" s="27"/>
      <c r="F328" s="29"/>
      <c r="G328" s="34"/>
      <c r="H328" s="34"/>
      <c r="I328" s="34"/>
      <c r="J328" s="21"/>
      <c r="K328" s="22"/>
      <c r="L328" s="23"/>
      <c r="M328" s="24"/>
      <c r="N328" s="25"/>
      <c r="O328" s="26"/>
      <c r="P328" s="26"/>
      <c r="Q328" s="25"/>
      <c r="R328" s="25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</row>
    <row r="329">
      <c r="A329" s="31"/>
      <c r="B329" s="32"/>
      <c r="C329" s="33"/>
      <c r="D329" s="33"/>
      <c r="E329" s="27"/>
      <c r="F329" s="29"/>
      <c r="G329" s="34"/>
      <c r="H329" s="34"/>
      <c r="I329" s="34"/>
      <c r="J329" s="21"/>
      <c r="K329" s="22"/>
      <c r="L329" s="23"/>
      <c r="M329" s="24"/>
      <c r="N329" s="25"/>
      <c r="O329" s="26"/>
      <c r="P329" s="26"/>
      <c r="Q329" s="25"/>
      <c r="R329" s="25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</row>
    <row r="330">
      <c r="A330" s="31"/>
      <c r="B330" s="32"/>
      <c r="C330" s="33"/>
      <c r="D330" s="33"/>
      <c r="E330" s="27"/>
      <c r="F330" s="29"/>
      <c r="G330" s="34"/>
      <c r="H330" s="34"/>
      <c r="I330" s="34"/>
      <c r="J330" s="21"/>
      <c r="K330" s="22"/>
      <c r="L330" s="23"/>
      <c r="M330" s="24"/>
      <c r="N330" s="25"/>
      <c r="O330" s="26"/>
      <c r="P330" s="26"/>
      <c r="Q330" s="25"/>
      <c r="R330" s="25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</row>
    <row r="331">
      <c r="A331" s="31"/>
      <c r="B331" s="32"/>
      <c r="C331" s="33"/>
      <c r="D331" s="33"/>
      <c r="E331" s="27"/>
      <c r="F331" s="29"/>
      <c r="G331" s="34"/>
      <c r="H331" s="34"/>
      <c r="I331" s="34"/>
      <c r="J331" s="21"/>
      <c r="K331" s="22"/>
      <c r="L331" s="23"/>
      <c r="M331" s="24"/>
      <c r="N331" s="25"/>
      <c r="O331" s="26"/>
      <c r="P331" s="26"/>
      <c r="Q331" s="25"/>
      <c r="R331" s="25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</row>
    <row r="332">
      <c r="A332" s="31"/>
      <c r="B332" s="32"/>
      <c r="C332" s="33"/>
      <c r="D332" s="33"/>
      <c r="E332" s="27"/>
      <c r="F332" s="29"/>
      <c r="G332" s="34"/>
      <c r="H332" s="34"/>
      <c r="I332" s="34"/>
      <c r="J332" s="21"/>
      <c r="K332" s="22"/>
      <c r="L332" s="23"/>
      <c r="M332" s="24"/>
      <c r="N332" s="25"/>
      <c r="O332" s="26"/>
      <c r="P332" s="26"/>
      <c r="Q332" s="25"/>
      <c r="R332" s="25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</row>
    <row r="333">
      <c r="A333" s="31"/>
      <c r="B333" s="32"/>
      <c r="C333" s="33"/>
      <c r="D333" s="33"/>
      <c r="E333" s="27"/>
      <c r="F333" s="29"/>
      <c r="G333" s="34"/>
      <c r="H333" s="34"/>
      <c r="I333" s="34"/>
      <c r="J333" s="21"/>
      <c r="K333" s="22"/>
      <c r="L333" s="23"/>
      <c r="M333" s="24"/>
      <c r="N333" s="25"/>
      <c r="O333" s="26"/>
      <c r="P333" s="26"/>
      <c r="Q333" s="25"/>
      <c r="R333" s="25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</row>
    <row r="334">
      <c r="A334" s="31"/>
      <c r="B334" s="32"/>
      <c r="C334" s="33"/>
      <c r="D334" s="33"/>
      <c r="E334" s="27"/>
      <c r="F334" s="29"/>
      <c r="G334" s="34"/>
      <c r="H334" s="34"/>
      <c r="I334" s="34"/>
      <c r="J334" s="21"/>
      <c r="K334" s="22"/>
      <c r="L334" s="23"/>
      <c r="M334" s="24"/>
      <c r="N334" s="25"/>
      <c r="O334" s="26"/>
      <c r="P334" s="26"/>
      <c r="Q334" s="25"/>
      <c r="R334" s="25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>
      <c r="A335" s="31"/>
      <c r="B335" s="32"/>
      <c r="C335" s="33"/>
      <c r="D335" s="33"/>
      <c r="E335" s="27"/>
      <c r="F335" s="29"/>
      <c r="G335" s="34"/>
      <c r="H335" s="34"/>
      <c r="I335" s="34"/>
      <c r="J335" s="21"/>
      <c r="K335" s="22"/>
      <c r="L335" s="23"/>
      <c r="M335" s="24"/>
      <c r="N335" s="25"/>
      <c r="O335" s="26"/>
      <c r="P335" s="26"/>
      <c r="Q335" s="25"/>
      <c r="R335" s="25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>
      <c r="A336" s="31"/>
      <c r="B336" s="32"/>
      <c r="C336" s="33"/>
      <c r="D336" s="33"/>
      <c r="E336" s="27"/>
      <c r="F336" s="29"/>
      <c r="G336" s="34"/>
      <c r="H336" s="34"/>
      <c r="I336" s="34"/>
      <c r="J336" s="21"/>
      <c r="K336" s="22"/>
      <c r="L336" s="23"/>
      <c r="M336" s="24"/>
      <c r="N336" s="25"/>
      <c r="O336" s="26"/>
      <c r="P336" s="26"/>
      <c r="Q336" s="25"/>
      <c r="R336" s="25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>
      <c r="A337" s="31"/>
      <c r="B337" s="32"/>
      <c r="C337" s="33"/>
      <c r="D337" s="33"/>
      <c r="E337" s="27"/>
      <c r="F337" s="29"/>
      <c r="G337" s="34"/>
      <c r="H337" s="34"/>
      <c r="I337" s="34"/>
      <c r="J337" s="21"/>
      <c r="K337" s="22"/>
      <c r="L337" s="23"/>
      <c r="M337" s="24"/>
      <c r="N337" s="25"/>
      <c r="O337" s="26"/>
      <c r="P337" s="26"/>
      <c r="Q337" s="25"/>
      <c r="R337" s="25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>
      <c r="A338" s="31"/>
      <c r="B338" s="32"/>
      <c r="C338" s="33"/>
      <c r="D338" s="33"/>
      <c r="E338" s="27"/>
      <c r="F338" s="29"/>
      <c r="G338" s="34"/>
      <c r="H338" s="34"/>
      <c r="I338" s="34"/>
      <c r="J338" s="21"/>
      <c r="K338" s="22"/>
      <c r="L338" s="23"/>
      <c r="M338" s="24"/>
      <c r="N338" s="25"/>
      <c r="O338" s="26"/>
      <c r="P338" s="26"/>
      <c r="Q338" s="25"/>
      <c r="R338" s="25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</row>
    <row r="339">
      <c r="A339" s="31"/>
      <c r="B339" s="32"/>
      <c r="C339" s="33"/>
      <c r="D339" s="33"/>
      <c r="E339" s="27"/>
      <c r="F339" s="29"/>
      <c r="G339" s="34"/>
      <c r="H339" s="34"/>
      <c r="I339" s="34"/>
      <c r="J339" s="21"/>
      <c r="K339" s="22"/>
      <c r="L339" s="23"/>
      <c r="M339" s="24"/>
      <c r="N339" s="25"/>
      <c r="O339" s="26"/>
      <c r="P339" s="26"/>
      <c r="Q339" s="25"/>
      <c r="R339" s="25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</row>
    <row r="340">
      <c r="A340" s="31"/>
      <c r="B340" s="32"/>
      <c r="C340" s="33"/>
      <c r="D340" s="33"/>
      <c r="E340" s="27"/>
      <c r="F340" s="29"/>
      <c r="G340" s="34"/>
      <c r="H340" s="34"/>
      <c r="I340" s="34"/>
      <c r="J340" s="21"/>
      <c r="K340" s="22"/>
      <c r="L340" s="23"/>
      <c r="M340" s="24"/>
      <c r="N340" s="25"/>
      <c r="O340" s="26"/>
      <c r="P340" s="26"/>
      <c r="Q340" s="25"/>
      <c r="R340" s="25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</row>
    <row r="341">
      <c r="A341" s="31"/>
      <c r="B341" s="32"/>
      <c r="C341" s="33"/>
      <c r="D341" s="33"/>
      <c r="E341" s="27"/>
      <c r="F341" s="29"/>
      <c r="G341" s="34"/>
      <c r="H341" s="34"/>
      <c r="I341" s="34"/>
      <c r="J341" s="21"/>
      <c r="K341" s="22"/>
      <c r="L341" s="23"/>
      <c r="M341" s="24"/>
      <c r="N341" s="25"/>
      <c r="O341" s="26"/>
      <c r="P341" s="26"/>
      <c r="Q341" s="25"/>
      <c r="R341" s="25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</row>
    <row r="342">
      <c r="A342" s="31"/>
      <c r="B342" s="32"/>
      <c r="C342" s="33"/>
      <c r="D342" s="33"/>
      <c r="E342" s="27"/>
      <c r="F342" s="29"/>
      <c r="G342" s="34"/>
      <c r="H342" s="34"/>
      <c r="I342" s="34"/>
      <c r="J342" s="21"/>
      <c r="K342" s="22"/>
      <c r="L342" s="23"/>
      <c r="M342" s="24"/>
      <c r="N342" s="25"/>
      <c r="O342" s="26"/>
      <c r="P342" s="26"/>
      <c r="Q342" s="25"/>
      <c r="R342" s="25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</row>
    <row r="343">
      <c r="A343" s="31"/>
      <c r="B343" s="32"/>
      <c r="C343" s="33"/>
      <c r="D343" s="33"/>
      <c r="E343" s="27"/>
      <c r="F343" s="29"/>
      <c r="G343" s="34"/>
      <c r="H343" s="34"/>
      <c r="I343" s="34"/>
      <c r="J343" s="21"/>
      <c r="K343" s="22"/>
      <c r="L343" s="23"/>
      <c r="M343" s="24"/>
      <c r="N343" s="25"/>
      <c r="O343" s="26"/>
      <c r="P343" s="26"/>
      <c r="Q343" s="25"/>
      <c r="R343" s="25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</row>
    <row r="344">
      <c r="A344" s="31"/>
      <c r="B344" s="32"/>
      <c r="C344" s="33"/>
      <c r="D344" s="33"/>
      <c r="E344" s="27"/>
      <c r="F344" s="29"/>
      <c r="G344" s="34"/>
      <c r="H344" s="34"/>
      <c r="I344" s="34"/>
      <c r="J344" s="21"/>
      <c r="K344" s="22"/>
      <c r="L344" s="23"/>
      <c r="M344" s="24"/>
      <c r="N344" s="25"/>
      <c r="O344" s="26"/>
      <c r="P344" s="26"/>
      <c r="Q344" s="25"/>
      <c r="R344" s="25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</row>
    <row r="345">
      <c r="A345" s="31"/>
      <c r="B345" s="32"/>
      <c r="C345" s="33"/>
      <c r="D345" s="33"/>
      <c r="E345" s="27"/>
      <c r="F345" s="29"/>
      <c r="G345" s="34"/>
      <c r="H345" s="34"/>
      <c r="I345" s="34"/>
      <c r="J345" s="21"/>
      <c r="K345" s="22"/>
      <c r="L345" s="23"/>
      <c r="M345" s="24"/>
      <c r="N345" s="25"/>
      <c r="O345" s="26"/>
      <c r="P345" s="26"/>
      <c r="Q345" s="25"/>
      <c r="R345" s="25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</row>
    <row r="346">
      <c r="A346" s="31"/>
      <c r="B346" s="32"/>
      <c r="C346" s="33"/>
      <c r="D346" s="33"/>
      <c r="E346" s="27"/>
      <c r="F346" s="29"/>
      <c r="G346" s="34"/>
      <c r="H346" s="34"/>
      <c r="I346" s="34"/>
      <c r="J346" s="21"/>
      <c r="K346" s="22"/>
      <c r="L346" s="23"/>
      <c r="M346" s="24"/>
      <c r="N346" s="25"/>
      <c r="O346" s="26"/>
      <c r="P346" s="26"/>
      <c r="Q346" s="25"/>
      <c r="R346" s="25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</row>
    <row r="347">
      <c r="A347" s="31"/>
      <c r="B347" s="32"/>
      <c r="C347" s="33"/>
      <c r="D347" s="33"/>
      <c r="E347" s="27"/>
      <c r="F347" s="29"/>
      <c r="G347" s="34"/>
      <c r="H347" s="34"/>
      <c r="I347" s="34"/>
      <c r="J347" s="21"/>
      <c r="K347" s="22"/>
      <c r="L347" s="23"/>
      <c r="M347" s="24"/>
      <c r="N347" s="25"/>
      <c r="O347" s="26"/>
      <c r="P347" s="26"/>
      <c r="Q347" s="25"/>
      <c r="R347" s="25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>
      <c r="A348" s="31"/>
      <c r="B348" s="32"/>
      <c r="C348" s="33"/>
      <c r="D348" s="33"/>
      <c r="E348" s="27"/>
      <c r="F348" s="29"/>
      <c r="G348" s="34"/>
      <c r="H348" s="34"/>
      <c r="I348" s="34"/>
      <c r="J348" s="21"/>
      <c r="K348" s="22"/>
      <c r="L348" s="23"/>
      <c r="M348" s="24"/>
      <c r="N348" s="25"/>
      <c r="O348" s="26"/>
      <c r="P348" s="26"/>
      <c r="Q348" s="25"/>
      <c r="R348" s="25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>
      <c r="A349" s="31"/>
      <c r="B349" s="32"/>
      <c r="C349" s="33"/>
      <c r="D349" s="33"/>
      <c r="E349" s="27"/>
      <c r="F349" s="29"/>
      <c r="G349" s="34"/>
      <c r="H349" s="34"/>
      <c r="I349" s="34"/>
      <c r="J349" s="21"/>
      <c r="K349" s="22"/>
      <c r="L349" s="23"/>
      <c r="M349" s="24"/>
      <c r="N349" s="25"/>
      <c r="O349" s="26"/>
      <c r="P349" s="26"/>
      <c r="Q349" s="25"/>
      <c r="R349" s="25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</row>
    <row r="350">
      <c r="A350" s="31"/>
      <c r="B350" s="32"/>
      <c r="C350" s="33"/>
      <c r="D350" s="33"/>
      <c r="E350" s="27"/>
      <c r="F350" s="29"/>
      <c r="G350" s="34"/>
      <c r="H350" s="34"/>
      <c r="I350" s="34"/>
      <c r="J350" s="21"/>
      <c r="K350" s="22"/>
      <c r="L350" s="23"/>
      <c r="M350" s="24"/>
      <c r="N350" s="25"/>
      <c r="O350" s="26"/>
      <c r="P350" s="26"/>
      <c r="Q350" s="25"/>
      <c r="R350" s="25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</row>
    <row r="351">
      <c r="A351" s="31"/>
      <c r="B351" s="32"/>
      <c r="C351" s="33"/>
      <c r="D351" s="33"/>
      <c r="E351" s="27"/>
      <c r="F351" s="29"/>
      <c r="G351" s="34"/>
      <c r="H351" s="34"/>
      <c r="I351" s="34"/>
      <c r="J351" s="21"/>
      <c r="K351" s="22"/>
      <c r="L351" s="23"/>
      <c r="M351" s="24"/>
      <c r="N351" s="25"/>
      <c r="O351" s="26"/>
      <c r="P351" s="26"/>
      <c r="Q351" s="25"/>
      <c r="R351" s="25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</row>
    <row r="352">
      <c r="A352" s="31"/>
      <c r="B352" s="32"/>
      <c r="C352" s="33"/>
      <c r="D352" s="33"/>
      <c r="E352" s="27"/>
      <c r="F352" s="29"/>
      <c r="G352" s="34"/>
      <c r="H352" s="34"/>
      <c r="I352" s="34"/>
      <c r="J352" s="21"/>
      <c r="K352" s="22"/>
      <c r="L352" s="23"/>
      <c r="M352" s="24"/>
      <c r="N352" s="25"/>
      <c r="O352" s="26"/>
      <c r="P352" s="26"/>
      <c r="Q352" s="25"/>
      <c r="R352" s="25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</row>
    <row r="353">
      <c r="A353" s="31"/>
      <c r="B353" s="32"/>
      <c r="C353" s="33"/>
      <c r="D353" s="33"/>
      <c r="E353" s="27"/>
      <c r="F353" s="29"/>
      <c r="G353" s="34"/>
      <c r="H353" s="34"/>
      <c r="I353" s="34"/>
      <c r="J353" s="21"/>
      <c r="K353" s="22"/>
      <c r="L353" s="23"/>
      <c r="M353" s="24"/>
      <c r="N353" s="25"/>
      <c r="O353" s="26"/>
      <c r="P353" s="26"/>
      <c r="Q353" s="25"/>
      <c r="R353" s="25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</row>
    <row r="354">
      <c r="A354" s="31"/>
      <c r="B354" s="32"/>
      <c r="C354" s="33"/>
      <c r="D354" s="33"/>
      <c r="E354" s="27"/>
      <c r="F354" s="29"/>
      <c r="G354" s="34"/>
      <c r="H354" s="34"/>
      <c r="I354" s="34"/>
      <c r="J354" s="21"/>
      <c r="K354" s="22"/>
      <c r="L354" s="23"/>
      <c r="M354" s="24"/>
      <c r="N354" s="25"/>
      <c r="O354" s="26"/>
      <c r="P354" s="26"/>
      <c r="Q354" s="25"/>
      <c r="R354" s="25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</row>
    <row r="355">
      <c r="A355" s="31"/>
      <c r="B355" s="32"/>
      <c r="C355" s="33"/>
      <c r="D355" s="33"/>
      <c r="E355" s="27"/>
      <c r="F355" s="29"/>
      <c r="G355" s="34"/>
      <c r="H355" s="34"/>
      <c r="I355" s="34"/>
      <c r="J355" s="21"/>
      <c r="K355" s="22"/>
      <c r="L355" s="23"/>
      <c r="M355" s="24"/>
      <c r="N355" s="25"/>
      <c r="O355" s="26"/>
      <c r="P355" s="26"/>
      <c r="Q355" s="25"/>
      <c r="R355" s="25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</row>
    <row r="356">
      <c r="A356" s="31"/>
      <c r="B356" s="32"/>
      <c r="C356" s="33"/>
      <c r="D356" s="33"/>
      <c r="E356" s="27"/>
      <c r="F356" s="29"/>
      <c r="G356" s="34"/>
      <c r="H356" s="34"/>
      <c r="I356" s="34"/>
      <c r="J356" s="21"/>
      <c r="K356" s="22"/>
      <c r="L356" s="23"/>
      <c r="M356" s="24"/>
      <c r="N356" s="25"/>
      <c r="O356" s="26"/>
      <c r="P356" s="26"/>
      <c r="Q356" s="25"/>
      <c r="R356" s="25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</row>
    <row r="357">
      <c r="A357" s="31"/>
      <c r="B357" s="32"/>
      <c r="C357" s="33"/>
      <c r="D357" s="33"/>
      <c r="E357" s="27"/>
      <c r="F357" s="29"/>
      <c r="G357" s="34"/>
      <c r="H357" s="34"/>
      <c r="I357" s="34"/>
      <c r="J357" s="21"/>
      <c r="K357" s="22"/>
      <c r="L357" s="23"/>
      <c r="M357" s="24"/>
      <c r="N357" s="25"/>
      <c r="O357" s="26"/>
      <c r="P357" s="26"/>
      <c r="Q357" s="25"/>
      <c r="R357" s="25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</row>
    <row r="358">
      <c r="A358" s="31"/>
      <c r="B358" s="32"/>
      <c r="C358" s="33"/>
      <c r="D358" s="33"/>
      <c r="E358" s="27"/>
      <c r="F358" s="29"/>
      <c r="G358" s="34"/>
      <c r="H358" s="34"/>
      <c r="I358" s="34"/>
      <c r="J358" s="21"/>
      <c r="K358" s="22"/>
      <c r="L358" s="23"/>
      <c r="M358" s="24"/>
      <c r="N358" s="25"/>
      <c r="O358" s="26"/>
      <c r="P358" s="26"/>
      <c r="Q358" s="25"/>
      <c r="R358" s="25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</row>
    <row r="359">
      <c r="A359" s="31"/>
      <c r="B359" s="32"/>
      <c r="C359" s="33"/>
      <c r="D359" s="33"/>
      <c r="E359" s="27"/>
      <c r="F359" s="29"/>
      <c r="G359" s="34"/>
      <c r="H359" s="34"/>
      <c r="I359" s="34"/>
      <c r="J359" s="21"/>
      <c r="K359" s="22"/>
      <c r="L359" s="23"/>
      <c r="M359" s="24"/>
      <c r="N359" s="25"/>
      <c r="O359" s="26"/>
      <c r="P359" s="26"/>
      <c r="Q359" s="25"/>
      <c r="R359" s="25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</row>
    <row r="360">
      <c r="A360" s="31"/>
      <c r="B360" s="32"/>
      <c r="C360" s="33"/>
      <c r="D360" s="33"/>
      <c r="E360" s="27"/>
      <c r="F360" s="29"/>
      <c r="G360" s="34"/>
      <c r="H360" s="34"/>
      <c r="I360" s="34"/>
      <c r="J360" s="21"/>
      <c r="K360" s="22"/>
      <c r="L360" s="23"/>
      <c r="M360" s="24"/>
      <c r="N360" s="25"/>
      <c r="O360" s="26"/>
      <c r="P360" s="26"/>
      <c r="Q360" s="25"/>
      <c r="R360" s="25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</row>
    <row r="361">
      <c r="A361" s="31"/>
      <c r="B361" s="32"/>
      <c r="C361" s="33"/>
      <c r="D361" s="33"/>
      <c r="E361" s="27"/>
      <c r="F361" s="29"/>
      <c r="G361" s="34"/>
      <c r="H361" s="34"/>
      <c r="I361" s="34"/>
      <c r="J361" s="21"/>
      <c r="K361" s="22"/>
      <c r="L361" s="23"/>
      <c r="M361" s="24"/>
      <c r="N361" s="25"/>
      <c r="O361" s="26"/>
      <c r="P361" s="26"/>
      <c r="Q361" s="25"/>
      <c r="R361" s="25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</row>
    <row r="362">
      <c r="A362" s="31"/>
      <c r="B362" s="32"/>
      <c r="C362" s="33"/>
      <c r="D362" s="33"/>
      <c r="E362" s="27"/>
      <c r="F362" s="29"/>
      <c r="G362" s="34"/>
      <c r="H362" s="34"/>
      <c r="I362" s="34"/>
      <c r="J362" s="21"/>
      <c r="K362" s="22"/>
      <c r="L362" s="23"/>
      <c r="M362" s="24"/>
      <c r="N362" s="25"/>
      <c r="O362" s="26"/>
      <c r="P362" s="26"/>
      <c r="Q362" s="25"/>
      <c r="R362" s="25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</row>
    <row r="363">
      <c r="A363" s="31"/>
      <c r="B363" s="32"/>
      <c r="C363" s="33"/>
      <c r="D363" s="33"/>
      <c r="E363" s="27"/>
      <c r="F363" s="29"/>
      <c r="G363" s="34"/>
      <c r="H363" s="34"/>
      <c r="I363" s="34"/>
      <c r="J363" s="21"/>
      <c r="K363" s="22"/>
      <c r="L363" s="23"/>
      <c r="M363" s="24"/>
      <c r="N363" s="25"/>
      <c r="O363" s="26"/>
      <c r="P363" s="26"/>
      <c r="Q363" s="25"/>
      <c r="R363" s="25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</row>
    <row r="364">
      <c r="A364" s="31"/>
      <c r="B364" s="32"/>
      <c r="C364" s="33"/>
      <c r="D364" s="33"/>
      <c r="E364" s="27"/>
      <c r="F364" s="29"/>
      <c r="G364" s="34"/>
      <c r="H364" s="34"/>
      <c r="I364" s="34"/>
      <c r="J364" s="21"/>
      <c r="K364" s="22"/>
      <c r="L364" s="23"/>
      <c r="M364" s="24"/>
      <c r="N364" s="25"/>
      <c r="O364" s="26"/>
      <c r="P364" s="26"/>
      <c r="Q364" s="25"/>
      <c r="R364" s="25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</row>
    <row r="365">
      <c r="A365" s="31"/>
      <c r="B365" s="32"/>
      <c r="C365" s="33"/>
      <c r="D365" s="33"/>
      <c r="E365" s="27"/>
      <c r="F365" s="29"/>
      <c r="G365" s="34"/>
      <c r="H365" s="34"/>
      <c r="I365" s="34"/>
      <c r="J365" s="21"/>
      <c r="K365" s="22"/>
      <c r="L365" s="23"/>
      <c r="M365" s="24"/>
      <c r="N365" s="25"/>
      <c r="O365" s="26"/>
      <c r="P365" s="26"/>
      <c r="Q365" s="25"/>
      <c r="R365" s="25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</row>
    <row r="366">
      <c r="A366" s="31"/>
      <c r="B366" s="32"/>
      <c r="C366" s="33"/>
      <c r="D366" s="33"/>
      <c r="E366" s="27"/>
      <c r="F366" s="29"/>
      <c r="G366" s="34"/>
      <c r="H366" s="34"/>
      <c r="I366" s="34"/>
      <c r="J366" s="21"/>
      <c r="K366" s="22"/>
      <c r="L366" s="23"/>
      <c r="M366" s="24"/>
      <c r="N366" s="25"/>
      <c r="O366" s="26"/>
      <c r="P366" s="26"/>
      <c r="Q366" s="25"/>
      <c r="R366" s="25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</row>
    <row r="367">
      <c r="A367" s="31"/>
      <c r="B367" s="32"/>
      <c r="C367" s="33"/>
      <c r="D367" s="33"/>
      <c r="E367" s="27"/>
      <c r="F367" s="29"/>
      <c r="G367" s="34"/>
      <c r="H367" s="34"/>
      <c r="I367" s="34"/>
      <c r="J367" s="21"/>
      <c r="K367" s="22"/>
      <c r="L367" s="23"/>
      <c r="M367" s="24"/>
      <c r="N367" s="25"/>
      <c r="O367" s="26"/>
      <c r="P367" s="26"/>
      <c r="Q367" s="25"/>
      <c r="R367" s="25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</row>
    <row r="368">
      <c r="A368" s="31"/>
      <c r="B368" s="32"/>
      <c r="C368" s="33"/>
      <c r="D368" s="33"/>
      <c r="E368" s="27"/>
      <c r="F368" s="29"/>
      <c r="G368" s="34"/>
      <c r="H368" s="34"/>
      <c r="I368" s="34"/>
      <c r="J368" s="21"/>
      <c r="K368" s="22"/>
      <c r="L368" s="23"/>
      <c r="M368" s="24"/>
      <c r="N368" s="25"/>
      <c r="O368" s="26"/>
      <c r="P368" s="26"/>
      <c r="Q368" s="25"/>
      <c r="R368" s="25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</row>
    <row r="369">
      <c r="A369" s="31"/>
      <c r="B369" s="32"/>
      <c r="C369" s="33"/>
      <c r="D369" s="33"/>
      <c r="E369" s="27"/>
      <c r="F369" s="29"/>
      <c r="G369" s="34"/>
      <c r="H369" s="34"/>
      <c r="I369" s="34"/>
      <c r="J369" s="21"/>
      <c r="K369" s="22"/>
      <c r="L369" s="23"/>
      <c r="M369" s="24"/>
      <c r="N369" s="25"/>
      <c r="O369" s="26"/>
      <c r="P369" s="26"/>
      <c r="Q369" s="25"/>
      <c r="R369" s="25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</row>
    <row r="370">
      <c r="A370" s="31"/>
      <c r="B370" s="32"/>
      <c r="C370" s="33"/>
      <c r="D370" s="33"/>
      <c r="E370" s="27"/>
      <c r="F370" s="29"/>
      <c r="G370" s="34"/>
      <c r="H370" s="34"/>
      <c r="I370" s="34"/>
      <c r="J370" s="21"/>
      <c r="K370" s="22"/>
      <c r="L370" s="23"/>
      <c r="M370" s="24"/>
      <c r="N370" s="25"/>
      <c r="O370" s="26"/>
      <c r="P370" s="26"/>
      <c r="Q370" s="25"/>
      <c r="R370" s="25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</row>
    <row r="371">
      <c r="A371" s="31"/>
      <c r="B371" s="32"/>
      <c r="C371" s="33"/>
      <c r="D371" s="33"/>
      <c r="E371" s="27"/>
      <c r="F371" s="29"/>
      <c r="G371" s="34"/>
      <c r="H371" s="34"/>
      <c r="I371" s="34"/>
      <c r="J371" s="21"/>
      <c r="K371" s="22"/>
      <c r="L371" s="23"/>
      <c r="M371" s="24"/>
      <c r="N371" s="25"/>
      <c r="O371" s="26"/>
      <c r="P371" s="26"/>
      <c r="Q371" s="25"/>
      <c r="R371" s="25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</row>
    <row r="372">
      <c r="A372" s="31"/>
      <c r="B372" s="32"/>
      <c r="C372" s="33"/>
      <c r="D372" s="33"/>
      <c r="E372" s="27"/>
      <c r="F372" s="29"/>
      <c r="G372" s="34"/>
      <c r="H372" s="34"/>
      <c r="I372" s="34"/>
      <c r="J372" s="21"/>
      <c r="K372" s="22"/>
      <c r="L372" s="23"/>
      <c r="M372" s="24"/>
      <c r="N372" s="25"/>
      <c r="O372" s="26"/>
      <c r="P372" s="26"/>
      <c r="Q372" s="25"/>
      <c r="R372" s="25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</row>
    <row r="373">
      <c r="A373" s="31"/>
      <c r="B373" s="32"/>
      <c r="C373" s="33"/>
      <c r="D373" s="33"/>
      <c r="E373" s="27"/>
      <c r="F373" s="29"/>
      <c r="G373" s="34"/>
      <c r="H373" s="34"/>
      <c r="I373" s="34"/>
      <c r="J373" s="21"/>
      <c r="K373" s="22"/>
      <c r="L373" s="23"/>
      <c r="M373" s="24"/>
      <c r="N373" s="25"/>
      <c r="O373" s="26"/>
      <c r="P373" s="26"/>
      <c r="Q373" s="25"/>
      <c r="R373" s="25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>
      <c r="A374" s="31"/>
      <c r="B374" s="32"/>
      <c r="C374" s="33"/>
      <c r="D374" s="33"/>
      <c r="E374" s="27"/>
      <c r="F374" s="29"/>
      <c r="G374" s="34"/>
      <c r="H374" s="34"/>
      <c r="I374" s="34"/>
      <c r="J374" s="21"/>
      <c r="K374" s="22"/>
      <c r="L374" s="23"/>
      <c r="M374" s="24"/>
      <c r="N374" s="25"/>
      <c r="O374" s="26"/>
      <c r="P374" s="26"/>
      <c r="Q374" s="25"/>
      <c r="R374" s="25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>
      <c r="A375" s="31"/>
      <c r="B375" s="32"/>
      <c r="C375" s="33"/>
      <c r="D375" s="33"/>
      <c r="E375" s="27"/>
      <c r="F375" s="29"/>
      <c r="G375" s="34"/>
      <c r="H375" s="34"/>
      <c r="I375" s="34"/>
      <c r="J375" s="21"/>
      <c r="K375" s="22"/>
      <c r="L375" s="23"/>
      <c r="M375" s="24"/>
      <c r="N375" s="25"/>
      <c r="O375" s="26"/>
      <c r="P375" s="26"/>
      <c r="Q375" s="25"/>
      <c r="R375" s="25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>
      <c r="A376" s="31"/>
      <c r="B376" s="32"/>
      <c r="C376" s="33"/>
      <c r="D376" s="33"/>
      <c r="E376" s="27"/>
      <c r="F376" s="29"/>
      <c r="G376" s="34"/>
      <c r="H376" s="34"/>
      <c r="I376" s="34"/>
      <c r="J376" s="21"/>
      <c r="K376" s="22"/>
      <c r="L376" s="23"/>
      <c r="M376" s="24"/>
      <c r="N376" s="25"/>
      <c r="O376" s="26"/>
      <c r="P376" s="26"/>
      <c r="Q376" s="25"/>
      <c r="R376" s="25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>
      <c r="A377" s="31"/>
      <c r="B377" s="32"/>
      <c r="C377" s="33"/>
      <c r="D377" s="33"/>
      <c r="E377" s="27"/>
      <c r="F377" s="29"/>
      <c r="G377" s="34"/>
      <c r="H377" s="34"/>
      <c r="I377" s="34"/>
      <c r="J377" s="21"/>
      <c r="K377" s="22"/>
      <c r="L377" s="23"/>
      <c r="M377" s="24"/>
      <c r="N377" s="25"/>
      <c r="O377" s="26"/>
      <c r="P377" s="26"/>
      <c r="Q377" s="25"/>
      <c r="R377" s="25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>
      <c r="A378" s="31"/>
      <c r="B378" s="32"/>
      <c r="C378" s="33"/>
      <c r="D378" s="33"/>
      <c r="E378" s="27"/>
      <c r="F378" s="29"/>
      <c r="G378" s="34"/>
      <c r="H378" s="34"/>
      <c r="I378" s="34"/>
      <c r="J378" s="21"/>
      <c r="K378" s="22"/>
      <c r="L378" s="23"/>
      <c r="M378" s="24"/>
      <c r="N378" s="25"/>
      <c r="O378" s="26"/>
      <c r="P378" s="26"/>
      <c r="Q378" s="25"/>
      <c r="R378" s="25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>
      <c r="A379" s="31"/>
      <c r="B379" s="32"/>
      <c r="C379" s="33"/>
      <c r="D379" s="33"/>
      <c r="E379" s="27"/>
      <c r="F379" s="29"/>
      <c r="G379" s="34"/>
      <c r="H379" s="34"/>
      <c r="I379" s="34"/>
      <c r="J379" s="21"/>
      <c r="K379" s="22"/>
      <c r="L379" s="23"/>
      <c r="M379" s="24"/>
      <c r="N379" s="25"/>
      <c r="O379" s="26"/>
      <c r="P379" s="26"/>
      <c r="Q379" s="25"/>
      <c r="R379" s="25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>
      <c r="A380" s="31"/>
      <c r="B380" s="32"/>
      <c r="C380" s="33"/>
      <c r="D380" s="33"/>
      <c r="E380" s="27"/>
      <c r="F380" s="29"/>
      <c r="G380" s="34"/>
      <c r="H380" s="34"/>
      <c r="I380" s="34"/>
      <c r="J380" s="21"/>
      <c r="K380" s="22"/>
      <c r="L380" s="23"/>
      <c r="M380" s="24"/>
      <c r="N380" s="25"/>
      <c r="O380" s="26"/>
      <c r="P380" s="26"/>
      <c r="Q380" s="25"/>
      <c r="R380" s="25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>
      <c r="A381" s="31"/>
      <c r="B381" s="32"/>
      <c r="C381" s="33"/>
      <c r="D381" s="33"/>
      <c r="E381" s="27"/>
      <c r="F381" s="29"/>
      <c r="G381" s="34"/>
      <c r="H381" s="34"/>
      <c r="I381" s="34"/>
      <c r="J381" s="21"/>
      <c r="K381" s="22"/>
      <c r="L381" s="23"/>
      <c r="M381" s="24"/>
      <c r="N381" s="25"/>
      <c r="O381" s="26"/>
      <c r="P381" s="26"/>
      <c r="Q381" s="25"/>
      <c r="R381" s="25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>
      <c r="A382" s="31"/>
      <c r="B382" s="32"/>
      <c r="C382" s="33"/>
      <c r="D382" s="33"/>
      <c r="E382" s="27"/>
      <c r="F382" s="29"/>
      <c r="G382" s="34"/>
      <c r="H382" s="34"/>
      <c r="I382" s="34"/>
      <c r="J382" s="21"/>
      <c r="K382" s="22"/>
      <c r="L382" s="23"/>
      <c r="M382" s="24"/>
      <c r="N382" s="25"/>
      <c r="O382" s="26"/>
      <c r="P382" s="26"/>
      <c r="Q382" s="25"/>
      <c r="R382" s="25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>
      <c r="A383" s="31"/>
      <c r="B383" s="32"/>
      <c r="C383" s="33"/>
      <c r="D383" s="33"/>
      <c r="E383" s="27"/>
      <c r="F383" s="29"/>
      <c r="G383" s="34"/>
      <c r="H383" s="34"/>
      <c r="I383" s="34"/>
      <c r="J383" s="21"/>
      <c r="K383" s="22"/>
      <c r="L383" s="23"/>
      <c r="M383" s="24"/>
      <c r="N383" s="25"/>
      <c r="O383" s="26"/>
      <c r="P383" s="26"/>
      <c r="Q383" s="25"/>
      <c r="R383" s="25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>
      <c r="A384" s="31"/>
      <c r="B384" s="32"/>
      <c r="C384" s="33"/>
      <c r="D384" s="33"/>
      <c r="E384" s="27"/>
      <c r="F384" s="29"/>
      <c r="G384" s="34"/>
      <c r="H384" s="34"/>
      <c r="I384" s="34"/>
      <c r="J384" s="21"/>
      <c r="K384" s="22"/>
      <c r="L384" s="23"/>
      <c r="M384" s="24"/>
      <c r="N384" s="25"/>
      <c r="O384" s="26"/>
      <c r="P384" s="26"/>
      <c r="Q384" s="25"/>
      <c r="R384" s="25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>
      <c r="A385" s="31"/>
      <c r="B385" s="32"/>
      <c r="C385" s="33"/>
      <c r="D385" s="33"/>
      <c r="E385" s="27"/>
      <c r="F385" s="29"/>
      <c r="G385" s="34"/>
      <c r="H385" s="34"/>
      <c r="I385" s="34"/>
      <c r="J385" s="21"/>
      <c r="K385" s="22"/>
      <c r="L385" s="23"/>
      <c r="M385" s="24"/>
      <c r="N385" s="25"/>
      <c r="O385" s="26"/>
      <c r="P385" s="26"/>
      <c r="Q385" s="25"/>
      <c r="R385" s="25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>
      <c r="A386" s="31"/>
      <c r="B386" s="32"/>
      <c r="C386" s="33"/>
      <c r="D386" s="33"/>
      <c r="E386" s="27"/>
      <c r="F386" s="29"/>
      <c r="G386" s="34"/>
      <c r="H386" s="34"/>
      <c r="I386" s="34"/>
      <c r="J386" s="21"/>
      <c r="K386" s="22"/>
      <c r="L386" s="23"/>
      <c r="M386" s="24"/>
      <c r="N386" s="25"/>
      <c r="O386" s="26"/>
      <c r="P386" s="26"/>
      <c r="Q386" s="25"/>
      <c r="R386" s="25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>
      <c r="A387" s="31"/>
      <c r="B387" s="32"/>
      <c r="C387" s="33"/>
      <c r="D387" s="33"/>
      <c r="E387" s="27"/>
      <c r="F387" s="29"/>
      <c r="G387" s="34"/>
      <c r="H387" s="34"/>
      <c r="I387" s="34"/>
      <c r="J387" s="21"/>
      <c r="K387" s="22"/>
      <c r="L387" s="23"/>
      <c r="M387" s="24"/>
      <c r="N387" s="25"/>
      <c r="O387" s="26"/>
      <c r="P387" s="26"/>
      <c r="Q387" s="25"/>
      <c r="R387" s="25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>
      <c r="A388" s="31"/>
      <c r="B388" s="32"/>
      <c r="C388" s="33"/>
      <c r="D388" s="33"/>
      <c r="E388" s="27"/>
      <c r="F388" s="29"/>
      <c r="G388" s="34"/>
      <c r="H388" s="34"/>
      <c r="I388" s="34"/>
      <c r="J388" s="21"/>
      <c r="K388" s="22"/>
      <c r="L388" s="23"/>
      <c r="M388" s="24"/>
      <c r="N388" s="25"/>
      <c r="O388" s="26"/>
      <c r="P388" s="26"/>
      <c r="Q388" s="25"/>
      <c r="R388" s="25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>
      <c r="A389" s="31"/>
      <c r="B389" s="32"/>
      <c r="C389" s="33"/>
      <c r="D389" s="33"/>
      <c r="E389" s="27"/>
      <c r="F389" s="29"/>
      <c r="G389" s="34"/>
      <c r="H389" s="34"/>
      <c r="I389" s="34"/>
      <c r="J389" s="21"/>
      <c r="K389" s="22"/>
      <c r="L389" s="23"/>
      <c r="M389" s="24"/>
      <c r="N389" s="25"/>
      <c r="O389" s="26"/>
      <c r="P389" s="26"/>
      <c r="Q389" s="25"/>
      <c r="R389" s="25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>
      <c r="A390" s="31"/>
      <c r="B390" s="32"/>
      <c r="C390" s="33"/>
      <c r="D390" s="33"/>
      <c r="E390" s="27"/>
      <c r="F390" s="29"/>
      <c r="G390" s="34"/>
      <c r="H390" s="34"/>
      <c r="I390" s="34"/>
      <c r="J390" s="21"/>
      <c r="K390" s="22"/>
      <c r="L390" s="23"/>
      <c r="M390" s="24"/>
      <c r="N390" s="25"/>
      <c r="O390" s="26"/>
      <c r="P390" s="26"/>
      <c r="Q390" s="25"/>
      <c r="R390" s="25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>
      <c r="A391" s="31"/>
      <c r="B391" s="32"/>
      <c r="C391" s="33"/>
      <c r="D391" s="33"/>
      <c r="E391" s="27"/>
      <c r="F391" s="29"/>
      <c r="G391" s="34"/>
      <c r="H391" s="34"/>
      <c r="I391" s="34"/>
      <c r="J391" s="21"/>
      <c r="K391" s="22"/>
      <c r="L391" s="23"/>
      <c r="M391" s="24"/>
      <c r="N391" s="25"/>
      <c r="O391" s="26"/>
      <c r="P391" s="26"/>
      <c r="Q391" s="25"/>
      <c r="R391" s="25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>
      <c r="A392" s="31"/>
      <c r="B392" s="32"/>
      <c r="C392" s="33"/>
      <c r="D392" s="33"/>
      <c r="E392" s="27"/>
      <c r="F392" s="29"/>
      <c r="G392" s="34"/>
      <c r="H392" s="34"/>
      <c r="I392" s="34"/>
      <c r="J392" s="21"/>
      <c r="K392" s="22"/>
      <c r="L392" s="23"/>
      <c r="M392" s="24"/>
      <c r="N392" s="25"/>
      <c r="O392" s="26"/>
      <c r="P392" s="26"/>
      <c r="Q392" s="25"/>
      <c r="R392" s="25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>
      <c r="A393" s="31"/>
      <c r="B393" s="32"/>
      <c r="C393" s="33"/>
      <c r="D393" s="33"/>
      <c r="E393" s="27"/>
      <c r="F393" s="29"/>
      <c r="G393" s="34"/>
      <c r="H393" s="34"/>
      <c r="I393" s="34"/>
      <c r="J393" s="21"/>
      <c r="K393" s="22"/>
      <c r="L393" s="23"/>
      <c r="M393" s="24"/>
      <c r="N393" s="25"/>
      <c r="O393" s="26"/>
      <c r="P393" s="26"/>
      <c r="Q393" s="25"/>
      <c r="R393" s="25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>
      <c r="A394" s="31"/>
      <c r="B394" s="32"/>
      <c r="C394" s="33"/>
      <c r="D394" s="33"/>
      <c r="E394" s="27"/>
      <c r="F394" s="29"/>
      <c r="G394" s="34"/>
      <c r="H394" s="34"/>
      <c r="I394" s="34"/>
      <c r="J394" s="21"/>
      <c r="K394" s="22"/>
      <c r="L394" s="23"/>
      <c r="M394" s="24"/>
      <c r="N394" s="25"/>
      <c r="O394" s="26"/>
      <c r="P394" s="26"/>
      <c r="Q394" s="25"/>
      <c r="R394" s="25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>
      <c r="A395" s="31"/>
      <c r="B395" s="32"/>
      <c r="C395" s="33"/>
      <c r="D395" s="33"/>
      <c r="E395" s="27"/>
      <c r="F395" s="29"/>
      <c r="G395" s="34"/>
      <c r="H395" s="34"/>
      <c r="I395" s="34"/>
      <c r="J395" s="21"/>
      <c r="K395" s="22"/>
      <c r="L395" s="23"/>
      <c r="M395" s="24"/>
      <c r="N395" s="25"/>
      <c r="O395" s="26"/>
      <c r="P395" s="26"/>
      <c r="Q395" s="25"/>
      <c r="R395" s="25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>
      <c r="A396" s="31"/>
      <c r="B396" s="32"/>
      <c r="C396" s="33"/>
      <c r="D396" s="33"/>
      <c r="E396" s="27"/>
      <c r="F396" s="29"/>
      <c r="G396" s="34"/>
      <c r="H396" s="34"/>
      <c r="I396" s="34"/>
      <c r="J396" s="21"/>
      <c r="K396" s="22"/>
      <c r="L396" s="23"/>
      <c r="M396" s="24"/>
      <c r="N396" s="25"/>
      <c r="O396" s="26"/>
      <c r="P396" s="26"/>
      <c r="Q396" s="25"/>
      <c r="R396" s="25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>
      <c r="A397" s="31"/>
      <c r="B397" s="32"/>
      <c r="C397" s="33"/>
      <c r="D397" s="33"/>
      <c r="E397" s="27"/>
      <c r="F397" s="29"/>
      <c r="G397" s="34"/>
      <c r="H397" s="34"/>
      <c r="I397" s="34"/>
      <c r="J397" s="21"/>
      <c r="K397" s="22"/>
      <c r="L397" s="23"/>
      <c r="M397" s="24"/>
      <c r="N397" s="25"/>
      <c r="O397" s="26"/>
      <c r="P397" s="26"/>
      <c r="Q397" s="25"/>
      <c r="R397" s="25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>
      <c r="A398" s="31"/>
      <c r="B398" s="32"/>
      <c r="C398" s="33"/>
      <c r="D398" s="33"/>
      <c r="E398" s="27"/>
      <c r="F398" s="29"/>
      <c r="G398" s="34"/>
      <c r="H398" s="34"/>
      <c r="I398" s="34"/>
      <c r="J398" s="21"/>
      <c r="K398" s="22"/>
      <c r="L398" s="23"/>
      <c r="M398" s="24"/>
      <c r="N398" s="25"/>
      <c r="O398" s="26"/>
      <c r="P398" s="26"/>
      <c r="Q398" s="25"/>
      <c r="R398" s="25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>
      <c r="A399" s="31"/>
      <c r="B399" s="32"/>
      <c r="C399" s="33"/>
      <c r="D399" s="33"/>
      <c r="E399" s="27"/>
      <c r="F399" s="29"/>
      <c r="G399" s="34"/>
      <c r="H399" s="34"/>
      <c r="I399" s="34"/>
      <c r="J399" s="21"/>
      <c r="K399" s="22"/>
      <c r="L399" s="23"/>
      <c r="M399" s="24"/>
      <c r="N399" s="25"/>
      <c r="O399" s="26"/>
      <c r="P399" s="26"/>
      <c r="Q399" s="25"/>
      <c r="R399" s="25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>
      <c r="A400" s="31"/>
      <c r="B400" s="32"/>
      <c r="C400" s="33"/>
      <c r="D400" s="33"/>
      <c r="E400" s="27"/>
      <c r="F400" s="29"/>
      <c r="G400" s="34"/>
      <c r="H400" s="34"/>
      <c r="I400" s="34"/>
      <c r="J400" s="21"/>
      <c r="K400" s="22"/>
      <c r="L400" s="23"/>
      <c r="M400" s="24"/>
      <c r="N400" s="25"/>
      <c r="O400" s="26"/>
      <c r="P400" s="26"/>
      <c r="Q400" s="25"/>
      <c r="R400" s="25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>
      <c r="A401" s="31"/>
      <c r="B401" s="32"/>
      <c r="C401" s="33"/>
      <c r="D401" s="33"/>
      <c r="E401" s="27"/>
      <c r="F401" s="29"/>
      <c r="G401" s="34"/>
      <c r="H401" s="34"/>
      <c r="I401" s="34"/>
      <c r="J401" s="21"/>
      <c r="K401" s="22"/>
      <c r="L401" s="23"/>
      <c r="M401" s="24"/>
      <c r="N401" s="25"/>
      <c r="O401" s="26"/>
      <c r="P401" s="26"/>
      <c r="Q401" s="25"/>
      <c r="R401" s="25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>
      <c r="A402" s="31"/>
      <c r="B402" s="32"/>
      <c r="C402" s="33"/>
      <c r="D402" s="33"/>
      <c r="E402" s="27"/>
      <c r="F402" s="29"/>
      <c r="G402" s="34"/>
      <c r="H402" s="34"/>
      <c r="I402" s="34"/>
      <c r="J402" s="21"/>
      <c r="K402" s="22"/>
      <c r="L402" s="23"/>
      <c r="M402" s="24"/>
      <c r="N402" s="25"/>
      <c r="O402" s="26"/>
      <c r="P402" s="26"/>
      <c r="Q402" s="25"/>
      <c r="R402" s="25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>
      <c r="A403" s="31"/>
      <c r="B403" s="32"/>
      <c r="C403" s="33"/>
      <c r="D403" s="33"/>
      <c r="E403" s="27"/>
      <c r="F403" s="29"/>
      <c r="G403" s="34"/>
      <c r="H403" s="34"/>
      <c r="I403" s="34"/>
      <c r="J403" s="21"/>
      <c r="K403" s="22"/>
      <c r="L403" s="23"/>
      <c r="M403" s="24"/>
      <c r="N403" s="25"/>
      <c r="O403" s="26"/>
      <c r="P403" s="26"/>
      <c r="Q403" s="25"/>
      <c r="R403" s="25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>
      <c r="A404" s="31"/>
      <c r="B404" s="32"/>
      <c r="C404" s="33"/>
      <c r="D404" s="33"/>
      <c r="E404" s="27"/>
      <c r="F404" s="29"/>
      <c r="G404" s="34"/>
      <c r="H404" s="34"/>
      <c r="I404" s="34"/>
      <c r="J404" s="21"/>
      <c r="K404" s="22"/>
      <c r="L404" s="23"/>
      <c r="M404" s="24"/>
      <c r="N404" s="25"/>
      <c r="O404" s="26"/>
      <c r="P404" s="26"/>
      <c r="Q404" s="25"/>
      <c r="R404" s="25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>
      <c r="A405" s="31"/>
      <c r="B405" s="32"/>
      <c r="C405" s="33"/>
      <c r="D405" s="33"/>
      <c r="E405" s="27"/>
      <c r="F405" s="29"/>
      <c r="G405" s="34"/>
      <c r="H405" s="34"/>
      <c r="I405" s="34"/>
      <c r="J405" s="21"/>
      <c r="K405" s="22"/>
      <c r="L405" s="23"/>
      <c r="M405" s="24"/>
      <c r="N405" s="25"/>
      <c r="O405" s="26"/>
      <c r="P405" s="26"/>
      <c r="Q405" s="25"/>
      <c r="R405" s="25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>
      <c r="A406" s="31"/>
      <c r="B406" s="32"/>
      <c r="C406" s="33"/>
      <c r="D406" s="33"/>
      <c r="E406" s="27"/>
      <c r="F406" s="29"/>
      <c r="G406" s="34"/>
      <c r="H406" s="34"/>
      <c r="I406" s="34"/>
      <c r="J406" s="21"/>
      <c r="K406" s="22"/>
      <c r="L406" s="23"/>
      <c r="M406" s="24"/>
      <c r="N406" s="25"/>
      <c r="O406" s="26"/>
      <c r="P406" s="26"/>
      <c r="Q406" s="25"/>
      <c r="R406" s="25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>
      <c r="A407" s="31"/>
      <c r="B407" s="32"/>
      <c r="C407" s="33"/>
      <c r="D407" s="33"/>
      <c r="E407" s="27"/>
      <c r="F407" s="29"/>
      <c r="G407" s="34"/>
      <c r="H407" s="34"/>
      <c r="I407" s="34"/>
      <c r="J407" s="21"/>
      <c r="K407" s="22"/>
      <c r="L407" s="23"/>
      <c r="M407" s="24"/>
      <c r="N407" s="25"/>
      <c r="O407" s="26"/>
      <c r="P407" s="26"/>
      <c r="Q407" s="25"/>
      <c r="R407" s="25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>
      <c r="A408" s="31"/>
      <c r="B408" s="32"/>
      <c r="C408" s="33"/>
      <c r="D408" s="33"/>
      <c r="E408" s="27"/>
      <c r="F408" s="29"/>
      <c r="G408" s="34"/>
      <c r="H408" s="34"/>
      <c r="I408" s="34"/>
      <c r="J408" s="21"/>
      <c r="K408" s="22"/>
      <c r="L408" s="23"/>
      <c r="M408" s="24"/>
      <c r="N408" s="25"/>
      <c r="O408" s="26"/>
      <c r="P408" s="26"/>
      <c r="Q408" s="25"/>
      <c r="R408" s="25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>
      <c r="A409" s="31"/>
      <c r="B409" s="32"/>
      <c r="C409" s="33"/>
      <c r="D409" s="33"/>
      <c r="E409" s="27"/>
      <c r="F409" s="29"/>
      <c r="G409" s="34"/>
      <c r="H409" s="34"/>
      <c r="I409" s="34"/>
      <c r="J409" s="21"/>
      <c r="K409" s="22"/>
      <c r="L409" s="23"/>
      <c r="M409" s="24"/>
      <c r="N409" s="25"/>
      <c r="O409" s="26"/>
      <c r="P409" s="26"/>
      <c r="Q409" s="25"/>
      <c r="R409" s="25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>
      <c r="A410" s="31"/>
      <c r="B410" s="32"/>
      <c r="C410" s="33"/>
      <c r="D410" s="33"/>
      <c r="E410" s="27"/>
      <c r="F410" s="29"/>
      <c r="G410" s="34"/>
      <c r="H410" s="34"/>
      <c r="I410" s="34"/>
      <c r="J410" s="21"/>
      <c r="K410" s="22"/>
      <c r="L410" s="23"/>
      <c r="M410" s="24"/>
      <c r="N410" s="25"/>
      <c r="O410" s="26"/>
      <c r="P410" s="26"/>
      <c r="Q410" s="25"/>
      <c r="R410" s="25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>
      <c r="A411" s="31"/>
      <c r="B411" s="32"/>
      <c r="C411" s="33"/>
      <c r="D411" s="33"/>
      <c r="E411" s="27"/>
      <c r="F411" s="29"/>
      <c r="G411" s="34"/>
      <c r="H411" s="34"/>
      <c r="I411" s="34"/>
      <c r="J411" s="21"/>
      <c r="K411" s="22"/>
      <c r="L411" s="23"/>
      <c r="M411" s="24"/>
      <c r="N411" s="25"/>
      <c r="O411" s="26"/>
      <c r="P411" s="26"/>
      <c r="Q411" s="25"/>
      <c r="R411" s="25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>
      <c r="A412" s="31"/>
      <c r="B412" s="32"/>
      <c r="C412" s="33"/>
      <c r="D412" s="33"/>
      <c r="E412" s="27"/>
      <c r="F412" s="29"/>
      <c r="G412" s="34"/>
      <c r="H412" s="34"/>
      <c r="I412" s="34"/>
      <c r="J412" s="21"/>
      <c r="K412" s="22"/>
      <c r="L412" s="23"/>
      <c r="M412" s="24"/>
      <c r="N412" s="25"/>
      <c r="O412" s="26"/>
      <c r="P412" s="26"/>
      <c r="Q412" s="25"/>
      <c r="R412" s="25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>
      <c r="A413" s="31"/>
      <c r="B413" s="32"/>
      <c r="C413" s="33"/>
      <c r="D413" s="33"/>
      <c r="E413" s="27"/>
      <c r="F413" s="29"/>
      <c r="G413" s="34"/>
      <c r="H413" s="34"/>
      <c r="I413" s="34"/>
      <c r="J413" s="21"/>
      <c r="K413" s="22"/>
      <c r="L413" s="23"/>
      <c r="M413" s="24"/>
      <c r="N413" s="25"/>
      <c r="O413" s="26"/>
      <c r="P413" s="26"/>
      <c r="Q413" s="25"/>
      <c r="R413" s="25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>
      <c r="A414" s="31"/>
      <c r="B414" s="32"/>
      <c r="C414" s="33"/>
      <c r="D414" s="33"/>
      <c r="E414" s="27"/>
      <c r="F414" s="29"/>
      <c r="G414" s="34"/>
      <c r="H414" s="34"/>
      <c r="I414" s="34"/>
      <c r="J414" s="21"/>
      <c r="K414" s="22"/>
      <c r="L414" s="23"/>
      <c r="M414" s="24"/>
      <c r="N414" s="25"/>
      <c r="O414" s="26"/>
      <c r="P414" s="26"/>
      <c r="Q414" s="25"/>
      <c r="R414" s="25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>
      <c r="A415" s="31"/>
      <c r="B415" s="32"/>
      <c r="C415" s="33"/>
      <c r="D415" s="33"/>
      <c r="E415" s="27"/>
      <c r="F415" s="29"/>
      <c r="G415" s="34"/>
      <c r="H415" s="34"/>
      <c r="I415" s="34"/>
      <c r="J415" s="21"/>
      <c r="K415" s="22"/>
      <c r="L415" s="23"/>
      <c r="M415" s="24"/>
      <c r="N415" s="25"/>
      <c r="O415" s="26"/>
      <c r="P415" s="26"/>
      <c r="Q415" s="25"/>
      <c r="R415" s="25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>
      <c r="A416" s="31"/>
      <c r="B416" s="32"/>
      <c r="C416" s="33"/>
      <c r="D416" s="33"/>
      <c r="E416" s="27"/>
      <c r="F416" s="29"/>
      <c r="G416" s="34"/>
      <c r="H416" s="34"/>
      <c r="I416" s="34"/>
      <c r="J416" s="21"/>
      <c r="K416" s="22"/>
      <c r="L416" s="23"/>
      <c r="M416" s="24"/>
      <c r="N416" s="25"/>
      <c r="O416" s="26"/>
      <c r="P416" s="26"/>
      <c r="Q416" s="25"/>
      <c r="R416" s="25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>
      <c r="A417" s="31"/>
      <c r="B417" s="32"/>
      <c r="C417" s="33"/>
      <c r="D417" s="33"/>
      <c r="E417" s="27"/>
      <c r="F417" s="29"/>
      <c r="G417" s="34"/>
      <c r="H417" s="34"/>
      <c r="I417" s="34"/>
      <c r="J417" s="21"/>
      <c r="K417" s="22"/>
      <c r="L417" s="23"/>
      <c r="M417" s="24"/>
      <c r="N417" s="25"/>
      <c r="O417" s="26"/>
      <c r="P417" s="26"/>
      <c r="Q417" s="25"/>
      <c r="R417" s="25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</row>
    <row r="418">
      <c r="A418" s="31"/>
      <c r="B418" s="32"/>
      <c r="C418" s="33"/>
      <c r="D418" s="33"/>
      <c r="E418" s="27"/>
      <c r="F418" s="29"/>
      <c r="G418" s="34"/>
      <c r="H418" s="34"/>
      <c r="I418" s="34"/>
      <c r="J418" s="21"/>
      <c r="K418" s="22"/>
      <c r="L418" s="23"/>
      <c r="M418" s="24"/>
      <c r="N418" s="25"/>
      <c r="O418" s="26"/>
      <c r="P418" s="26"/>
      <c r="Q418" s="25"/>
      <c r="R418" s="25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</row>
    <row r="419">
      <c r="A419" s="31"/>
      <c r="B419" s="32"/>
      <c r="C419" s="33"/>
      <c r="D419" s="33"/>
      <c r="E419" s="27"/>
      <c r="F419" s="29"/>
      <c r="G419" s="34"/>
      <c r="H419" s="34"/>
      <c r="I419" s="34"/>
      <c r="J419" s="21"/>
      <c r="K419" s="22"/>
      <c r="L419" s="23"/>
      <c r="M419" s="24"/>
      <c r="N419" s="25"/>
      <c r="O419" s="26"/>
      <c r="P419" s="26"/>
      <c r="Q419" s="25"/>
      <c r="R419" s="25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</row>
    <row r="420">
      <c r="A420" s="31"/>
      <c r="B420" s="32"/>
      <c r="C420" s="33"/>
      <c r="D420" s="33"/>
      <c r="E420" s="27"/>
      <c r="F420" s="29"/>
      <c r="G420" s="34"/>
      <c r="H420" s="34"/>
      <c r="I420" s="34"/>
      <c r="J420" s="21"/>
      <c r="K420" s="22"/>
      <c r="L420" s="23"/>
      <c r="M420" s="24"/>
      <c r="N420" s="25"/>
      <c r="O420" s="26"/>
      <c r="P420" s="26"/>
      <c r="Q420" s="25"/>
      <c r="R420" s="25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</row>
    <row r="421">
      <c r="A421" s="31"/>
      <c r="B421" s="32"/>
      <c r="C421" s="33"/>
      <c r="D421" s="33"/>
      <c r="E421" s="27"/>
      <c r="F421" s="29"/>
      <c r="G421" s="34"/>
      <c r="H421" s="34"/>
      <c r="I421" s="34"/>
      <c r="J421" s="21"/>
      <c r="K421" s="22"/>
      <c r="L421" s="23"/>
      <c r="M421" s="24"/>
      <c r="N421" s="25"/>
      <c r="O421" s="26"/>
      <c r="P421" s="26"/>
      <c r="Q421" s="25"/>
      <c r="R421" s="25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</row>
    <row r="422">
      <c r="A422" s="31"/>
      <c r="B422" s="32"/>
      <c r="C422" s="33"/>
      <c r="D422" s="33"/>
      <c r="E422" s="27"/>
      <c r="F422" s="29"/>
      <c r="G422" s="34"/>
      <c r="H422" s="34"/>
      <c r="I422" s="34"/>
      <c r="J422" s="21"/>
      <c r="K422" s="22"/>
      <c r="L422" s="23"/>
      <c r="M422" s="24"/>
      <c r="N422" s="25"/>
      <c r="O422" s="26"/>
      <c r="P422" s="26"/>
      <c r="Q422" s="25"/>
      <c r="R422" s="25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</row>
    <row r="423">
      <c r="A423" s="31"/>
      <c r="B423" s="32"/>
      <c r="C423" s="33"/>
      <c r="D423" s="33"/>
      <c r="E423" s="27"/>
      <c r="F423" s="29"/>
      <c r="G423" s="34"/>
      <c r="H423" s="34"/>
      <c r="I423" s="34"/>
      <c r="J423" s="21"/>
      <c r="K423" s="22"/>
      <c r="L423" s="23"/>
      <c r="M423" s="24"/>
      <c r="N423" s="25"/>
      <c r="O423" s="26"/>
      <c r="P423" s="26"/>
      <c r="Q423" s="25"/>
      <c r="R423" s="25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</row>
    <row r="424">
      <c r="A424" s="31"/>
      <c r="B424" s="32"/>
      <c r="C424" s="33"/>
      <c r="D424" s="33"/>
      <c r="E424" s="27"/>
      <c r="F424" s="29"/>
      <c r="G424" s="34"/>
      <c r="H424" s="34"/>
      <c r="I424" s="34"/>
      <c r="J424" s="21"/>
      <c r="K424" s="22"/>
      <c r="L424" s="23"/>
      <c r="M424" s="24"/>
      <c r="N424" s="25"/>
      <c r="O424" s="26"/>
      <c r="P424" s="26"/>
      <c r="Q424" s="25"/>
      <c r="R424" s="25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</row>
    <row r="425">
      <c r="A425" s="31"/>
      <c r="B425" s="32"/>
      <c r="C425" s="33"/>
      <c r="D425" s="33"/>
      <c r="E425" s="27"/>
      <c r="F425" s="29"/>
      <c r="G425" s="34"/>
      <c r="H425" s="34"/>
      <c r="I425" s="34"/>
      <c r="J425" s="21"/>
      <c r="K425" s="22"/>
      <c r="L425" s="23"/>
      <c r="M425" s="24"/>
      <c r="N425" s="25"/>
      <c r="O425" s="26"/>
      <c r="P425" s="26"/>
      <c r="Q425" s="25"/>
      <c r="R425" s="25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</row>
    <row r="426">
      <c r="A426" s="31"/>
      <c r="B426" s="32"/>
      <c r="C426" s="33"/>
      <c r="D426" s="33"/>
      <c r="E426" s="27"/>
      <c r="F426" s="29"/>
      <c r="G426" s="34"/>
      <c r="H426" s="34"/>
      <c r="I426" s="34"/>
      <c r="J426" s="21"/>
      <c r="K426" s="22"/>
      <c r="L426" s="23"/>
      <c r="M426" s="24"/>
      <c r="N426" s="25"/>
      <c r="O426" s="26"/>
      <c r="P426" s="26"/>
      <c r="Q426" s="25"/>
      <c r="R426" s="25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</row>
    <row r="427">
      <c r="A427" s="31"/>
      <c r="B427" s="32"/>
      <c r="C427" s="33"/>
      <c r="D427" s="33"/>
      <c r="E427" s="27"/>
      <c r="F427" s="29"/>
      <c r="G427" s="34"/>
      <c r="H427" s="34"/>
      <c r="I427" s="34"/>
      <c r="J427" s="21"/>
      <c r="K427" s="22"/>
      <c r="L427" s="23"/>
      <c r="M427" s="24"/>
      <c r="N427" s="25"/>
      <c r="O427" s="26"/>
      <c r="P427" s="26"/>
      <c r="Q427" s="25"/>
      <c r="R427" s="25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</row>
    <row r="428">
      <c r="A428" s="31"/>
      <c r="B428" s="32"/>
      <c r="C428" s="33"/>
      <c r="D428" s="33"/>
      <c r="E428" s="27"/>
      <c r="F428" s="29"/>
      <c r="G428" s="34"/>
      <c r="H428" s="34"/>
      <c r="I428" s="34"/>
      <c r="J428" s="21"/>
      <c r="K428" s="22"/>
      <c r="L428" s="23"/>
      <c r="M428" s="24"/>
      <c r="N428" s="25"/>
      <c r="O428" s="26"/>
      <c r="P428" s="26"/>
      <c r="Q428" s="25"/>
      <c r="R428" s="25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</row>
    <row r="429">
      <c r="A429" s="31"/>
      <c r="B429" s="32"/>
      <c r="C429" s="33"/>
      <c r="D429" s="33"/>
      <c r="E429" s="27"/>
      <c r="F429" s="29"/>
      <c r="G429" s="34"/>
      <c r="H429" s="34"/>
      <c r="I429" s="34"/>
      <c r="J429" s="21"/>
      <c r="K429" s="22"/>
      <c r="L429" s="23"/>
      <c r="M429" s="24"/>
      <c r="N429" s="25"/>
      <c r="O429" s="26"/>
      <c r="P429" s="26"/>
      <c r="Q429" s="25"/>
      <c r="R429" s="25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</row>
    <row r="430">
      <c r="A430" s="31"/>
      <c r="B430" s="32"/>
      <c r="C430" s="33"/>
      <c r="D430" s="33"/>
      <c r="E430" s="27"/>
      <c r="F430" s="29"/>
      <c r="G430" s="34"/>
      <c r="H430" s="34"/>
      <c r="I430" s="34"/>
      <c r="J430" s="21"/>
      <c r="K430" s="22"/>
      <c r="L430" s="23"/>
      <c r="M430" s="24"/>
      <c r="N430" s="25"/>
      <c r="O430" s="26"/>
      <c r="P430" s="26"/>
      <c r="Q430" s="25"/>
      <c r="R430" s="25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</row>
    <row r="431">
      <c r="A431" s="31"/>
      <c r="B431" s="32"/>
      <c r="C431" s="33"/>
      <c r="D431" s="33"/>
      <c r="E431" s="27"/>
      <c r="F431" s="29"/>
      <c r="G431" s="34"/>
      <c r="H431" s="34"/>
      <c r="I431" s="34"/>
      <c r="J431" s="21"/>
      <c r="K431" s="22"/>
      <c r="L431" s="23"/>
      <c r="M431" s="24"/>
      <c r="N431" s="25"/>
      <c r="O431" s="26"/>
      <c r="P431" s="26"/>
      <c r="Q431" s="25"/>
      <c r="R431" s="25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</row>
    <row r="432">
      <c r="A432" s="31"/>
      <c r="B432" s="32"/>
      <c r="C432" s="33"/>
      <c r="D432" s="33"/>
      <c r="E432" s="27"/>
      <c r="F432" s="29"/>
      <c r="G432" s="34"/>
      <c r="H432" s="34"/>
      <c r="I432" s="34"/>
      <c r="J432" s="21"/>
      <c r="K432" s="22"/>
      <c r="L432" s="23"/>
      <c r="M432" s="24"/>
      <c r="N432" s="25"/>
      <c r="O432" s="26"/>
      <c r="P432" s="26"/>
      <c r="Q432" s="25"/>
      <c r="R432" s="25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</row>
    <row r="433">
      <c r="A433" s="31"/>
      <c r="B433" s="32"/>
      <c r="C433" s="33"/>
      <c r="D433" s="33"/>
      <c r="E433" s="27"/>
      <c r="F433" s="29"/>
      <c r="G433" s="34"/>
      <c r="H433" s="34"/>
      <c r="I433" s="34"/>
      <c r="J433" s="21"/>
      <c r="K433" s="22"/>
      <c r="L433" s="23"/>
      <c r="M433" s="24"/>
      <c r="N433" s="25"/>
      <c r="O433" s="26"/>
      <c r="P433" s="26"/>
      <c r="Q433" s="25"/>
      <c r="R433" s="25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</row>
    <row r="434">
      <c r="A434" s="31"/>
      <c r="B434" s="32"/>
      <c r="C434" s="33"/>
      <c r="D434" s="33"/>
      <c r="E434" s="27"/>
      <c r="F434" s="29"/>
      <c r="G434" s="34"/>
      <c r="H434" s="34"/>
      <c r="I434" s="34"/>
      <c r="J434" s="21"/>
      <c r="K434" s="22"/>
      <c r="L434" s="23"/>
      <c r="M434" s="24"/>
      <c r="N434" s="25"/>
      <c r="O434" s="26"/>
      <c r="P434" s="26"/>
      <c r="Q434" s="25"/>
      <c r="R434" s="25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</row>
    <row r="435">
      <c r="A435" s="31"/>
      <c r="B435" s="32"/>
      <c r="C435" s="33"/>
      <c r="D435" s="33"/>
      <c r="E435" s="27"/>
      <c r="F435" s="29"/>
      <c r="G435" s="34"/>
      <c r="H435" s="34"/>
      <c r="I435" s="34"/>
      <c r="J435" s="21"/>
      <c r="K435" s="22"/>
      <c r="L435" s="23"/>
      <c r="M435" s="24"/>
      <c r="N435" s="25"/>
      <c r="O435" s="26"/>
      <c r="P435" s="26"/>
      <c r="Q435" s="25"/>
      <c r="R435" s="25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</row>
    <row r="436">
      <c r="A436" s="31"/>
      <c r="B436" s="32"/>
      <c r="C436" s="33"/>
      <c r="D436" s="33"/>
      <c r="E436" s="27"/>
      <c r="F436" s="29"/>
      <c r="G436" s="34"/>
      <c r="H436" s="34"/>
      <c r="I436" s="34"/>
      <c r="J436" s="21"/>
      <c r="K436" s="22"/>
      <c r="L436" s="23"/>
      <c r="M436" s="24"/>
      <c r="N436" s="25"/>
      <c r="O436" s="26"/>
      <c r="P436" s="26"/>
      <c r="Q436" s="25"/>
      <c r="R436" s="25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</row>
    <row r="437">
      <c r="A437" s="31"/>
      <c r="B437" s="32"/>
      <c r="C437" s="33"/>
      <c r="D437" s="33"/>
      <c r="E437" s="27"/>
      <c r="F437" s="29"/>
      <c r="G437" s="34"/>
      <c r="H437" s="34"/>
      <c r="I437" s="34"/>
      <c r="J437" s="21"/>
      <c r="K437" s="22"/>
      <c r="L437" s="23"/>
      <c r="M437" s="24"/>
      <c r="N437" s="25"/>
      <c r="O437" s="26"/>
      <c r="P437" s="26"/>
      <c r="Q437" s="25"/>
      <c r="R437" s="25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</row>
    <row r="438">
      <c r="A438" s="31"/>
      <c r="B438" s="32"/>
      <c r="C438" s="33"/>
      <c r="D438" s="33"/>
      <c r="E438" s="27"/>
      <c r="F438" s="29"/>
      <c r="G438" s="34"/>
      <c r="H438" s="34"/>
      <c r="I438" s="34"/>
      <c r="J438" s="21"/>
      <c r="K438" s="22"/>
      <c r="L438" s="23"/>
      <c r="M438" s="24"/>
      <c r="N438" s="25"/>
      <c r="O438" s="26"/>
      <c r="P438" s="26"/>
      <c r="Q438" s="25"/>
      <c r="R438" s="25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</row>
    <row r="439">
      <c r="A439" s="31"/>
      <c r="B439" s="32"/>
      <c r="C439" s="33"/>
      <c r="D439" s="33"/>
      <c r="E439" s="27"/>
      <c r="F439" s="29"/>
      <c r="G439" s="34"/>
      <c r="H439" s="34"/>
      <c r="I439" s="34"/>
      <c r="J439" s="21"/>
      <c r="K439" s="22"/>
      <c r="L439" s="23"/>
      <c r="M439" s="24"/>
      <c r="N439" s="25"/>
      <c r="O439" s="26"/>
      <c r="P439" s="26"/>
      <c r="Q439" s="25"/>
      <c r="R439" s="25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</row>
    <row r="440">
      <c r="A440" s="31"/>
      <c r="B440" s="32"/>
      <c r="C440" s="33"/>
      <c r="D440" s="33"/>
      <c r="E440" s="27"/>
      <c r="F440" s="29"/>
      <c r="G440" s="34"/>
      <c r="H440" s="34"/>
      <c r="I440" s="34"/>
      <c r="J440" s="21"/>
      <c r="K440" s="22"/>
      <c r="L440" s="23"/>
      <c r="M440" s="24"/>
      <c r="N440" s="25"/>
      <c r="O440" s="26"/>
      <c r="P440" s="26"/>
      <c r="Q440" s="25"/>
      <c r="R440" s="25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</row>
    <row r="441">
      <c r="A441" s="31"/>
      <c r="B441" s="32"/>
      <c r="C441" s="33"/>
      <c r="D441" s="33"/>
      <c r="E441" s="27"/>
      <c r="F441" s="29"/>
      <c r="G441" s="34"/>
      <c r="H441" s="34"/>
      <c r="I441" s="34"/>
      <c r="J441" s="21"/>
      <c r="K441" s="22"/>
      <c r="L441" s="23"/>
      <c r="M441" s="24"/>
      <c r="N441" s="25"/>
      <c r="O441" s="26"/>
      <c r="P441" s="26"/>
      <c r="Q441" s="25"/>
      <c r="R441" s="25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</row>
    <row r="442">
      <c r="A442" s="31"/>
      <c r="B442" s="32"/>
      <c r="C442" s="33"/>
      <c r="D442" s="33"/>
      <c r="E442" s="27"/>
      <c r="F442" s="29"/>
      <c r="G442" s="34"/>
      <c r="H442" s="34"/>
      <c r="I442" s="34"/>
      <c r="J442" s="21"/>
      <c r="K442" s="22"/>
      <c r="L442" s="23"/>
      <c r="M442" s="24"/>
      <c r="N442" s="25"/>
      <c r="O442" s="26"/>
      <c r="P442" s="26"/>
      <c r="Q442" s="25"/>
      <c r="R442" s="25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</row>
    <row r="443">
      <c r="A443" s="31"/>
      <c r="B443" s="32"/>
      <c r="C443" s="33"/>
      <c r="D443" s="33"/>
      <c r="E443" s="27"/>
      <c r="F443" s="29"/>
      <c r="G443" s="34"/>
      <c r="H443" s="34"/>
      <c r="I443" s="34"/>
      <c r="J443" s="21"/>
      <c r="K443" s="22"/>
      <c r="L443" s="23"/>
      <c r="M443" s="24"/>
      <c r="N443" s="25"/>
      <c r="O443" s="26"/>
      <c r="P443" s="26"/>
      <c r="Q443" s="25"/>
      <c r="R443" s="25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</row>
    <row r="444">
      <c r="A444" s="31"/>
      <c r="B444" s="32"/>
      <c r="C444" s="33"/>
      <c r="D444" s="33"/>
      <c r="E444" s="27"/>
      <c r="F444" s="29"/>
      <c r="G444" s="34"/>
      <c r="H444" s="34"/>
      <c r="I444" s="34"/>
      <c r="J444" s="21"/>
      <c r="K444" s="22"/>
      <c r="L444" s="23"/>
      <c r="M444" s="24"/>
      <c r="N444" s="25"/>
      <c r="O444" s="26"/>
      <c r="P444" s="26"/>
      <c r="Q444" s="25"/>
      <c r="R444" s="25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</row>
    <row r="445">
      <c r="A445" s="31"/>
      <c r="B445" s="32"/>
      <c r="C445" s="33"/>
      <c r="D445" s="33"/>
      <c r="E445" s="27"/>
      <c r="F445" s="29"/>
      <c r="G445" s="34"/>
      <c r="H445" s="34"/>
      <c r="I445" s="34"/>
      <c r="J445" s="21"/>
      <c r="K445" s="22"/>
      <c r="L445" s="23"/>
      <c r="M445" s="24"/>
      <c r="N445" s="25"/>
      <c r="O445" s="26"/>
      <c r="P445" s="26"/>
      <c r="Q445" s="25"/>
      <c r="R445" s="25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</row>
    <row r="446">
      <c r="A446" s="31"/>
      <c r="B446" s="32"/>
      <c r="C446" s="33"/>
      <c r="D446" s="33"/>
      <c r="E446" s="27"/>
      <c r="F446" s="29"/>
      <c r="G446" s="34"/>
      <c r="H446" s="34"/>
      <c r="I446" s="34"/>
      <c r="J446" s="21"/>
      <c r="K446" s="22"/>
      <c r="L446" s="23"/>
      <c r="M446" s="24"/>
      <c r="N446" s="25"/>
      <c r="O446" s="26"/>
      <c r="P446" s="26"/>
      <c r="Q446" s="25"/>
      <c r="R446" s="25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</row>
    <row r="447">
      <c r="A447" s="31"/>
      <c r="B447" s="32"/>
      <c r="C447" s="33"/>
      <c r="D447" s="33"/>
      <c r="E447" s="27"/>
      <c r="F447" s="29"/>
      <c r="G447" s="34"/>
      <c r="H447" s="34"/>
      <c r="I447" s="34"/>
      <c r="J447" s="21"/>
      <c r="K447" s="22"/>
      <c r="L447" s="23"/>
      <c r="M447" s="24"/>
      <c r="N447" s="25"/>
      <c r="O447" s="26"/>
      <c r="P447" s="26"/>
      <c r="Q447" s="25"/>
      <c r="R447" s="25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</row>
    <row r="448">
      <c r="A448" s="31"/>
      <c r="B448" s="32"/>
      <c r="C448" s="33"/>
      <c r="D448" s="33"/>
      <c r="E448" s="27"/>
      <c r="F448" s="29"/>
      <c r="G448" s="34"/>
      <c r="H448" s="34"/>
      <c r="I448" s="34"/>
      <c r="J448" s="21"/>
      <c r="K448" s="22"/>
      <c r="L448" s="23"/>
      <c r="M448" s="24"/>
      <c r="N448" s="25"/>
      <c r="O448" s="26"/>
      <c r="P448" s="26"/>
      <c r="Q448" s="25"/>
      <c r="R448" s="25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</row>
    <row r="449">
      <c r="A449" s="31"/>
      <c r="B449" s="32"/>
      <c r="C449" s="33"/>
      <c r="D449" s="33"/>
      <c r="E449" s="27"/>
      <c r="F449" s="29"/>
      <c r="G449" s="34"/>
      <c r="H449" s="34"/>
      <c r="I449" s="34"/>
      <c r="J449" s="21"/>
      <c r="K449" s="22"/>
      <c r="L449" s="23"/>
      <c r="M449" s="24"/>
      <c r="N449" s="25"/>
      <c r="O449" s="26"/>
      <c r="P449" s="26"/>
      <c r="Q449" s="25"/>
      <c r="R449" s="25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</row>
    <row r="450">
      <c r="A450" s="31"/>
      <c r="B450" s="32"/>
      <c r="C450" s="33"/>
      <c r="D450" s="33"/>
      <c r="E450" s="27"/>
      <c r="F450" s="29"/>
      <c r="G450" s="34"/>
      <c r="H450" s="34"/>
      <c r="I450" s="34"/>
      <c r="J450" s="21"/>
      <c r="K450" s="22"/>
      <c r="L450" s="23"/>
      <c r="M450" s="24"/>
      <c r="N450" s="25"/>
      <c r="O450" s="26"/>
      <c r="P450" s="26"/>
      <c r="Q450" s="25"/>
      <c r="R450" s="25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</row>
    <row r="451">
      <c r="A451" s="31"/>
      <c r="B451" s="32"/>
      <c r="C451" s="33"/>
      <c r="D451" s="33"/>
      <c r="E451" s="27"/>
      <c r="F451" s="29"/>
      <c r="G451" s="34"/>
      <c r="H451" s="34"/>
      <c r="I451" s="34"/>
      <c r="J451" s="21"/>
      <c r="K451" s="22"/>
      <c r="L451" s="23"/>
      <c r="M451" s="24"/>
      <c r="N451" s="25"/>
      <c r="O451" s="26"/>
      <c r="P451" s="26"/>
      <c r="Q451" s="25"/>
      <c r="R451" s="25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</row>
    <row r="452">
      <c r="A452" s="31"/>
      <c r="B452" s="32"/>
      <c r="C452" s="33"/>
      <c r="D452" s="33"/>
      <c r="E452" s="27"/>
      <c r="F452" s="29"/>
      <c r="G452" s="34"/>
      <c r="H452" s="34"/>
      <c r="I452" s="34"/>
      <c r="J452" s="21"/>
      <c r="K452" s="22"/>
      <c r="L452" s="23"/>
      <c r="M452" s="24"/>
      <c r="N452" s="25"/>
      <c r="O452" s="26"/>
      <c r="P452" s="26"/>
      <c r="Q452" s="25"/>
      <c r="R452" s="25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</row>
    <row r="453">
      <c r="A453" s="31"/>
      <c r="B453" s="32"/>
      <c r="C453" s="33"/>
      <c r="D453" s="33"/>
      <c r="E453" s="27"/>
      <c r="F453" s="29"/>
      <c r="G453" s="34"/>
      <c r="H453" s="34"/>
      <c r="I453" s="34"/>
      <c r="J453" s="21"/>
      <c r="K453" s="22"/>
      <c r="L453" s="23"/>
      <c r="M453" s="24"/>
      <c r="N453" s="25"/>
      <c r="O453" s="26"/>
      <c r="P453" s="26"/>
      <c r="Q453" s="25"/>
      <c r="R453" s="25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</row>
    <row r="454">
      <c r="A454" s="31"/>
      <c r="B454" s="32"/>
      <c r="C454" s="33"/>
      <c r="D454" s="33"/>
      <c r="E454" s="27"/>
      <c r="F454" s="29"/>
      <c r="G454" s="34"/>
      <c r="H454" s="34"/>
      <c r="I454" s="34"/>
      <c r="J454" s="21"/>
      <c r="K454" s="22"/>
      <c r="L454" s="23"/>
      <c r="M454" s="24"/>
      <c r="N454" s="25"/>
      <c r="O454" s="26"/>
      <c r="P454" s="26"/>
      <c r="Q454" s="25"/>
      <c r="R454" s="25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</row>
    <row r="455">
      <c r="A455" s="31"/>
      <c r="B455" s="32"/>
      <c r="C455" s="33"/>
      <c r="D455" s="33"/>
      <c r="E455" s="27"/>
      <c r="F455" s="29"/>
      <c r="G455" s="34"/>
      <c r="H455" s="34"/>
      <c r="I455" s="34"/>
      <c r="J455" s="21"/>
      <c r="K455" s="22"/>
      <c r="L455" s="23"/>
      <c r="M455" s="24"/>
      <c r="N455" s="25"/>
      <c r="O455" s="26"/>
      <c r="P455" s="26"/>
      <c r="Q455" s="25"/>
      <c r="R455" s="25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</row>
    <row r="456">
      <c r="A456" s="31"/>
      <c r="B456" s="32"/>
      <c r="C456" s="33"/>
      <c r="D456" s="33"/>
      <c r="E456" s="27"/>
      <c r="F456" s="29"/>
      <c r="G456" s="34"/>
      <c r="H456" s="34"/>
      <c r="I456" s="34"/>
      <c r="J456" s="21"/>
      <c r="K456" s="22"/>
      <c r="L456" s="23"/>
      <c r="M456" s="24"/>
      <c r="N456" s="25"/>
      <c r="O456" s="26"/>
      <c r="P456" s="26"/>
      <c r="Q456" s="25"/>
      <c r="R456" s="25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</row>
    <row r="457">
      <c r="A457" s="31"/>
      <c r="B457" s="32"/>
      <c r="C457" s="33"/>
      <c r="D457" s="33"/>
      <c r="E457" s="27"/>
      <c r="F457" s="29"/>
      <c r="G457" s="34"/>
      <c r="H457" s="34"/>
      <c r="I457" s="34"/>
      <c r="J457" s="21"/>
      <c r="K457" s="22"/>
      <c r="L457" s="23"/>
      <c r="M457" s="24"/>
      <c r="N457" s="25"/>
      <c r="O457" s="26"/>
      <c r="P457" s="26"/>
      <c r="Q457" s="25"/>
      <c r="R457" s="25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</row>
    <row r="458">
      <c r="A458" s="31"/>
      <c r="B458" s="32"/>
      <c r="C458" s="33"/>
      <c r="D458" s="33"/>
      <c r="E458" s="27"/>
      <c r="F458" s="29"/>
      <c r="G458" s="34"/>
      <c r="H458" s="34"/>
      <c r="I458" s="34"/>
      <c r="J458" s="21"/>
      <c r="K458" s="22"/>
      <c r="L458" s="23"/>
      <c r="M458" s="24"/>
      <c r="N458" s="25"/>
      <c r="O458" s="26"/>
      <c r="P458" s="26"/>
      <c r="Q458" s="25"/>
      <c r="R458" s="25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</row>
    <row r="459">
      <c r="A459" s="31"/>
      <c r="B459" s="32"/>
      <c r="C459" s="33"/>
      <c r="D459" s="33"/>
      <c r="E459" s="27"/>
      <c r="F459" s="29"/>
      <c r="G459" s="34"/>
      <c r="H459" s="34"/>
      <c r="I459" s="34"/>
      <c r="J459" s="21"/>
      <c r="K459" s="22"/>
      <c r="L459" s="23"/>
      <c r="M459" s="24"/>
      <c r="N459" s="25"/>
      <c r="O459" s="26"/>
      <c r="P459" s="26"/>
      <c r="Q459" s="25"/>
      <c r="R459" s="25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</row>
    <row r="460">
      <c r="A460" s="31"/>
      <c r="B460" s="32"/>
      <c r="C460" s="33"/>
      <c r="D460" s="33"/>
      <c r="E460" s="27"/>
      <c r="F460" s="29"/>
      <c r="G460" s="34"/>
      <c r="H460" s="34"/>
      <c r="I460" s="34"/>
      <c r="J460" s="21"/>
      <c r="K460" s="22"/>
      <c r="L460" s="23"/>
      <c r="M460" s="24"/>
      <c r="N460" s="25"/>
      <c r="O460" s="26"/>
      <c r="P460" s="26"/>
      <c r="Q460" s="25"/>
      <c r="R460" s="25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</row>
    <row r="461">
      <c r="A461" s="31"/>
      <c r="B461" s="32"/>
      <c r="C461" s="33"/>
      <c r="D461" s="33"/>
      <c r="E461" s="27"/>
      <c r="F461" s="29"/>
      <c r="G461" s="34"/>
      <c r="H461" s="34"/>
      <c r="I461" s="34"/>
      <c r="J461" s="21"/>
      <c r="K461" s="22"/>
      <c r="L461" s="23"/>
      <c r="M461" s="24"/>
      <c r="N461" s="25"/>
      <c r="O461" s="26"/>
      <c r="P461" s="26"/>
      <c r="Q461" s="25"/>
      <c r="R461" s="25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</row>
    <row r="462">
      <c r="A462" s="31"/>
      <c r="B462" s="32"/>
      <c r="C462" s="33"/>
      <c r="D462" s="33"/>
      <c r="E462" s="27"/>
      <c r="F462" s="29"/>
      <c r="G462" s="34"/>
      <c r="H462" s="34"/>
      <c r="I462" s="34"/>
      <c r="J462" s="21"/>
      <c r="K462" s="22"/>
      <c r="L462" s="23"/>
      <c r="M462" s="24"/>
      <c r="N462" s="25"/>
      <c r="O462" s="26"/>
      <c r="P462" s="26"/>
      <c r="Q462" s="25"/>
      <c r="R462" s="25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</row>
    <row r="463">
      <c r="A463" s="31"/>
      <c r="B463" s="32"/>
      <c r="C463" s="33"/>
      <c r="D463" s="33"/>
      <c r="E463" s="27"/>
      <c r="F463" s="29"/>
      <c r="G463" s="34"/>
      <c r="H463" s="34"/>
      <c r="I463" s="34"/>
      <c r="J463" s="21"/>
      <c r="K463" s="22"/>
      <c r="L463" s="23"/>
      <c r="M463" s="24"/>
      <c r="N463" s="25"/>
      <c r="O463" s="26"/>
      <c r="P463" s="26"/>
      <c r="Q463" s="25"/>
      <c r="R463" s="25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</row>
    <row r="464">
      <c r="A464" s="31"/>
      <c r="B464" s="32"/>
      <c r="C464" s="33"/>
      <c r="D464" s="33"/>
      <c r="E464" s="27"/>
      <c r="F464" s="29"/>
      <c r="G464" s="34"/>
      <c r="H464" s="34"/>
      <c r="I464" s="34"/>
      <c r="J464" s="21"/>
      <c r="K464" s="22"/>
      <c r="L464" s="23"/>
      <c r="M464" s="24"/>
      <c r="N464" s="25"/>
      <c r="O464" s="26"/>
      <c r="P464" s="26"/>
      <c r="Q464" s="25"/>
      <c r="R464" s="25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</row>
    <row r="465">
      <c r="A465" s="31"/>
      <c r="B465" s="32"/>
      <c r="C465" s="33"/>
      <c r="D465" s="33"/>
      <c r="E465" s="27"/>
      <c r="F465" s="29"/>
      <c r="G465" s="34"/>
      <c r="H465" s="34"/>
      <c r="I465" s="34"/>
      <c r="J465" s="21"/>
      <c r="K465" s="22"/>
      <c r="L465" s="23"/>
      <c r="M465" s="24"/>
      <c r="N465" s="25"/>
      <c r="O465" s="26"/>
      <c r="P465" s="26"/>
      <c r="Q465" s="25"/>
      <c r="R465" s="25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</row>
    <row r="466">
      <c r="A466" s="31"/>
      <c r="B466" s="32"/>
      <c r="C466" s="33"/>
      <c r="D466" s="33"/>
      <c r="E466" s="27"/>
      <c r="F466" s="29"/>
      <c r="G466" s="34"/>
      <c r="H466" s="34"/>
      <c r="I466" s="34"/>
      <c r="J466" s="21"/>
      <c r="K466" s="22"/>
      <c r="L466" s="23"/>
      <c r="M466" s="24"/>
      <c r="N466" s="25"/>
      <c r="O466" s="26"/>
      <c r="P466" s="26"/>
      <c r="Q466" s="25"/>
      <c r="R466" s="25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</row>
    <row r="467">
      <c r="A467" s="31"/>
      <c r="B467" s="32"/>
      <c r="C467" s="33"/>
      <c r="D467" s="33"/>
      <c r="E467" s="27"/>
      <c r="F467" s="29"/>
      <c r="G467" s="34"/>
      <c r="H467" s="34"/>
      <c r="I467" s="34"/>
      <c r="J467" s="21"/>
      <c r="K467" s="22"/>
      <c r="L467" s="23"/>
      <c r="M467" s="24"/>
      <c r="N467" s="25"/>
      <c r="O467" s="26"/>
      <c r="P467" s="26"/>
      <c r="Q467" s="25"/>
      <c r="R467" s="25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</row>
    <row r="468">
      <c r="A468" s="31"/>
      <c r="B468" s="32"/>
      <c r="C468" s="33"/>
      <c r="D468" s="33"/>
      <c r="E468" s="27"/>
      <c r="F468" s="29"/>
      <c r="G468" s="34"/>
      <c r="H468" s="34"/>
      <c r="I468" s="34"/>
      <c r="J468" s="21"/>
      <c r="K468" s="22"/>
      <c r="L468" s="23"/>
      <c r="M468" s="24"/>
      <c r="N468" s="25"/>
      <c r="O468" s="26"/>
      <c r="P468" s="26"/>
      <c r="Q468" s="25"/>
      <c r="R468" s="25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</row>
    <row r="469">
      <c r="A469" s="31"/>
      <c r="B469" s="32"/>
      <c r="C469" s="33"/>
      <c r="D469" s="33"/>
      <c r="E469" s="27"/>
      <c r="F469" s="29"/>
      <c r="G469" s="34"/>
      <c r="H469" s="34"/>
      <c r="I469" s="34"/>
      <c r="J469" s="21"/>
      <c r="K469" s="22"/>
      <c r="L469" s="23"/>
      <c r="M469" s="24"/>
      <c r="N469" s="25"/>
      <c r="O469" s="26"/>
      <c r="P469" s="26"/>
      <c r="Q469" s="25"/>
      <c r="R469" s="25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</row>
    <row r="470">
      <c r="A470" s="31"/>
      <c r="B470" s="32"/>
      <c r="C470" s="33"/>
      <c r="D470" s="33"/>
      <c r="E470" s="27"/>
      <c r="F470" s="29"/>
      <c r="G470" s="34"/>
      <c r="H470" s="34"/>
      <c r="I470" s="34"/>
      <c r="J470" s="21"/>
      <c r="K470" s="22"/>
      <c r="L470" s="23"/>
      <c r="M470" s="24"/>
      <c r="N470" s="25"/>
      <c r="O470" s="26"/>
      <c r="P470" s="26"/>
      <c r="Q470" s="25"/>
      <c r="R470" s="25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</row>
    <row r="471">
      <c r="A471" s="31"/>
      <c r="B471" s="32"/>
      <c r="C471" s="33"/>
      <c r="D471" s="33"/>
      <c r="E471" s="27"/>
      <c r="F471" s="29"/>
      <c r="G471" s="34"/>
      <c r="H471" s="34"/>
      <c r="I471" s="34"/>
      <c r="J471" s="21"/>
      <c r="K471" s="22"/>
      <c r="L471" s="23"/>
      <c r="M471" s="24"/>
      <c r="N471" s="25"/>
      <c r="O471" s="26"/>
      <c r="P471" s="26"/>
      <c r="Q471" s="25"/>
      <c r="R471" s="25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</row>
    <row r="472">
      <c r="A472" s="31"/>
      <c r="B472" s="32"/>
      <c r="C472" s="33"/>
      <c r="D472" s="33"/>
      <c r="E472" s="27"/>
      <c r="F472" s="29"/>
      <c r="G472" s="34"/>
      <c r="H472" s="34"/>
      <c r="I472" s="34"/>
      <c r="J472" s="21"/>
      <c r="K472" s="22"/>
      <c r="L472" s="23"/>
      <c r="M472" s="24"/>
      <c r="N472" s="25"/>
      <c r="O472" s="26"/>
      <c r="P472" s="26"/>
      <c r="Q472" s="25"/>
      <c r="R472" s="25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</row>
    <row r="473">
      <c r="A473" s="31"/>
      <c r="B473" s="32"/>
      <c r="C473" s="33"/>
      <c r="D473" s="33"/>
      <c r="E473" s="27"/>
      <c r="F473" s="29"/>
      <c r="G473" s="34"/>
      <c r="H473" s="34"/>
      <c r="I473" s="34"/>
      <c r="J473" s="21"/>
      <c r="K473" s="22"/>
      <c r="L473" s="23"/>
      <c r="M473" s="24"/>
      <c r="N473" s="25"/>
      <c r="O473" s="26"/>
      <c r="P473" s="26"/>
      <c r="Q473" s="25"/>
      <c r="R473" s="25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</row>
    <row r="474">
      <c r="A474" s="31"/>
      <c r="B474" s="32"/>
      <c r="C474" s="33"/>
      <c r="D474" s="33"/>
      <c r="E474" s="27"/>
      <c r="F474" s="29"/>
      <c r="G474" s="34"/>
      <c r="H474" s="34"/>
      <c r="I474" s="34"/>
      <c r="J474" s="21"/>
      <c r="K474" s="22"/>
      <c r="L474" s="23"/>
      <c r="M474" s="24"/>
      <c r="N474" s="25"/>
      <c r="O474" s="26"/>
      <c r="P474" s="26"/>
      <c r="Q474" s="25"/>
      <c r="R474" s="25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</row>
    <row r="475">
      <c r="A475" s="31"/>
      <c r="B475" s="32"/>
      <c r="C475" s="33"/>
      <c r="D475" s="33"/>
      <c r="E475" s="27"/>
      <c r="F475" s="29"/>
      <c r="G475" s="34"/>
      <c r="H475" s="34"/>
      <c r="I475" s="34"/>
      <c r="J475" s="21"/>
      <c r="K475" s="22"/>
      <c r="L475" s="23"/>
      <c r="M475" s="24"/>
      <c r="N475" s="25"/>
      <c r="O475" s="26"/>
      <c r="P475" s="26"/>
      <c r="Q475" s="25"/>
      <c r="R475" s="25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</row>
    <row r="476">
      <c r="A476" s="31"/>
      <c r="B476" s="32"/>
      <c r="C476" s="33"/>
      <c r="D476" s="33"/>
      <c r="E476" s="27"/>
      <c r="F476" s="29"/>
      <c r="G476" s="34"/>
      <c r="H476" s="34"/>
      <c r="I476" s="34"/>
      <c r="J476" s="21"/>
      <c r="K476" s="22"/>
      <c r="L476" s="23"/>
      <c r="M476" s="24"/>
      <c r="N476" s="25"/>
      <c r="O476" s="26"/>
      <c r="P476" s="26"/>
      <c r="Q476" s="25"/>
      <c r="R476" s="25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</row>
    <row r="477">
      <c r="A477" s="31"/>
      <c r="B477" s="32"/>
      <c r="C477" s="33"/>
      <c r="D477" s="33"/>
      <c r="E477" s="27"/>
      <c r="F477" s="29"/>
      <c r="G477" s="34"/>
      <c r="H477" s="34"/>
      <c r="I477" s="34"/>
      <c r="J477" s="21"/>
      <c r="K477" s="22"/>
      <c r="L477" s="23"/>
      <c r="M477" s="24"/>
      <c r="N477" s="25"/>
      <c r="O477" s="26"/>
      <c r="P477" s="26"/>
      <c r="Q477" s="25"/>
      <c r="R477" s="25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</row>
    <row r="478">
      <c r="A478" s="31"/>
      <c r="B478" s="32"/>
      <c r="C478" s="33"/>
      <c r="D478" s="33"/>
      <c r="E478" s="27"/>
      <c r="F478" s="29"/>
      <c r="G478" s="34"/>
      <c r="H478" s="34"/>
      <c r="I478" s="34"/>
      <c r="J478" s="21"/>
      <c r="K478" s="22"/>
      <c r="L478" s="23"/>
      <c r="M478" s="24"/>
      <c r="N478" s="25"/>
      <c r="O478" s="26"/>
      <c r="P478" s="26"/>
      <c r="Q478" s="25"/>
      <c r="R478" s="25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</row>
    <row r="479">
      <c r="A479" s="31"/>
      <c r="B479" s="32"/>
      <c r="C479" s="33"/>
      <c r="D479" s="33"/>
      <c r="E479" s="27"/>
      <c r="F479" s="29"/>
      <c r="G479" s="34"/>
      <c r="H479" s="34"/>
      <c r="I479" s="34"/>
      <c r="J479" s="21"/>
      <c r="K479" s="22"/>
      <c r="L479" s="23"/>
      <c r="M479" s="24"/>
      <c r="N479" s="25"/>
      <c r="O479" s="26"/>
      <c r="P479" s="26"/>
      <c r="Q479" s="25"/>
      <c r="R479" s="25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</row>
    <row r="480">
      <c r="A480" s="31"/>
      <c r="B480" s="32"/>
      <c r="C480" s="33"/>
      <c r="D480" s="33"/>
      <c r="E480" s="27"/>
      <c r="F480" s="29"/>
      <c r="G480" s="34"/>
      <c r="H480" s="34"/>
      <c r="I480" s="34"/>
      <c r="J480" s="21"/>
      <c r="K480" s="22"/>
      <c r="L480" s="23"/>
      <c r="M480" s="24"/>
      <c r="N480" s="25"/>
      <c r="O480" s="26"/>
      <c r="P480" s="26"/>
      <c r="Q480" s="25"/>
      <c r="R480" s="25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</row>
    <row r="481">
      <c r="A481" s="31"/>
      <c r="B481" s="32"/>
      <c r="C481" s="33"/>
      <c r="D481" s="33"/>
      <c r="E481" s="27"/>
      <c r="F481" s="29"/>
      <c r="G481" s="34"/>
      <c r="H481" s="34"/>
      <c r="I481" s="34"/>
      <c r="J481" s="21"/>
      <c r="K481" s="22"/>
      <c r="L481" s="23"/>
      <c r="M481" s="24"/>
      <c r="N481" s="25"/>
      <c r="O481" s="26"/>
      <c r="P481" s="26"/>
      <c r="Q481" s="25"/>
      <c r="R481" s="25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</row>
    <row r="482">
      <c r="A482" s="31"/>
      <c r="B482" s="32"/>
      <c r="C482" s="33"/>
      <c r="D482" s="33"/>
      <c r="E482" s="27"/>
      <c r="F482" s="29"/>
      <c r="G482" s="34"/>
      <c r="H482" s="34"/>
      <c r="I482" s="34"/>
      <c r="J482" s="21"/>
      <c r="K482" s="22"/>
      <c r="L482" s="23"/>
      <c r="M482" s="24"/>
      <c r="N482" s="25"/>
      <c r="O482" s="26"/>
      <c r="P482" s="26"/>
      <c r="Q482" s="25"/>
      <c r="R482" s="25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</row>
    <row r="483">
      <c r="A483" s="31"/>
      <c r="B483" s="32"/>
      <c r="C483" s="33"/>
      <c r="D483" s="33"/>
      <c r="E483" s="27"/>
      <c r="F483" s="29"/>
      <c r="G483" s="34"/>
      <c r="H483" s="34"/>
      <c r="I483" s="34"/>
      <c r="J483" s="21"/>
      <c r="K483" s="22"/>
      <c r="L483" s="23"/>
      <c r="M483" s="24"/>
      <c r="N483" s="25"/>
      <c r="O483" s="26"/>
      <c r="P483" s="26"/>
      <c r="Q483" s="25"/>
      <c r="R483" s="25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</row>
    <row r="484">
      <c r="A484" s="31"/>
      <c r="B484" s="32"/>
      <c r="C484" s="33"/>
      <c r="D484" s="33"/>
      <c r="E484" s="27"/>
      <c r="F484" s="29"/>
      <c r="G484" s="34"/>
      <c r="H484" s="34"/>
      <c r="I484" s="34"/>
      <c r="J484" s="21"/>
      <c r="K484" s="22"/>
      <c r="L484" s="23"/>
      <c r="M484" s="24"/>
      <c r="N484" s="25"/>
      <c r="O484" s="26"/>
      <c r="P484" s="26"/>
      <c r="Q484" s="25"/>
      <c r="R484" s="25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</row>
    <row r="485">
      <c r="A485" s="31"/>
      <c r="B485" s="32"/>
      <c r="C485" s="33"/>
      <c r="D485" s="33"/>
      <c r="E485" s="27"/>
      <c r="F485" s="29"/>
      <c r="G485" s="34"/>
      <c r="H485" s="34"/>
      <c r="I485" s="34"/>
      <c r="J485" s="21"/>
      <c r="K485" s="22"/>
      <c r="L485" s="23"/>
      <c r="M485" s="24"/>
      <c r="N485" s="25"/>
      <c r="O485" s="26"/>
      <c r="P485" s="26"/>
      <c r="Q485" s="25"/>
      <c r="R485" s="25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</row>
    <row r="486">
      <c r="A486" s="31"/>
      <c r="B486" s="32"/>
      <c r="C486" s="33"/>
      <c r="D486" s="33"/>
      <c r="E486" s="27"/>
      <c r="F486" s="29"/>
      <c r="G486" s="34"/>
      <c r="H486" s="34"/>
      <c r="I486" s="34"/>
      <c r="J486" s="21"/>
      <c r="K486" s="22"/>
      <c r="L486" s="23"/>
      <c r="M486" s="24"/>
      <c r="N486" s="25"/>
      <c r="O486" s="26"/>
      <c r="P486" s="26"/>
      <c r="Q486" s="25"/>
      <c r="R486" s="25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</row>
    <row r="487">
      <c r="A487" s="31"/>
      <c r="B487" s="32"/>
      <c r="C487" s="33"/>
      <c r="D487" s="33"/>
      <c r="E487" s="27"/>
      <c r="F487" s="29"/>
      <c r="G487" s="34"/>
      <c r="H487" s="34"/>
      <c r="I487" s="34"/>
      <c r="J487" s="21"/>
      <c r="K487" s="22"/>
      <c r="L487" s="23"/>
      <c r="M487" s="24"/>
      <c r="N487" s="25"/>
      <c r="O487" s="26"/>
      <c r="P487" s="26"/>
      <c r="Q487" s="25"/>
      <c r="R487" s="25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</row>
    <row r="488">
      <c r="A488" s="31"/>
      <c r="B488" s="32"/>
      <c r="C488" s="33"/>
      <c r="D488" s="33"/>
      <c r="E488" s="27"/>
      <c r="F488" s="29"/>
      <c r="G488" s="34"/>
      <c r="H488" s="34"/>
      <c r="I488" s="34"/>
      <c r="J488" s="21"/>
      <c r="K488" s="22"/>
      <c r="L488" s="23"/>
      <c r="M488" s="24"/>
      <c r="N488" s="25"/>
      <c r="O488" s="26"/>
      <c r="P488" s="26"/>
      <c r="Q488" s="25"/>
      <c r="R488" s="25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</row>
    <row r="489">
      <c r="A489" s="31"/>
      <c r="B489" s="32"/>
      <c r="C489" s="33"/>
      <c r="D489" s="33"/>
      <c r="E489" s="27"/>
      <c r="F489" s="29"/>
      <c r="G489" s="34"/>
      <c r="H489" s="34"/>
      <c r="I489" s="34"/>
      <c r="J489" s="21"/>
      <c r="K489" s="22"/>
      <c r="L489" s="23"/>
      <c r="M489" s="24"/>
      <c r="N489" s="25"/>
      <c r="O489" s="26"/>
      <c r="P489" s="26"/>
      <c r="Q489" s="25"/>
      <c r="R489" s="25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</row>
    <row r="490">
      <c r="A490" s="31"/>
      <c r="B490" s="32"/>
      <c r="C490" s="33"/>
      <c r="D490" s="33"/>
      <c r="E490" s="27"/>
      <c r="F490" s="29"/>
      <c r="G490" s="34"/>
      <c r="H490" s="34"/>
      <c r="I490" s="34"/>
      <c r="J490" s="21"/>
      <c r="K490" s="22"/>
      <c r="L490" s="23"/>
      <c r="M490" s="24"/>
      <c r="N490" s="25"/>
      <c r="O490" s="26"/>
      <c r="P490" s="26"/>
      <c r="Q490" s="25"/>
      <c r="R490" s="25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</row>
    <row r="491">
      <c r="A491" s="31"/>
      <c r="B491" s="32"/>
      <c r="C491" s="33"/>
      <c r="D491" s="33"/>
      <c r="E491" s="27"/>
      <c r="F491" s="29"/>
      <c r="G491" s="34"/>
      <c r="H491" s="34"/>
      <c r="I491" s="34"/>
      <c r="J491" s="21"/>
      <c r="K491" s="22"/>
      <c r="L491" s="23"/>
      <c r="M491" s="24"/>
      <c r="N491" s="25"/>
      <c r="O491" s="26"/>
      <c r="P491" s="26"/>
      <c r="Q491" s="25"/>
      <c r="R491" s="25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</row>
    <row r="492">
      <c r="A492" s="31"/>
      <c r="B492" s="32"/>
      <c r="C492" s="33"/>
      <c r="D492" s="33"/>
      <c r="E492" s="27"/>
      <c r="F492" s="29"/>
      <c r="G492" s="34"/>
      <c r="H492" s="34"/>
      <c r="I492" s="34"/>
      <c r="J492" s="21"/>
      <c r="K492" s="22"/>
      <c r="L492" s="23"/>
      <c r="M492" s="24"/>
      <c r="N492" s="25"/>
      <c r="O492" s="26"/>
      <c r="P492" s="26"/>
      <c r="Q492" s="25"/>
      <c r="R492" s="25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</row>
    <row r="493">
      <c r="A493" s="31"/>
      <c r="B493" s="32"/>
      <c r="C493" s="33"/>
      <c r="D493" s="33"/>
      <c r="E493" s="27"/>
      <c r="F493" s="29"/>
      <c r="G493" s="34"/>
      <c r="H493" s="34"/>
      <c r="I493" s="34"/>
      <c r="J493" s="21"/>
      <c r="K493" s="22"/>
      <c r="L493" s="23"/>
      <c r="M493" s="24"/>
      <c r="N493" s="25"/>
      <c r="O493" s="26"/>
      <c r="P493" s="26"/>
      <c r="Q493" s="25"/>
      <c r="R493" s="25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</row>
    <row r="494">
      <c r="A494" s="31"/>
      <c r="B494" s="32"/>
      <c r="C494" s="33"/>
      <c r="D494" s="33"/>
      <c r="E494" s="27"/>
      <c r="F494" s="29"/>
      <c r="G494" s="34"/>
      <c r="H494" s="34"/>
      <c r="I494" s="34"/>
      <c r="J494" s="21"/>
      <c r="K494" s="22"/>
      <c r="L494" s="23"/>
      <c r="M494" s="24"/>
      <c r="N494" s="25"/>
      <c r="O494" s="26"/>
      <c r="P494" s="26"/>
      <c r="Q494" s="25"/>
      <c r="R494" s="25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</row>
    <row r="495">
      <c r="A495" s="31"/>
      <c r="B495" s="32"/>
      <c r="C495" s="33"/>
      <c r="D495" s="33"/>
      <c r="E495" s="27"/>
      <c r="F495" s="29"/>
      <c r="G495" s="34"/>
      <c r="H495" s="34"/>
      <c r="I495" s="34"/>
      <c r="J495" s="21"/>
      <c r="K495" s="22"/>
      <c r="L495" s="23"/>
      <c r="M495" s="24"/>
      <c r="N495" s="25"/>
      <c r="O495" s="26"/>
      <c r="P495" s="26"/>
      <c r="Q495" s="25"/>
      <c r="R495" s="25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</row>
    <row r="496">
      <c r="A496" s="31"/>
      <c r="B496" s="32"/>
      <c r="C496" s="33"/>
      <c r="D496" s="33"/>
      <c r="E496" s="27"/>
      <c r="F496" s="29"/>
      <c r="G496" s="34"/>
      <c r="H496" s="34"/>
      <c r="I496" s="34"/>
      <c r="J496" s="21"/>
      <c r="K496" s="22"/>
      <c r="L496" s="23"/>
      <c r="M496" s="24"/>
      <c r="N496" s="25"/>
      <c r="O496" s="26"/>
      <c r="P496" s="26"/>
      <c r="Q496" s="25"/>
      <c r="R496" s="25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</row>
    <row r="497">
      <c r="A497" s="31"/>
      <c r="B497" s="32"/>
      <c r="C497" s="33"/>
      <c r="D497" s="33"/>
      <c r="E497" s="27"/>
      <c r="F497" s="29"/>
      <c r="G497" s="34"/>
      <c r="H497" s="34"/>
      <c r="I497" s="34"/>
      <c r="J497" s="21"/>
      <c r="K497" s="22"/>
      <c r="L497" s="23"/>
      <c r="M497" s="24"/>
      <c r="N497" s="25"/>
      <c r="O497" s="26"/>
      <c r="P497" s="26"/>
      <c r="Q497" s="25"/>
      <c r="R497" s="25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</row>
    <row r="498">
      <c r="A498" s="31"/>
      <c r="B498" s="32"/>
      <c r="C498" s="33"/>
      <c r="D498" s="33"/>
      <c r="E498" s="27"/>
      <c r="F498" s="29"/>
      <c r="G498" s="34"/>
      <c r="H498" s="34"/>
      <c r="I498" s="34"/>
      <c r="J498" s="21"/>
      <c r="K498" s="22"/>
      <c r="L498" s="23"/>
      <c r="M498" s="24"/>
      <c r="N498" s="25"/>
      <c r="O498" s="26"/>
      <c r="P498" s="26"/>
      <c r="Q498" s="25"/>
      <c r="R498" s="25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</row>
    <row r="499">
      <c r="A499" s="31"/>
      <c r="B499" s="32"/>
      <c r="C499" s="33"/>
      <c r="D499" s="33"/>
      <c r="E499" s="27"/>
      <c r="F499" s="29"/>
      <c r="G499" s="34"/>
      <c r="H499" s="34"/>
      <c r="I499" s="34"/>
      <c r="J499" s="21"/>
      <c r="K499" s="22"/>
      <c r="L499" s="23"/>
      <c r="M499" s="24"/>
      <c r="N499" s="25"/>
      <c r="O499" s="26"/>
      <c r="P499" s="26"/>
      <c r="Q499" s="25"/>
      <c r="R499" s="25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</row>
    <row r="500">
      <c r="A500" s="31"/>
      <c r="B500" s="32"/>
      <c r="C500" s="33"/>
      <c r="D500" s="33"/>
      <c r="E500" s="27"/>
      <c r="F500" s="29"/>
      <c r="G500" s="34"/>
      <c r="H500" s="34"/>
      <c r="I500" s="34"/>
      <c r="J500" s="21"/>
      <c r="K500" s="22"/>
      <c r="L500" s="23"/>
      <c r="M500" s="24"/>
      <c r="N500" s="25"/>
      <c r="O500" s="26"/>
      <c r="P500" s="26"/>
      <c r="Q500" s="25"/>
      <c r="R500" s="25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</row>
    <row r="501">
      <c r="A501" s="31"/>
      <c r="B501" s="32"/>
      <c r="C501" s="33"/>
      <c r="D501" s="33"/>
      <c r="E501" s="27"/>
      <c r="F501" s="29"/>
      <c r="G501" s="34"/>
      <c r="H501" s="34"/>
      <c r="I501" s="34"/>
      <c r="J501" s="21"/>
      <c r="K501" s="22"/>
      <c r="L501" s="23"/>
      <c r="M501" s="24"/>
      <c r="N501" s="25"/>
      <c r="O501" s="26"/>
      <c r="P501" s="26"/>
      <c r="Q501" s="25"/>
      <c r="R501" s="25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</row>
    <row r="502">
      <c r="A502" s="31"/>
      <c r="B502" s="32"/>
      <c r="C502" s="33"/>
      <c r="D502" s="33"/>
      <c r="E502" s="27"/>
      <c r="F502" s="29"/>
      <c r="G502" s="34"/>
      <c r="H502" s="34"/>
      <c r="I502" s="34"/>
      <c r="J502" s="21"/>
      <c r="K502" s="22"/>
      <c r="L502" s="23"/>
      <c r="M502" s="24"/>
      <c r="N502" s="25"/>
      <c r="O502" s="26"/>
      <c r="P502" s="26"/>
      <c r="Q502" s="25"/>
      <c r="R502" s="25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</row>
    <row r="503">
      <c r="A503" s="31"/>
      <c r="B503" s="32"/>
      <c r="C503" s="33"/>
      <c r="D503" s="33"/>
      <c r="E503" s="27"/>
      <c r="F503" s="29"/>
      <c r="G503" s="34"/>
      <c r="H503" s="34"/>
      <c r="I503" s="34"/>
      <c r="J503" s="21"/>
      <c r="K503" s="22"/>
      <c r="L503" s="23"/>
      <c r="M503" s="24"/>
      <c r="N503" s="25"/>
      <c r="O503" s="26"/>
      <c r="P503" s="26"/>
      <c r="Q503" s="25"/>
      <c r="R503" s="25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</row>
    <row r="504">
      <c r="A504" s="31"/>
      <c r="B504" s="32"/>
      <c r="C504" s="33"/>
      <c r="D504" s="33"/>
      <c r="E504" s="27"/>
      <c r="F504" s="29"/>
      <c r="G504" s="34"/>
      <c r="H504" s="34"/>
      <c r="I504" s="34"/>
      <c r="J504" s="21"/>
      <c r="K504" s="22"/>
      <c r="L504" s="23"/>
      <c r="M504" s="24"/>
      <c r="N504" s="25"/>
      <c r="O504" s="26"/>
      <c r="P504" s="26"/>
      <c r="Q504" s="25"/>
      <c r="R504" s="25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</row>
    <row r="505">
      <c r="A505" s="31"/>
      <c r="B505" s="32"/>
      <c r="C505" s="33"/>
      <c r="D505" s="33"/>
      <c r="E505" s="27"/>
      <c r="F505" s="29"/>
      <c r="G505" s="34"/>
      <c r="H505" s="34"/>
      <c r="I505" s="34"/>
      <c r="J505" s="21"/>
      <c r="K505" s="22"/>
      <c r="L505" s="23"/>
      <c r="M505" s="24"/>
      <c r="N505" s="25"/>
      <c r="O505" s="26"/>
      <c r="P505" s="26"/>
      <c r="Q505" s="25"/>
      <c r="R505" s="25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</row>
    <row r="506">
      <c r="A506" s="31"/>
      <c r="B506" s="32"/>
      <c r="C506" s="33"/>
      <c r="D506" s="33"/>
      <c r="E506" s="27"/>
      <c r="F506" s="29"/>
      <c r="G506" s="34"/>
      <c r="H506" s="34"/>
      <c r="I506" s="34"/>
      <c r="J506" s="21"/>
      <c r="K506" s="22"/>
      <c r="L506" s="23"/>
      <c r="M506" s="24"/>
      <c r="N506" s="25"/>
      <c r="O506" s="26"/>
      <c r="P506" s="26"/>
      <c r="Q506" s="25"/>
      <c r="R506" s="25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</row>
    <row r="507">
      <c r="A507" s="31"/>
      <c r="B507" s="32"/>
      <c r="C507" s="33"/>
      <c r="D507" s="33"/>
      <c r="E507" s="27"/>
      <c r="F507" s="29"/>
      <c r="G507" s="34"/>
      <c r="H507" s="34"/>
      <c r="I507" s="34"/>
      <c r="J507" s="21"/>
      <c r="K507" s="22"/>
      <c r="L507" s="23"/>
      <c r="M507" s="24"/>
      <c r="N507" s="25"/>
      <c r="O507" s="26"/>
      <c r="P507" s="26"/>
      <c r="Q507" s="25"/>
      <c r="R507" s="25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</row>
    <row r="508">
      <c r="A508" s="31"/>
      <c r="B508" s="32"/>
      <c r="C508" s="33"/>
      <c r="D508" s="33"/>
      <c r="E508" s="27"/>
      <c r="F508" s="29"/>
      <c r="G508" s="34"/>
      <c r="H508" s="34"/>
      <c r="I508" s="34"/>
      <c r="J508" s="21"/>
      <c r="K508" s="22"/>
      <c r="L508" s="23"/>
      <c r="M508" s="24"/>
      <c r="N508" s="25"/>
      <c r="O508" s="26"/>
      <c r="P508" s="26"/>
      <c r="Q508" s="25"/>
      <c r="R508" s="25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</row>
    <row r="509">
      <c r="A509" s="31"/>
      <c r="B509" s="32"/>
      <c r="C509" s="33"/>
      <c r="D509" s="33"/>
      <c r="E509" s="27"/>
      <c r="F509" s="29"/>
      <c r="G509" s="34"/>
      <c r="H509" s="34"/>
      <c r="I509" s="34"/>
      <c r="J509" s="21"/>
      <c r="K509" s="22"/>
      <c r="L509" s="23"/>
      <c r="M509" s="24"/>
      <c r="N509" s="25"/>
      <c r="O509" s="26"/>
      <c r="P509" s="26"/>
      <c r="Q509" s="25"/>
      <c r="R509" s="25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</row>
    <row r="510">
      <c r="A510" s="31"/>
      <c r="B510" s="32"/>
      <c r="C510" s="33"/>
      <c r="D510" s="33"/>
      <c r="E510" s="27"/>
      <c r="F510" s="29"/>
      <c r="G510" s="34"/>
      <c r="H510" s="34"/>
      <c r="I510" s="34"/>
      <c r="J510" s="21"/>
      <c r="K510" s="22"/>
      <c r="L510" s="23"/>
      <c r="M510" s="24"/>
      <c r="N510" s="25"/>
      <c r="O510" s="26"/>
      <c r="P510" s="26"/>
      <c r="Q510" s="25"/>
      <c r="R510" s="25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</row>
    <row r="511">
      <c r="A511" s="31"/>
      <c r="B511" s="32"/>
      <c r="C511" s="33"/>
      <c r="D511" s="33"/>
      <c r="E511" s="27"/>
      <c r="F511" s="29"/>
      <c r="G511" s="34"/>
      <c r="H511" s="34"/>
      <c r="I511" s="34"/>
      <c r="J511" s="21"/>
      <c r="K511" s="22"/>
      <c r="L511" s="23"/>
      <c r="M511" s="24"/>
      <c r="N511" s="25"/>
      <c r="O511" s="26"/>
      <c r="P511" s="26"/>
      <c r="Q511" s="25"/>
      <c r="R511" s="25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</row>
    <row r="512">
      <c r="A512" s="31"/>
      <c r="B512" s="32"/>
      <c r="C512" s="33"/>
      <c r="D512" s="33"/>
      <c r="E512" s="27"/>
      <c r="F512" s="29"/>
      <c r="G512" s="34"/>
      <c r="H512" s="34"/>
      <c r="I512" s="34"/>
      <c r="J512" s="21"/>
      <c r="K512" s="22"/>
      <c r="L512" s="23"/>
      <c r="M512" s="24"/>
      <c r="N512" s="25"/>
      <c r="O512" s="26"/>
      <c r="P512" s="26"/>
      <c r="Q512" s="25"/>
      <c r="R512" s="25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</row>
    <row r="513">
      <c r="A513" s="31"/>
      <c r="B513" s="32"/>
      <c r="C513" s="33"/>
      <c r="D513" s="33"/>
      <c r="E513" s="27"/>
      <c r="F513" s="29"/>
      <c r="G513" s="34"/>
      <c r="H513" s="34"/>
      <c r="I513" s="34"/>
      <c r="J513" s="21"/>
      <c r="K513" s="22"/>
      <c r="L513" s="23"/>
      <c r="M513" s="24"/>
      <c r="N513" s="25"/>
      <c r="O513" s="26"/>
      <c r="P513" s="26"/>
      <c r="Q513" s="25"/>
      <c r="R513" s="25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</row>
    <row r="514">
      <c r="A514" s="31"/>
      <c r="B514" s="32"/>
      <c r="C514" s="33"/>
      <c r="D514" s="33"/>
      <c r="E514" s="27"/>
      <c r="F514" s="29"/>
      <c r="G514" s="34"/>
      <c r="H514" s="34"/>
      <c r="I514" s="34"/>
      <c r="J514" s="21"/>
      <c r="K514" s="22"/>
      <c r="L514" s="23"/>
      <c r="M514" s="24"/>
      <c r="N514" s="25"/>
      <c r="O514" s="26"/>
      <c r="P514" s="26"/>
      <c r="Q514" s="25"/>
      <c r="R514" s="25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</row>
    <row r="515">
      <c r="A515" s="31"/>
      <c r="B515" s="32"/>
      <c r="C515" s="33"/>
      <c r="D515" s="33"/>
      <c r="E515" s="27"/>
      <c r="F515" s="29"/>
      <c r="G515" s="34"/>
      <c r="H515" s="34"/>
      <c r="I515" s="34"/>
      <c r="J515" s="21"/>
      <c r="K515" s="22"/>
      <c r="L515" s="23"/>
      <c r="M515" s="24"/>
      <c r="N515" s="25"/>
      <c r="O515" s="26"/>
      <c r="P515" s="26"/>
      <c r="Q515" s="25"/>
      <c r="R515" s="25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</row>
    <row r="516">
      <c r="A516" s="31"/>
      <c r="B516" s="32"/>
      <c r="C516" s="33"/>
      <c r="D516" s="33"/>
      <c r="E516" s="27"/>
      <c r="F516" s="29"/>
      <c r="G516" s="34"/>
      <c r="H516" s="34"/>
      <c r="I516" s="34"/>
      <c r="J516" s="21"/>
      <c r="K516" s="22"/>
      <c r="L516" s="23"/>
      <c r="M516" s="24"/>
      <c r="N516" s="25"/>
      <c r="O516" s="26"/>
      <c r="P516" s="26"/>
      <c r="Q516" s="25"/>
      <c r="R516" s="25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</row>
    <row r="517">
      <c r="A517" s="31"/>
      <c r="B517" s="32"/>
      <c r="C517" s="33"/>
      <c r="D517" s="33"/>
      <c r="E517" s="27"/>
      <c r="F517" s="29"/>
      <c r="G517" s="34"/>
      <c r="H517" s="34"/>
      <c r="I517" s="34"/>
      <c r="J517" s="21"/>
      <c r="K517" s="22"/>
      <c r="L517" s="23"/>
      <c r="M517" s="24"/>
      <c r="N517" s="25"/>
      <c r="O517" s="26"/>
      <c r="P517" s="26"/>
      <c r="Q517" s="25"/>
      <c r="R517" s="25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</row>
    <row r="518">
      <c r="A518" s="31"/>
      <c r="B518" s="32"/>
      <c r="C518" s="33"/>
      <c r="D518" s="33"/>
      <c r="E518" s="27"/>
      <c r="F518" s="29"/>
      <c r="G518" s="34"/>
      <c r="H518" s="34"/>
      <c r="I518" s="34"/>
      <c r="J518" s="21"/>
      <c r="K518" s="22"/>
      <c r="L518" s="23"/>
      <c r="M518" s="24"/>
      <c r="N518" s="25"/>
      <c r="O518" s="26"/>
      <c r="P518" s="26"/>
      <c r="Q518" s="25"/>
      <c r="R518" s="25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</row>
    <row r="519">
      <c r="A519" s="31"/>
      <c r="B519" s="32"/>
      <c r="C519" s="33"/>
      <c r="D519" s="33"/>
      <c r="E519" s="27"/>
      <c r="F519" s="29"/>
      <c r="G519" s="34"/>
      <c r="H519" s="34"/>
      <c r="I519" s="34"/>
      <c r="J519" s="21"/>
      <c r="K519" s="22"/>
      <c r="L519" s="23"/>
      <c r="M519" s="24"/>
      <c r="N519" s="25"/>
      <c r="O519" s="26"/>
      <c r="P519" s="26"/>
      <c r="Q519" s="25"/>
      <c r="R519" s="25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</row>
    <row r="520">
      <c r="A520" s="31"/>
      <c r="B520" s="32"/>
      <c r="C520" s="33"/>
      <c r="D520" s="33"/>
      <c r="E520" s="27"/>
      <c r="F520" s="29"/>
      <c r="G520" s="34"/>
      <c r="H520" s="34"/>
      <c r="I520" s="34"/>
      <c r="J520" s="21"/>
      <c r="K520" s="22"/>
      <c r="L520" s="23"/>
      <c r="M520" s="24"/>
      <c r="N520" s="25"/>
      <c r="O520" s="26"/>
      <c r="P520" s="26"/>
      <c r="Q520" s="25"/>
      <c r="R520" s="25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</row>
    <row r="521">
      <c r="A521" s="31"/>
      <c r="B521" s="32"/>
      <c r="C521" s="33"/>
      <c r="D521" s="33"/>
      <c r="E521" s="27"/>
      <c r="F521" s="29"/>
      <c r="G521" s="34"/>
      <c r="H521" s="34"/>
      <c r="I521" s="34"/>
      <c r="J521" s="21"/>
      <c r="K521" s="22"/>
      <c r="L521" s="23"/>
      <c r="M521" s="24"/>
      <c r="N521" s="25"/>
      <c r="O521" s="26"/>
      <c r="P521" s="26"/>
      <c r="Q521" s="25"/>
      <c r="R521" s="25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</row>
    <row r="522">
      <c r="A522" s="31"/>
      <c r="B522" s="32"/>
      <c r="C522" s="33"/>
      <c r="D522" s="33"/>
      <c r="E522" s="27"/>
      <c r="F522" s="29"/>
      <c r="G522" s="34"/>
      <c r="H522" s="34"/>
      <c r="I522" s="34"/>
      <c r="J522" s="21"/>
      <c r="K522" s="22"/>
      <c r="L522" s="23"/>
      <c r="M522" s="24"/>
      <c r="N522" s="25"/>
      <c r="O522" s="26"/>
      <c r="P522" s="26"/>
      <c r="Q522" s="25"/>
      <c r="R522" s="25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</row>
    <row r="523">
      <c r="A523" s="31"/>
      <c r="B523" s="32"/>
      <c r="C523" s="33"/>
      <c r="D523" s="33"/>
      <c r="E523" s="27"/>
      <c r="F523" s="29"/>
      <c r="G523" s="34"/>
      <c r="H523" s="34"/>
      <c r="I523" s="34"/>
      <c r="J523" s="21"/>
      <c r="K523" s="22"/>
      <c r="L523" s="23"/>
      <c r="M523" s="24"/>
      <c r="N523" s="25"/>
      <c r="O523" s="26"/>
      <c r="P523" s="26"/>
      <c r="Q523" s="25"/>
      <c r="R523" s="25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</row>
    <row r="524">
      <c r="A524" s="31"/>
      <c r="B524" s="32"/>
      <c r="C524" s="33"/>
      <c r="D524" s="33"/>
      <c r="E524" s="27"/>
      <c r="F524" s="29"/>
      <c r="G524" s="34"/>
      <c r="H524" s="34"/>
      <c r="I524" s="34"/>
      <c r="J524" s="21"/>
      <c r="K524" s="22"/>
      <c r="L524" s="23"/>
      <c r="M524" s="24"/>
      <c r="N524" s="25"/>
      <c r="O524" s="26"/>
      <c r="P524" s="26"/>
      <c r="Q524" s="25"/>
      <c r="R524" s="25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</row>
    <row r="525">
      <c r="A525" s="31"/>
      <c r="B525" s="32"/>
      <c r="C525" s="33"/>
      <c r="D525" s="33"/>
      <c r="E525" s="27"/>
      <c r="F525" s="29"/>
      <c r="G525" s="34"/>
      <c r="H525" s="34"/>
      <c r="I525" s="34"/>
      <c r="J525" s="21"/>
      <c r="K525" s="22"/>
      <c r="L525" s="23"/>
      <c r="M525" s="24"/>
      <c r="N525" s="25"/>
      <c r="O525" s="26"/>
      <c r="P525" s="26"/>
      <c r="Q525" s="25"/>
      <c r="R525" s="25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</row>
    <row r="526">
      <c r="A526" s="31"/>
      <c r="B526" s="32"/>
      <c r="C526" s="33"/>
      <c r="D526" s="33"/>
      <c r="E526" s="27"/>
      <c r="F526" s="29"/>
      <c r="G526" s="34"/>
      <c r="H526" s="34"/>
      <c r="I526" s="34"/>
      <c r="J526" s="21"/>
      <c r="K526" s="22"/>
      <c r="L526" s="23"/>
      <c r="M526" s="24"/>
      <c r="N526" s="25"/>
      <c r="O526" s="26"/>
      <c r="P526" s="26"/>
      <c r="Q526" s="25"/>
      <c r="R526" s="25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</row>
    <row r="527">
      <c r="A527" s="31"/>
      <c r="B527" s="32"/>
      <c r="C527" s="33"/>
      <c r="D527" s="33"/>
      <c r="E527" s="27"/>
      <c r="F527" s="29"/>
      <c r="G527" s="34"/>
      <c r="H527" s="34"/>
      <c r="I527" s="34"/>
      <c r="J527" s="21"/>
      <c r="K527" s="22"/>
      <c r="L527" s="23"/>
      <c r="M527" s="24"/>
      <c r="N527" s="25"/>
      <c r="O527" s="26"/>
      <c r="P527" s="26"/>
      <c r="Q527" s="25"/>
      <c r="R527" s="25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</row>
    <row r="528">
      <c r="A528" s="31"/>
      <c r="B528" s="32"/>
      <c r="C528" s="33"/>
      <c r="D528" s="33"/>
      <c r="E528" s="27"/>
      <c r="F528" s="29"/>
      <c r="G528" s="34"/>
      <c r="H528" s="34"/>
      <c r="I528" s="34"/>
      <c r="J528" s="21"/>
      <c r="K528" s="22"/>
      <c r="L528" s="23"/>
      <c r="M528" s="24"/>
      <c r="N528" s="25"/>
      <c r="O528" s="26"/>
      <c r="P528" s="26"/>
      <c r="Q528" s="25"/>
      <c r="R528" s="25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</row>
    <row r="529">
      <c r="A529" s="31"/>
      <c r="B529" s="32"/>
      <c r="C529" s="33"/>
      <c r="D529" s="33"/>
      <c r="E529" s="27"/>
      <c r="F529" s="29"/>
      <c r="G529" s="34"/>
      <c r="H529" s="34"/>
      <c r="I529" s="34"/>
      <c r="J529" s="21"/>
      <c r="K529" s="22"/>
      <c r="L529" s="23"/>
      <c r="M529" s="24"/>
      <c r="N529" s="25"/>
      <c r="O529" s="26"/>
      <c r="P529" s="26"/>
      <c r="Q529" s="25"/>
      <c r="R529" s="25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</row>
    <row r="530">
      <c r="A530" s="31"/>
      <c r="B530" s="32"/>
      <c r="C530" s="33"/>
      <c r="D530" s="33"/>
      <c r="E530" s="27"/>
      <c r="F530" s="29"/>
      <c r="G530" s="34"/>
      <c r="H530" s="34"/>
      <c r="I530" s="34"/>
      <c r="J530" s="21"/>
      <c r="K530" s="22"/>
      <c r="L530" s="23"/>
      <c r="M530" s="24"/>
      <c r="N530" s="25"/>
      <c r="O530" s="26"/>
      <c r="P530" s="26"/>
      <c r="Q530" s="25"/>
      <c r="R530" s="25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</row>
    <row r="531">
      <c r="A531" s="31"/>
      <c r="B531" s="32"/>
      <c r="C531" s="33"/>
      <c r="D531" s="33"/>
      <c r="E531" s="27"/>
      <c r="F531" s="29"/>
      <c r="G531" s="34"/>
      <c r="H531" s="34"/>
      <c r="I531" s="34"/>
      <c r="J531" s="21"/>
      <c r="K531" s="22"/>
      <c r="L531" s="23"/>
      <c r="M531" s="24"/>
      <c r="N531" s="25"/>
      <c r="O531" s="26"/>
      <c r="P531" s="26"/>
      <c r="Q531" s="25"/>
      <c r="R531" s="25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</row>
    <row r="532">
      <c r="A532" s="31"/>
      <c r="B532" s="32"/>
      <c r="C532" s="33"/>
      <c r="D532" s="33"/>
      <c r="E532" s="27"/>
      <c r="F532" s="29"/>
      <c r="G532" s="34"/>
      <c r="H532" s="34"/>
      <c r="I532" s="34"/>
      <c r="J532" s="21"/>
      <c r="K532" s="22"/>
      <c r="L532" s="23"/>
      <c r="M532" s="24"/>
      <c r="N532" s="25"/>
      <c r="O532" s="26"/>
      <c r="P532" s="26"/>
      <c r="Q532" s="25"/>
      <c r="R532" s="25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</row>
    <row r="533">
      <c r="A533" s="31"/>
      <c r="B533" s="32"/>
      <c r="C533" s="33"/>
      <c r="D533" s="33"/>
      <c r="E533" s="27"/>
      <c r="F533" s="29"/>
      <c r="G533" s="34"/>
      <c r="H533" s="34"/>
      <c r="I533" s="34"/>
      <c r="J533" s="21"/>
      <c r="K533" s="22"/>
      <c r="L533" s="23"/>
      <c r="M533" s="24"/>
      <c r="N533" s="25"/>
      <c r="O533" s="26"/>
      <c r="P533" s="26"/>
      <c r="Q533" s="25"/>
      <c r="R533" s="25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</row>
    <row r="534">
      <c r="A534" s="31"/>
      <c r="B534" s="32"/>
      <c r="C534" s="33"/>
      <c r="D534" s="33"/>
      <c r="E534" s="27"/>
      <c r="F534" s="29"/>
      <c r="G534" s="34"/>
      <c r="H534" s="34"/>
      <c r="I534" s="34"/>
      <c r="J534" s="21"/>
      <c r="K534" s="22"/>
      <c r="L534" s="23"/>
      <c r="M534" s="24"/>
      <c r="N534" s="25"/>
      <c r="O534" s="26"/>
      <c r="P534" s="26"/>
      <c r="Q534" s="25"/>
      <c r="R534" s="25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</row>
    <row r="535">
      <c r="A535" s="31"/>
      <c r="B535" s="32"/>
      <c r="C535" s="33"/>
      <c r="D535" s="33"/>
      <c r="E535" s="27"/>
      <c r="F535" s="29"/>
      <c r="G535" s="34"/>
      <c r="H535" s="34"/>
      <c r="I535" s="34"/>
      <c r="J535" s="21"/>
      <c r="K535" s="22"/>
      <c r="L535" s="23"/>
      <c r="M535" s="24"/>
      <c r="N535" s="25"/>
      <c r="O535" s="26"/>
      <c r="P535" s="26"/>
      <c r="Q535" s="25"/>
      <c r="R535" s="25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</row>
    <row r="536">
      <c r="A536" s="31"/>
      <c r="B536" s="32"/>
      <c r="C536" s="33"/>
      <c r="D536" s="33"/>
      <c r="E536" s="27"/>
      <c r="F536" s="29"/>
      <c r="G536" s="34"/>
      <c r="H536" s="34"/>
      <c r="I536" s="34"/>
      <c r="J536" s="21"/>
      <c r="K536" s="22"/>
      <c r="L536" s="23"/>
      <c r="M536" s="24"/>
      <c r="N536" s="25"/>
      <c r="O536" s="26"/>
      <c r="P536" s="26"/>
      <c r="Q536" s="25"/>
      <c r="R536" s="25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</row>
    <row r="537">
      <c r="A537" s="31"/>
      <c r="B537" s="32"/>
      <c r="C537" s="33"/>
      <c r="D537" s="33"/>
      <c r="E537" s="27"/>
      <c r="F537" s="29"/>
      <c r="G537" s="34"/>
      <c r="H537" s="34"/>
      <c r="I537" s="34"/>
      <c r="J537" s="21"/>
      <c r="K537" s="22"/>
      <c r="L537" s="23"/>
      <c r="M537" s="24"/>
      <c r="N537" s="25"/>
      <c r="O537" s="26"/>
      <c r="P537" s="26"/>
      <c r="Q537" s="25"/>
      <c r="R537" s="25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</row>
    <row r="538">
      <c r="A538" s="31"/>
      <c r="B538" s="32"/>
      <c r="C538" s="33"/>
      <c r="D538" s="33"/>
      <c r="E538" s="27"/>
      <c r="F538" s="29"/>
      <c r="G538" s="34"/>
      <c r="H538" s="34"/>
      <c r="I538" s="34"/>
      <c r="J538" s="21"/>
      <c r="K538" s="22"/>
      <c r="L538" s="23"/>
      <c r="M538" s="24"/>
      <c r="N538" s="25"/>
      <c r="O538" s="26"/>
      <c r="P538" s="26"/>
      <c r="Q538" s="25"/>
      <c r="R538" s="25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</row>
    <row r="539">
      <c r="A539" s="31"/>
      <c r="B539" s="32"/>
      <c r="C539" s="33"/>
      <c r="D539" s="33"/>
      <c r="E539" s="27"/>
      <c r="F539" s="29"/>
      <c r="G539" s="34"/>
      <c r="H539" s="34"/>
      <c r="I539" s="34"/>
      <c r="J539" s="21"/>
      <c r="K539" s="22"/>
      <c r="L539" s="23"/>
      <c r="M539" s="24"/>
      <c r="N539" s="25"/>
      <c r="O539" s="26"/>
      <c r="P539" s="26"/>
      <c r="Q539" s="25"/>
      <c r="R539" s="25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</row>
    <row r="540">
      <c r="A540" s="31"/>
      <c r="B540" s="32"/>
      <c r="C540" s="33"/>
      <c r="D540" s="33"/>
      <c r="E540" s="27"/>
      <c r="F540" s="29"/>
      <c r="G540" s="34"/>
      <c r="H540" s="34"/>
      <c r="I540" s="34"/>
      <c r="J540" s="21"/>
      <c r="K540" s="22"/>
      <c r="L540" s="23"/>
      <c r="M540" s="24"/>
      <c r="N540" s="25"/>
      <c r="O540" s="26"/>
      <c r="P540" s="26"/>
      <c r="Q540" s="25"/>
      <c r="R540" s="25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</row>
    <row r="541">
      <c r="A541" s="31"/>
      <c r="B541" s="32"/>
      <c r="C541" s="33"/>
      <c r="D541" s="33"/>
      <c r="E541" s="27"/>
      <c r="F541" s="29"/>
      <c r="G541" s="34"/>
      <c r="H541" s="34"/>
      <c r="I541" s="34"/>
      <c r="J541" s="21"/>
      <c r="K541" s="22"/>
      <c r="L541" s="23"/>
      <c r="M541" s="24"/>
      <c r="N541" s="25"/>
      <c r="O541" s="26"/>
      <c r="P541" s="26"/>
      <c r="Q541" s="25"/>
      <c r="R541" s="25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</row>
    <row r="542">
      <c r="A542" s="31"/>
      <c r="B542" s="32"/>
      <c r="C542" s="33"/>
      <c r="D542" s="33"/>
      <c r="E542" s="27"/>
      <c r="F542" s="29"/>
      <c r="G542" s="34"/>
      <c r="H542" s="34"/>
      <c r="I542" s="34"/>
      <c r="J542" s="21"/>
      <c r="K542" s="22"/>
      <c r="L542" s="23"/>
      <c r="M542" s="24"/>
      <c r="N542" s="25"/>
      <c r="O542" s="26"/>
      <c r="P542" s="26"/>
      <c r="Q542" s="25"/>
      <c r="R542" s="25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</row>
    <row r="543">
      <c r="A543" s="31"/>
      <c r="B543" s="32"/>
      <c r="C543" s="33"/>
      <c r="D543" s="33"/>
      <c r="E543" s="27"/>
      <c r="F543" s="29"/>
      <c r="G543" s="34"/>
      <c r="H543" s="34"/>
      <c r="I543" s="34"/>
      <c r="J543" s="21"/>
      <c r="K543" s="22"/>
      <c r="L543" s="23"/>
      <c r="M543" s="24"/>
      <c r="N543" s="25"/>
      <c r="O543" s="26"/>
      <c r="P543" s="26"/>
      <c r="Q543" s="25"/>
      <c r="R543" s="25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</row>
    <row r="544">
      <c r="A544" s="31"/>
      <c r="B544" s="32"/>
      <c r="C544" s="33"/>
      <c r="D544" s="33"/>
      <c r="E544" s="27"/>
      <c r="F544" s="29"/>
      <c r="G544" s="34"/>
      <c r="H544" s="34"/>
      <c r="I544" s="34"/>
      <c r="J544" s="21"/>
      <c r="K544" s="22"/>
      <c r="L544" s="23"/>
      <c r="M544" s="24"/>
      <c r="N544" s="25"/>
      <c r="O544" s="26"/>
      <c r="P544" s="26"/>
      <c r="Q544" s="25"/>
      <c r="R544" s="25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</row>
    <row r="545">
      <c r="A545" s="31"/>
      <c r="B545" s="32"/>
      <c r="C545" s="33"/>
      <c r="D545" s="33"/>
      <c r="E545" s="27"/>
      <c r="F545" s="29"/>
      <c r="G545" s="34"/>
      <c r="H545" s="34"/>
      <c r="I545" s="34"/>
      <c r="J545" s="21"/>
      <c r="K545" s="22"/>
      <c r="L545" s="23"/>
      <c r="M545" s="24"/>
      <c r="N545" s="25"/>
      <c r="O545" s="26"/>
      <c r="P545" s="26"/>
      <c r="Q545" s="25"/>
      <c r="R545" s="25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</row>
    <row r="546">
      <c r="A546" s="31"/>
      <c r="B546" s="32"/>
      <c r="C546" s="33"/>
      <c r="D546" s="33"/>
      <c r="E546" s="27"/>
      <c r="F546" s="29"/>
      <c r="G546" s="34"/>
      <c r="H546" s="34"/>
      <c r="I546" s="34"/>
      <c r="J546" s="21"/>
      <c r="K546" s="22"/>
      <c r="L546" s="23"/>
      <c r="M546" s="24"/>
      <c r="N546" s="25"/>
      <c r="O546" s="26"/>
      <c r="P546" s="26"/>
      <c r="Q546" s="25"/>
      <c r="R546" s="25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</row>
    <row r="547">
      <c r="A547" s="31"/>
      <c r="B547" s="32"/>
      <c r="C547" s="33"/>
      <c r="D547" s="33"/>
      <c r="E547" s="27"/>
      <c r="F547" s="29"/>
      <c r="G547" s="34"/>
      <c r="H547" s="34"/>
      <c r="I547" s="34"/>
      <c r="J547" s="21"/>
      <c r="K547" s="22"/>
      <c r="L547" s="23"/>
      <c r="M547" s="24"/>
      <c r="N547" s="25"/>
      <c r="O547" s="26"/>
      <c r="P547" s="26"/>
      <c r="Q547" s="25"/>
      <c r="R547" s="25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</row>
    <row r="548">
      <c r="A548" s="31"/>
      <c r="B548" s="32"/>
      <c r="C548" s="33"/>
      <c r="D548" s="33"/>
      <c r="E548" s="27"/>
      <c r="F548" s="29"/>
      <c r="G548" s="34"/>
      <c r="H548" s="34"/>
      <c r="I548" s="34"/>
      <c r="J548" s="21"/>
      <c r="K548" s="22"/>
      <c r="L548" s="23"/>
      <c r="M548" s="24"/>
      <c r="N548" s="25"/>
      <c r="O548" s="26"/>
      <c r="P548" s="26"/>
      <c r="Q548" s="25"/>
      <c r="R548" s="25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</row>
    <row r="549">
      <c r="A549" s="31"/>
      <c r="B549" s="32"/>
      <c r="C549" s="33"/>
      <c r="D549" s="33"/>
      <c r="E549" s="27"/>
      <c r="F549" s="29"/>
      <c r="G549" s="34"/>
      <c r="H549" s="34"/>
      <c r="I549" s="34"/>
      <c r="J549" s="21"/>
      <c r="K549" s="22"/>
      <c r="L549" s="23"/>
      <c r="M549" s="24"/>
      <c r="N549" s="25"/>
      <c r="O549" s="26"/>
      <c r="P549" s="26"/>
      <c r="Q549" s="25"/>
      <c r="R549" s="25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</row>
    <row r="550">
      <c r="A550" s="31"/>
      <c r="B550" s="32"/>
      <c r="C550" s="33"/>
      <c r="D550" s="33"/>
      <c r="E550" s="27"/>
      <c r="F550" s="29"/>
      <c r="G550" s="34"/>
      <c r="H550" s="34"/>
      <c r="I550" s="34"/>
      <c r="J550" s="21"/>
      <c r="K550" s="22"/>
      <c r="L550" s="23"/>
      <c r="M550" s="24"/>
      <c r="N550" s="25"/>
      <c r="O550" s="26"/>
      <c r="P550" s="26"/>
      <c r="Q550" s="25"/>
      <c r="R550" s="25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</row>
    <row r="551">
      <c r="A551" s="31"/>
      <c r="B551" s="32"/>
      <c r="C551" s="33"/>
      <c r="D551" s="33"/>
      <c r="E551" s="27"/>
      <c r="F551" s="29"/>
      <c r="G551" s="34"/>
      <c r="H551" s="34"/>
      <c r="I551" s="34"/>
      <c r="J551" s="21"/>
      <c r="K551" s="22"/>
      <c r="L551" s="23"/>
      <c r="M551" s="24"/>
      <c r="N551" s="25"/>
      <c r="O551" s="26"/>
      <c r="P551" s="26"/>
      <c r="Q551" s="25"/>
      <c r="R551" s="25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</row>
    <row r="552">
      <c r="A552" s="31"/>
      <c r="B552" s="32"/>
      <c r="C552" s="33"/>
      <c r="D552" s="33"/>
      <c r="E552" s="27"/>
      <c r="F552" s="29"/>
      <c r="G552" s="34"/>
      <c r="H552" s="34"/>
      <c r="I552" s="34"/>
      <c r="J552" s="21"/>
      <c r="K552" s="22"/>
      <c r="L552" s="23"/>
      <c r="M552" s="24"/>
      <c r="N552" s="25"/>
      <c r="O552" s="26"/>
      <c r="P552" s="26"/>
      <c r="Q552" s="25"/>
      <c r="R552" s="25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</row>
    <row r="553">
      <c r="A553" s="31"/>
      <c r="B553" s="32"/>
      <c r="C553" s="33"/>
      <c r="D553" s="33"/>
      <c r="E553" s="27"/>
      <c r="F553" s="29"/>
      <c r="G553" s="34"/>
      <c r="H553" s="34"/>
      <c r="I553" s="34"/>
      <c r="J553" s="21"/>
      <c r="K553" s="22"/>
      <c r="L553" s="23"/>
      <c r="M553" s="24"/>
      <c r="N553" s="25"/>
      <c r="O553" s="26"/>
      <c r="P553" s="26"/>
      <c r="Q553" s="25"/>
      <c r="R553" s="25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</row>
    <row r="554">
      <c r="A554" s="31"/>
      <c r="B554" s="32"/>
      <c r="C554" s="33"/>
      <c r="D554" s="33"/>
      <c r="E554" s="27"/>
      <c r="F554" s="29"/>
      <c r="G554" s="34"/>
      <c r="H554" s="34"/>
      <c r="I554" s="34"/>
      <c r="J554" s="21"/>
      <c r="K554" s="22"/>
      <c r="L554" s="23"/>
      <c r="M554" s="24"/>
      <c r="N554" s="25"/>
      <c r="O554" s="26"/>
      <c r="P554" s="26"/>
      <c r="Q554" s="25"/>
      <c r="R554" s="25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</row>
    <row r="555">
      <c r="A555" s="31"/>
      <c r="B555" s="32"/>
      <c r="C555" s="33"/>
      <c r="D555" s="33"/>
      <c r="E555" s="27"/>
      <c r="F555" s="29"/>
      <c r="G555" s="34"/>
      <c r="H555" s="34"/>
      <c r="I555" s="34"/>
      <c r="J555" s="21"/>
      <c r="K555" s="22"/>
      <c r="L555" s="23"/>
      <c r="M555" s="24"/>
      <c r="N555" s="25"/>
      <c r="O555" s="26"/>
      <c r="P555" s="26"/>
      <c r="Q555" s="25"/>
      <c r="R555" s="25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</row>
    <row r="556">
      <c r="A556" s="31"/>
      <c r="B556" s="32"/>
      <c r="C556" s="33"/>
      <c r="D556" s="33"/>
      <c r="E556" s="27"/>
      <c r="F556" s="29"/>
      <c r="G556" s="34"/>
      <c r="H556" s="34"/>
      <c r="I556" s="34"/>
      <c r="J556" s="21"/>
      <c r="K556" s="22"/>
      <c r="L556" s="23"/>
      <c r="M556" s="24"/>
      <c r="N556" s="25"/>
      <c r="O556" s="26"/>
      <c r="P556" s="26"/>
      <c r="Q556" s="25"/>
      <c r="R556" s="25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</row>
    <row r="557">
      <c r="A557" s="31"/>
      <c r="B557" s="32"/>
      <c r="C557" s="33"/>
      <c r="D557" s="33"/>
      <c r="E557" s="27"/>
      <c r="F557" s="29"/>
      <c r="G557" s="34"/>
      <c r="H557" s="34"/>
      <c r="I557" s="34"/>
      <c r="J557" s="21"/>
      <c r="K557" s="22"/>
      <c r="L557" s="23"/>
      <c r="M557" s="24"/>
      <c r="N557" s="25"/>
      <c r="O557" s="26"/>
      <c r="P557" s="26"/>
      <c r="Q557" s="25"/>
      <c r="R557" s="25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</row>
    <row r="558">
      <c r="A558" s="31"/>
      <c r="B558" s="32"/>
      <c r="C558" s="33"/>
      <c r="D558" s="33"/>
      <c r="E558" s="27"/>
      <c r="F558" s="29"/>
      <c r="G558" s="34"/>
      <c r="H558" s="34"/>
      <c r="I558" s="34"/>
      <c r="J558" s="21"/>
      <c r="K558" s="22"/>
      <c r="L558" s="23"/>
      <c r="M558" s="24"/>
      <c r="N558" s="25"/>
      <c r="O558" s="26"/>
      <c r="P558" s="26"/>
      <c r="Q558" s="25"/>
      <c r="R558" s="25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</row>
    <row r="559">
      <c r="A559" s="31"/>
      <c r="B559" s="32"/>
      <c r="C559" s="33"/>
      <c r="D559" s="33"/>
      <c r="E559" s="27"/>
      <c r="F559" s="29"/>
      <c r="G559" s="34"/>
      <c r="H559" s="34"/>
      <c r="I559" s="34"/>
      <c r="J559" s="21"/>
      <c r="K559" s="22"/>
      <c r="L559" s="23"/>
      <c r="M559" s="24"/>
      <c r="N559" s="25"/>
      <c r="O559" s="26"/>
      <c r="P559" s="26"/>
      <c r="Q559" s="25"/>
      <c r="R559" s="25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</row>
    <row r="560">
      <c r="A560" s="31"/>
      <c r="B560" s="32"/>
      <c r="C560" s="33"/>
      <c r="D560" s="33"/>
      <c r="E560" s="27"/>
      <c r="F560" s="29"/>
      <c r="G560" s="34"/>
      <c r="H560" s="34"/>
      <c r="I560" s="34"/>
      <c r="J560" s="21"/>
      <c r="K560" s="22"/>
      <c r="L560" s="23"/>
      <c r="M560" s="24"/>
      <c r="N560" s="25"/>
      <c r="O560" s="26"/>
      <c r="P560" s="26"/>
      <c r="Q560" s="25"/>
      <c r="R560" s="25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</row>
    <row r="561">
      <c r="A561" s="31"/>
      <c r="B561" s="32"/>
      <c r="C561" s="33"/>
      <c r="D561" s="33"/>
      <c r="E561" s="27"/>
      <c r="F561" s="29"/>
      <c r="G561" s="34"/>
      <c r="H561" s="34"/>
      <c r="I561" s="34"/>
      <c r="J561" s="21"/>
      <c r="K561" s="22"/>
      <c r="L561" s="23"/>
      <c r="M561" s="24"/>
      <c r="N561" s="25"/>
      <c r="O561" s="26"/>
      <c r="P561" s="26"/>
      <c r="Q561" s="25"/>
      <c r="R561" s="25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</row>
    <row r="562">
      <c r="A562" s="31"/>
      <c r="B562" s="32"/>
      <c r="C562" s="33"/>
      <c r="D562" s="33"/>
      <c r="E562" s="27"/>
      <c r="F562" s="29"/>
      <c r="G562" s="34"/>
      <c r="H562" s="34"/>
      <c r="I562" s="34"/>
      <c r="J562" s="21"/>
      <c r="K562" s="22"/>
      <c r="L562" s="23"/>
      <c r="M562" s="24"/>
      <c r="N562" s="25"/>
      <c r="O562" s="26"/>
      <c r="P562" s="26"/>
      <c r="Q562" s="25"/>
      <c r="R562" s="25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</row>
    <row r="563">
      <c r="A563" s="31"/>
      <c r="B563" s="32"/>
      <c r="C563" s="33"/>
      <c r="D563" s="33"/>
      <c r="E563" s="27"/>
      <c r="F563" s="29"/>
      <c r="G563" s="34"/>
      <c r="H563" s="34"/>
      <c r="I563" s="34"/>
      <c r="J563" s="21"/>
      <c r="K563" s="22"/>
      <c r="L563" s="23"/>
      <c r="M563" s="24"/>
      <c r="N563" s="25"/>
      <c r="O563" s="26"/>
      <c r="P563" s="26"/>
      <c r="Q563" s="25"/>
      <c r="R563" s="25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</row>
    <row r="564">
      <c r="A564" s="31"/>
      <c r="B564" s="32"/>
      <c r="C564" s="33"/>
      <c r="D564" s="33"/>
      <c r="E564" s="27"/>
      <c r="F564" s="29"/>
      <c r="G564" s="34"/>
      <c r="H564" s="34"/>
      <c r="I564" s="34"/>
      <c r="J564" s="21"/>
      <c r="K564" s="22"/>
      <c r="L564" s="23"/>
      <c r="M564" s="24"/>
      <c r="N564" s="25"/>
      <c r="O564" s="26"/>
      <c r="P564" s="26"/>
      <c r="Q564" s="25"/>
      <c r="R564" s="25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</row>
    <row r="565">
      <c r="A565" s="31"/>
      <c r="B565" s="32"/>
      <c r="C565" s="33"/>
      <c r="D565" s="33"/>
      <c r="E565" s="27"/>
      <c r="F565" s="29"/>
      <c r="G565" s="34"/>
      <c r="H565" s="34"/>
      <c r="I565" s="34"/>
      <c r="J565" s="21"/>
      <c r="K565" s="22"/>
      <c r="L565" s="23"/>
      <c r="M565" s="24"/>
      <c r="N565" s="25"/>
      <c r="O565" s="26"/>
      <c r="P565" s="26"/>
      <c r="Q565" s="25"/>
      <c r="R565" s="25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</row>
    <row r="566">
      <c r="A566" s="31"/>
      <c r="B566" s="32"/>
      <c r="C566" s="33"/>
      <c r="D566" s="33"/>
      <c r="E566" s="27"/>
      <c r="F566" s="29"/>
      <c r="G566" s="34"/>
      <c r="H566" s="34"/>
      <c r="I566" s="34"/>
      <c r="J566" s="21"/>
      <c r="K566" s="22"/>
      <c r="L566" s="23"/>
      <c r="M566" s="24"/>
      <c r="N566" s="25"/>
      <c r="O566" s="26"/>
      <c r="P566" s="26"/>
      <c r="Q566" s="25"/>
      <c r="R566" s="25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</row>
    <row r="567">
      <c r="A567" s="31"/>
      <c r="B567" s="32"/>
      <c r="C567" s="33"/>
      <c r="D567" s="33"/>
      <c r="E567" s="27"/>
      <c r="F567" s="29"/>
      <c r="G567" s="34"/>
      <c r="H567" s="34"/>
      <c r="I567" s="34"/>
      <c r="J567" s="21"/>
      <c r="K567" s="22"/>
      <c r="L567" s="23"/>
      <c r="M567" s="24"/>
      <c r="N567" s="25"/>
      <c r="O567" s="26"/>
      <c r="P567" s="26"/>
      <c r="Q567" s="25"/>
      <c r="R567" s="25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</row>
    <row r="568">
      <c r="A568" s="31"/>
      <c r="B568" s="32"/>
      <c r="C568" s="33"/>
      <c r="D568" s="33"/>
      <c r="E568" s="27"/>
      <c r="F568" s="29"/>
      <c r="G568" s="34"/>
      <c r="H568" s="34"/>
      <c r="I568" s="34"/>
      <c r="J568" s="21"/>
      <c r="K568" s="22"/>
      <c r="L568" s="23"/>
      <c r="M568" s="24"/>
      <c r="N568" s="25"/>
      <c r="O568" s="26"/>
      <c r="P568" s="26"/>
      <c r="Q568" s="25"/>
      <c r="R568" s="25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</row>
    <row r="569">
      <c r="A569" s="31"/>
      <c r="B569" s="32"/>
      <c r="C569" s="33"/>
      <c r="D569" s="33"/>
      <c r="E569" s="27"/>
      <c r="F569" s="29"/>
      <c r="G569" s="34"/>
      <c r="H569" s="34"/>
      <c r="I569" s="34"/>
      <c r="J569" s="21"/>
      <c r="K569" s="22"/>
      <c r="L569" s="23"/>
      <c r="M569" s="24"/>
      <c r="N569" s="25"/>
      <c r="O569" s="26"/>
      <c r="P569" s="26"/>
      <c r="Q569" s="25"/>
      <c r="R569" s="25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</row>
    <row r="570">
      <c r="A570" s="31"/>
      <c r="B570" s="32"/>
      <c r="C570" s="33"/>
      <c r="D570" s="33"/>
      <c r="E570" s="27"/>
      <c r="F570" s="29"/>
      <c r="G570" s="34"/>
      <c r="H570" s="34"/>
      <c r="I570" s="34"/>
      <c r="J570" s="21"/>
      <c r="K570" s="22"/>
      <c r="L570" s="23"/>
      <c r="M570" s="24"/>
      <c r="N570" s="25"/>
      <c r="O570" s="26"/>
      <c r="P570" s="26"/>
      <c r="Q570" s="25"/>
      <c r="R570" s="25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</row>
    <row r="571">
      <c r="A571" s="31"/>
      <c r="B571" s="32"/>
      <c r="C571" s="33"/>
      <c r="D571" s="33"/>
      <c r="E571" s="27"/>
      <c r="F571" s="29"/>
      <c r="G571" s="34"/>
      <c r="H571" s="34"/>
      <c r="I571" s="34"/>
      <c r="J571" s="21"/>
      <c r="K571" s="22"/>
      <c r="L571" s="23"/>
      <c r="M571" s="24"/>
      <c r="N571" s="25"/>
      <c r="O571" s="26"/>
      <c r="P571" s="26"/>
      <c r="Q571" s="25"/>
      <c r="R571" s="25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</row>
    <row r="572">
      <c r="A572" s="31"/>
      <c r="B572" s="32"/>
      <c r="C572" s="33"/>
      <c r="D572" s="33"/>
      <c r="E572" s="27"/>
      <c r="F572" s="29"/>
      <c r="G572" s="34"/>
      <c r="H572" s="34"/>
      <c r="I572" s="34"/>
      <c r="J572" s="21"/>
      <c r="K572" s="22"/>
      <c r="L572" s="23"/>
      <c r="M572" s="24"/>
      <c r="N572" s="25"/>
      <c r="O572" s="26"/>
      <c r="P572" s="26"/>
      <c r="Q572" s="25"/>
      <c r="R572" s="25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</row>
    <row r="573">
      <c r="A573" s="31"/>
      <c r="B573" s="32"/>
      <c r="C573" s="33"/>
      <c r="D573" s="33"/>
      <c r="E573" s="27"/>
      <c r="F573" s="29"/>
      <c r="G573" s="34"/>
      <c r="H573" s="34"/>
      <c r="I573" s="34"/>
      <c r="J573" s="21"/>
      <c r="K573" s="22"/>
      <c r="L573" s="23"/>
      <c r="M573" s="24"/>
      <c r="N573" s="25"/>
      <c r="O573" s="26"/>
      <c r="P573" s="26"/>
      <c r="Q573" s="25"/>
      <c r="R573" s="25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</row>
    <row r="574">
      <c r="A574" s="31"/>
      <c r="B574" s="32"/>
      <c r="C574" s="33"/>
      <c r="D574" s="33"/>
      <c r="E574" s="27"/>
      <c r="F574" s="29"/>
      <c r="G574" s="34"/>
      <c r="H574" s="34"/>
      <c r="I574" s="34"/>
      <c r="J574" s="21"/>
      <c r="K574" s="22"/>
      <c r="L574" s="23"/>
      <c r="M574" s="24"/>
      <c r="N574" s="25"/>
      <c r="O574" s="26"/>
      <c r="P574" s="26"/>
      <c r="Q574" s="25"/>
      <c r="R574" s="25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</row>
    <row r="575">
      <c r="A575" s="31"/>
      <c r="B575" s="32"/>
      <c r="C575" s="33"/>
      <c r="D575" s="33"/>
      <c r="E575" s="27"/>
      <c r="F575" s="29"/>
      <c r="G575" s="34"/>
      <c r="H575" s="34"/>
      <c r="I575" s="34"/>
      <c r="J575" s="21"/>
      <c r="K575" s="22"/>
      <c r="L575" s="23"/>
      <c r="M575" s="24"/>
      <c r="N575" s="25"/>
      <c r="O575" s="26"/>
      <c r="P575" s="26"/>
      <c r="Q575" s="25"/>
      <c r="R575" s="25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</row>
    <row r="576">
      <c r="A576" s="31"/>
      <c r="B576" s="32"/>
      <c r="C576" s="33"/>
      <c r="D576" s="33"/>
      <c r="E576" s="27"/>
      <c r="F576" s="29"/>
      <c r="G576" s="34"/>
      <c r="H576" s="34"/>
      <c r="I576" s="34"/>
      <c r="J576" s="21"/>
      <c r="K576" s="22"/>
      <c r="L576" s="23"/>
      <c r="M576" s="24"/>
      <c r="N576" s="25"/>
      <c r="O576" s="26"/>
      <c r="P576" s="26"/>
      <c r="Q576" s="25"/>
      <c r="R576" s="25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</row>
    <row r="577">
      <c r="A577" s="31"/>
      <c r="B577" s="32"/>
      <c r="C577" s="33"/>
      <c r="D577" s="33"/>
      <c r="E577" s="27"/>
      <c r="F577" s="29"/>
      <c r="G577" s="34"/>
      <c r="H577" s="34"/>
      <c r="I577" s="34"/>
      <c r="J577" s="21"/>
      <c r="K577" s="22"/>
      <c r="L577" s="23"/>
      <c r="M577" s="24"/>
      <c r="N577" s="25"/>
      <c r="O577" s="26"/>
      <c r="P577" s="26"/>
      <c r="Q577" s="25"/>
      <c r="R577" s="25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</row>
    <row r="578">
      <c r="A578" s="31"/>
      <c r="B578" s="32"/>
      <c r="C578" s="33"/>
      <c r="D578" s="33"/>
      <c r="E578" s="27"/>
      <c r="F578" s="29"/>
      <c r="G578" s="34"/>
      <c r="H578" s="34"/>
      <c r="I578" s="34"/>
      <c r="J578" s="21"/>
      <c r="K578" s="22"/>
      <c r="L578" s="23"/>
      <c r="M578" s="24"/>
      <c r="N578" s="25"/>
      <c r="O578" s="26"/>
      <c r="P578" s="26"/>
      <c r="Q578" s="25"/>
      <c r="R578" s="25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</row>
    <row r="579">
      <c r="A579" s="31"/>
      <c r="B579" s="32"/>
      <c r="C579" s="33"/>
      <c r="D579" s="33"/>
      <c r="E579" s="27"/>
      <c r="F579" s="29"/>
      <c r="G579" s="34"/>
      <c r="H579" s="34"/>
      <c r="I579" s="34"/>
      <c r="J579" s="21"/>
      <c r="K579" s="22"/>
      <c r="L579" s="23"/>
      <c r="M579" s="24"/>
      <c r="N579" s="25"/>
      <c r="O579" s="26"/>
      <c r="P579" s="26"/>
      <c r="Q579" s="25"/>
      <c r="R579" s="25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</row>
    <row r="580">
      <c r="A580" s="31"/>
      <c r="B580" s="32"/>
      <c r="C580" s="33"/>
      <c r="D580" s="33"/>
      <c r="E580" s="27"/>
      <c r="F580" s="29"/>
      <c r="G580" s="34"/>
      <c r="H580" s="34"/>
      <c r="I580" s="34"/>
      <c r="J580" s="21"/>
      <c r="K580" s="22"/>
      <c r="L580" s="23"/>
      <c r="M580" s="24"/>
      <c r="N580" s="25"/>
      <c r="O580" s="26"/>
      <c r="P580" s="26"/>
      <c r="Q580" s="25"/>
      <c r="R580" s="25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</row>
    <row r="581">
      <c r="A581" s="31"/>
      <c r="B581" s="32"/>
      <c r="C581" s="33"/>
      <c r="D581" s="33"/>
      <c r="E581" s="27"/>
      <c r="F581" s="29"/>
      <c r="G581" s="34"/>
      <c r="H581" s="34"/>
      <c r="I581" s="34"/>
      <c r="J581" s="21"/>
      <c r="K581" s="22"/>
      <c r="L581" s="23"/>
      <c r="M581" s="24"/>
      <c r="N581" s="25"/>
      <c r="O581" s="26"/>
      <c r="P581" s="26"/>
      <c r="Q581" s="25"/>
      <c r="R581" s="25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</row>
    <row r="582">
      <c r="A582" s="31"/>
      <c r="B582" s="32"/>
      <c r="C582" s="33"/>
      <c r="D582" s="33"/>
      <c r="E582" s="27"/>
      <c r="F582" s="29"/>
      <c r="G582" s="34"/>
      <c r="H582" s="34"/>
      <c r="I582" s="34"/>
      <c r="J582" s="21"/>
      <c r="K582" s="22"/>
      <c r="L582" s="23"/>
      <c r="M582" s="24"/>
      <c r="N582" s="25"/>
      <c r="O582" s="26"/>
      <c r="P582" s="26"/>
      <c r="Q582" s="25"/>
      <c r="R582" s="25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</row>
    <row r="583">
      <c r="A583" s="31"/>
      <c r="B583" s="32"/>
      <c r="C583" s="33"/>
      <c r="D583" s="33"/>
      <c r="E583" s="27"/>
      <c r="F583" s="29"/>
      <c r="G583" s="34"/>
      <c r="H583" s="34"/>
      <c r="I583" s="34"/>
      <c r="J583" s="21"/>
      <c r="K583" s="22"/>
      <c r="L583" s="23"/>
      <c r="M583" s="24"/>
      <c r="N583" s="25"/>
      <c r="O583" s="26"/>
      <c r="P583" s="26"/>
      <c r="Q583" s="25"/>
      <c r="R583" s="25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</row>
    <row r="584">
      <c r="A584" s="31"/>
      <c r="B584" s="32"/>
      <c r="C584" s="33"/>
      <c r="D584" s="33"/>
      <c r="E584" s="27"/>
      <c r="F584" s="29"/>
      <c r="G584" s="34"/>
      <c r="H584" s="34"/>
      <c r="I584" s="34"/>
      <c r="J584" s="21"/>
      <c r="K584" s="22"/>
      <c r="L584" s="23"/>
      <c r="M584" s="24"/>
      <c r="N584" s="25"/>
      <c r="O584" s="26"/>
      <c r="P584" s="26"/>
      <c r="Q584" s="25"/>
      <c r="R584" s="25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</row>
    <row r="585">
      <c r="A585" s="31"/>
      <c r="B585" s="32"/>
      <c r="C585" s="33"/>
      <c r="D585" s="33"/>
      <c r="E585" s="27"/>
      <c r="F585" s="29"/>
      <c r="G585" s="34"/>
      <c r="H585" s="34"/>
      <c r="I585" s="34"/>
      <c r="J585" s="21"/>
      <c r="K585" s="22"/>
      <c r="L585" s="23"/>
      <c r="M585" s="24"/>
      <c r="N585" s="25"/>
      <c r="O585" s="26"/>
      <c r="P585" s="26"/>
      <c r="Q585" s="25"/>
      <c r="R585" s="25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</row>
    <row r="586">
      <c r="A586" s="31"/>
      <c r="B586" s="32"/>
      <c r="C586" s="33"/>
      <c r="D586" s="33"/>
      <c r="E586" s="27"/>
      <c r="F586" s="29"/>
      <c r="G586" s="34"/>
      <c r="H586" s="34"/>
      <c r="I586" s="34"/>
      <c r="J586" s="21"/>
      <c r="K586" s="22"/>
      <c r="L586" s="23"/>
      <c r="M586" s="24"/>
      <c r="N586" s="25"/>
      <c r="O586" s="26"/>
      <c r="P586" s="26"/>
      <c r="Q586" s="25"/>
      <c r="R586" s="25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</row>
    <row r="587">
      <c r="A587" s="31"/>
      <c r="B587" s="32"/>
      <c r="C587" s="33"/>
      <c r="D587" s="33"/>
      <c r="E587" s="27"/>
      <c r="F587" s="29"/>
      <c r="G587" s="34"/>
      <c r="H587" s="34"/>
      <c r="I587" s="34"/>
      <c r="J587" s="21"/>
      <c r="K587" s="22"/>
      <c r="L587" s="23"/>
      <c r="M587" s="24"/>
      <c r="N587" s="25"/>
      <c r="O587" s="26"/>
      <c r="P587" s="26"/>
      <c r="Q587" s="25"/>
      <c r="R587" s="25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</row>
    <row r="588">
      <c r="A588" s="31"/>
      <c r="B588" s="32"/>
      <c r="C588" s="33"/>
      <c r="D588" s="33"/>
      <c r="E588" s="27"/>
      <c r="F588" s="29"/>
      <c r="G588" s="34"/>
      <c r="H588" s="34"/>
      <c r="I588" s="34"/>
      <c r="J588" s="21"/>
      <c r="K588" s="22"/>
      <c r="L588" s="23"/>
      <c r="M588" s="24"/>
      <c r="N588" s="25"/>
      <c r="O588" s="26"/>
      <c r="P588" s="26"/>
      <c r="Q588" s="25"/>
      <c r="R588" s="25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</row>
    <row r="589">
      <c r="A589" s="31"/>
      <c r="B589" s="32"/>
      <c r="C589" s="33"/>
      <c r="D589" s="33"/>
      <c r="E589" s="27"/>
      <c r="F589" s="29"/>
      <c r="G589" s="34"/>
      <c r="H589" s="34"/>
      <c r="I589" s="34"/>
      <c r="J589" s="21"/>
      <c r="K589" s="22"/>
      <c r="L589" s="23"/>
      <c r="M589" s="24"/>
      <c r="N589" s="25"/>
      <c r="O589" s="26"/>
      <c r="P589" s="26"/>
      <c r="Q589" s="25"/>
      <c r="R589" s="25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</row>
    <row r="590">
      <c r="A590" s="31"/>
      <c r="B590" s="32"/>
      <c r="C590" s="33"/>
      <c r="D590" s="33"/>
      <c r="E590" s="27"/>
      <c r="F590" s="29"/>
      <c r="G590" s="34"/>
      <c r="H590" s="34"/>
      <c r="I590" s="34"/>
      <c r="J590" s="21"/>
      <c r="K590" s="22"/>
      <c r="L590" s="23"/>
      <c r="M590" s="24"/>
      <c r="N590" s="25"/>
      <c r="O590" s="26"/>
      <c r="P590" s="26"/>
      <c r="Q590" s="25"/>
      <c r="R590" s="25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</row>
    <row r="591">
      <c r="A591" s="31"/>
      <c r="B591" s="32"/>
      <c r="C591" s="33"/>
      <c r="D591" s="33"/>
      <c r="E591" s="27"/>
      <c r="F591" s="29"/>
      <c r="G591" s="34"/>
      <c r="H591" s="34"/>
      <c r="I591" s="34"/>
      <c r="J591" s="21"/>
      <c r="K591" s="22"/>
      <c r="L591" s="23"/>
      <c r="M591" s="24"/>
      <c r="N591" s="25"/>
      <c r="O591" s="26"/>
      <c r="P591" s="26"/>
      <c r="Q591" s="25"/>
      <c r="R591" s="25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</row>
    <row r="592">
      <c r="A592" s="31"/>
      <c r="B592" s="32"/>
      <c r="C592" s="33"/>
      <c r="D592" s="33"/>
      <c r="E592" s="27"/>
      <c r="F592" s="29"/>
      <c r="G592" s="34"/>
      <c r="H592" s="34"/>
      <c r="I592" s="34"/>
      <c r="J592" s="21"/>
      <c r="K592" s="22"/>
      <c r="L592" s="23"/>
      <c r="M592" s="24"/>
      <c r="N592" s="25"/>
      <c r="O592" s="26"/>
      <c r="P592" s="26"/>
      <c r="Q592" s="25"/>
      <c r="R592" s="25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</row>
    <row r="593">
      <c r="A593" s="31"/>
      <c r="B593" s="32"/>
      <c r="C593" s="33"/>
      <c r="D593" s="33"/>
      <c r="E593" s="27"/>
      <c r="F593" s="29"/>
      <c r="G593" s="34"/>
      <c r="H593" s="34"/>
      <c r="I593" s="34"/>
      <c r="J593" s="21"/>
      <c r="K593" s="22"/>
      <c r="L593" s="23"/>
      <c r="M593" s="24"/>
      <c r="N593" s="25"/>
      <c r="O593" s="26"/>
      <c r="P593" s="26"/>
      <c r="Q593" s="25"/>
      <c r="R593" s="25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</row>
    <row r="594">
      <c r="A594" s="31"/>
      <c r="B594" s="32"/>
      <c r="C594" s="33"/>
      <c r="D594" s="33"/>
      <c r="E594" s="27"/>
      <c r="F594" s="29"/>
      <c r="G594" s="34"/>
      <c r="H594" s="34"/>
      <c r="I594" s="34"/>
      <c r="J594" s="21"/>
      <c r="K594" s="22"/>
      <c r="L594" s="23"/>
      <c r="M594" s="24"/>
      <c r="N594" s="25"/>
      <c r="O594" s="26"/>
      <c r="P594" s="26"/>
      <c r="Q594" s="25"/>
      <c r="R594" s="25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</row>
    <row r="595">
      <c r="A595" s="31"/>
      <c r="B595" s="32"/>
      <c r="C595" s="33"/>
      <c r="D595" s="33"/>
      <c r="E595" s="27"/>
      <c r="F595" s="29"/>
      <c r="G595" s="34"/>
      <c r="H595" s="34"/>
      <c r="I595" s="34"/>
      <c r="J595" s="21"/>
      <c r="K595" s="22"/>
      <c r="L595" s="23"/>
      <c r="M595" s="24"/>
      <c r="N595" s="25"/>
      <c r="O595" s="26"/>
      <c r="P595" s="26"/>
      <c r="Q595" s="25"/>
      <c r="R595" s="25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</row>
    <row r="596">
      <c r="A596" s="31"/>
      <c r="B596" s="32"/>
      <c r="C596" s="33"/>
      <c r="D596" s="33"/>
      <c r="E596" s="27"/>
      <c r="F596" s="29"/>
      <c r="G596" s="34"/>
      <c r="H596" s="34"/>
      <c r="I596" s="34"/>
      <c r="J596" s="21"/>
      <c r="K596" s="22"/>
      <c r="L596" s="23"/>
      <c r="M596" s="24"/>
      <c r="N596" s="25"/>
      <c r="O596" s="26"/>
      <c r="P596" s="26"/>
      <c r="Q596" s="25"/>
      <c r="R596" s="25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</row>
    <row r="597">
      <c r="A597" s="31"/>
      <c r="B597" s="32"/>
      <c r="C597" s="33"/>
      <c r="D597" s="33"/>
      <c r="E597" s="27"/>
      <c r="F597" s="29"/>
      <c r="G597" s="34"/>
      <c r="H597" s="34"/>
      <c r="I597" s="34"/>
      <c r="J597" s="21"/>
      <c r="K597" s="22"/>
      <c r="L597" s="23"/>
      <c r="M597" s="24"/>
      <c r="N597" s="25"/>
      <c r="O597" s="26"/>
      <c r="P597" s="26"/>
      <c r="Q597" s="25"/>
      <c r="R597" s="25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</row>
    <row r="598">
      <c r="A598" s="31"/>
      <c r="B598" s="32"/>
      <c r="C598" s="33"/>
      <c r="D598" s="33"/>
      <c r="E598" s="27"/>
      <c r="F598" s="29"/>
      <c r="G598" s="34"/>
      <c r="H598" s="34"/>
      <c r="I598" s="34"/>
      <c r="J598" s="21"/>
      <c r="K598" s="22"/>
      <c r="L598" s="23"/>
      <c r="M598" s="24"/>
      <c r="N598" s="25"/>
      <c r="O598" s="26"/>
      <c r="P598" s="26"/>
      <c r="Q598" s="25"/>
      <c r="R598" s="25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</row>
    <row r="599">
      <c r="A599" s="31"/>
      <c r="B599" s="32"/>
      <c r="C599" s="33"/>
      <c r="D599" s="33"/>
      <c r="E599" s="27"/>
      <c r="F599" s="29"/>
      <c r="G599" s="34"/>
      <c r="H599" s="34"/>
      <c r="I599" s="34"/>
      <c r="J599" s="21"/>
      <c r="K599" s="22"/>
      <c r="L599" s="23"/>
      <c r="M599" s="24"/>
      <c r="N599" s="25"/>
      <c r="O599" s="26"/>
      <c r="P599" s="26"/>
      <c r="Q599" s="25"/>
      <c r="R599" s="25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</row>
    <row r="600">
      <c r="A600" s="31"/>
      <c r="B600" s="32"/>
      <c r="C600" s="33"/>
      <c r="D600" s="33"/>
      <c r="E600" s="27"/>
      <c r="F600" s="29"/>
      <c r="G600" s="34"/>
      <c r="H600" s="34"/>
      <c r="I600" s="34"/>
      <c r="J600" s="21"/>
      <c r="K600" s="22"/>
      <c r="L600" s="23"/>
      <c r="M600" s="24"/>
      <c r="N600" s="25"/>
      <c r="O600" s="26"/>
      <c r="P600" s="26"/>
      <c r="Q600" s="25"/>
      <c r="R600" s="25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</row>
    <row r="601">
      <c r="A601" s="31"/>
      <c r="B601" s="32"/>
      <c r="C601" s="33"/>
      <c r="D601" s="33"/>
      <c r="E601" s="27"/>
      <c r="F601" s="29"/>
      <c r="G601" s="34"/>
      <c r="H601" s="34"/>
      <c r="I601" s="34"/>
      <c r="J601" s="21"/>
      <c r="K601" s="22"/>
      <c r="L601" s="23"/>
      <c r="M601" s="24"/>
      <c r="N601" s="25"/>
      <c r="O601" s="26"/>
      <c r="P601" s="26"/>
      <c r="Q601" s="25"/>
      <c r="R601" s="25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</row>
    <row r="602">
      <c r="A602" s="31"/>
      <c r="B602" s="32"/>
      <c r="C602" s="33"/>
      <c r="D602" s="33"/>
      <c r="E602" s="27"/>
      <c r="F602" s="29"/>
      <c r="G602" s="34"/>
      <c r="H602" s="34"/>
      <c r="I602" s="34"/>
      <c r="J602" s="21"/>
      <c r="K602" s="22"/>
      <c r="L602" s="23"/>
      <c r="M602" s="24"/>
      <c r="N602" s="25"/>
      <c r="O602" s="26"/>
      <c r="P602" s="26"/>
      <c r="Q602" s="25"/>
      <c r="R602" s="25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</row>
    <row r="603">
      <c r="A603" s="31"/>
      <c r="B603" s="32"/>
      <c r="C603" s="33"/>
      <c r="D603" s="33"/>
      <c r="E603" s="27"/>
      <c r="F603" s="29"/>
      <c r="G603" s="34"/>
      <c r="H603" s="34"/>
      <c r="I603" s="34"/>
      <c r="J603" s="21"/>
      <c r="K603" s="22"/>
      <c r="L603" s="23"/>
      <c r="M603" s="24"/>
      <c r="N603" s="25"/>
      <c r="O603" s="26"/>
      <c r="P603" s="26"/>
      <c r="Q603" s="25"/>
      <c r="R603" s="25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</row>
    <row r="604">
      <c r="A604" s="31"/>
      <c r="B604" s="32"/>
      <c r="C604" s="33"/>
      <c r="D604" s="33"/>
      <c r="E604" s="27"/>
      <c r="F604" s="29"/>
      <c r="G604" s="34"/>
      <c r="H604" s="34"/>
      <c r="I604" s="34"/>
      <c r="J604" s="21"/>
      <c r="K604" s="22"/>
      <c r="L604" s="23"/>
      <c r="M604" s="24"/>
      <c r="N604" s="25"/>
      <c r="O604" s="26"/>
      <c r="P604" s="26"/>
      <c r="Q604" s="25"/>
      <c r="R604" s="25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</row>
    <row r="605">
      <c r="A605" s="31"/>
      <c r="B605" s="32"/>
      <c r="C605" s="33"/>
      <c r="D605" s="33"/>
      <c r="E605" s="27"/>
      <c r="F605" s="29"/>
      <c r="G605" s="34"/>
      <c r="H605" s="34"/>
      <c r="I605" s="34"/>
      <c r="J605" s="21"/>
      <c r="K605" s="22"/>
      <c r="L605" s="23"/>
      <c r="M605" s="24"/>
      <c r="N605" s="25"/>
      <c r="O605" s="26"/>
      <c r="P605" s="26"/>
      <c r="Q605" s="25"/>
      <c r="R605" s="25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</row>
    <row r="606">
      <c r="A606" s="31"/>
      <c r="B606" s="32"/>
      <c r="C606" s="33"/>
      <c r="D606" s="33"/>
      <c r="E606" s="27"/>
      <c r="F606" s="29"/>
      <c r="G606" s="34"/>
      <c r="H606" s="34"/>
      <c r="I606" s="34"/>
      <c r="J606" s="21"/>
      <c r="K606" s="22"/>
      <c r="L606" s="23"/>
      <c r="M606" s="24"/>
      <c r="N606" s="25"/>
      <c r="O606" s="26"/>
      <c r="P606" s="26"/>
      <c r="Q606" s="25"/>
      <c r="R606" s="25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</row>
    <row r="607">
      <c r="A607" s="31"/>
      <c r="B607" s="32"/>
      <c r="C607" s="33"/>
      <c r="D607" s="33"/>
      <c r="E607" s="27"/>
      <c r="F607" s="29"/>
      <c r="G607" s="34"/>
      <c r="H607" s="34"/>
      <c r="I607" s="34"/>
      <c r="J607" s="21"/>
      <c r="K607" s="22"/>
      <c r="L607" s="23"/>
      <c r="M607" s="24"/>
      <c r="N607" s="25"/>
      <c r="O607" s="26"/>
      <c r="P607" s="26"/>
      <c r="Q607" s="25"/>
      <c r="R607" s="25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</row>
    <row r="608">
      <c r="A608" s="31"/>
      <c r="B608" s="32"/>
      <c r="C608" s="33"/>
      <c r="D608" s="33"/>
      <c r="E608" s="27"/>
      <c r="F608" s="29"/>
      <c r="G608" s="34"/>
      <c r="H608" s="34"/>
      <c r="I608" s="34"/>
      <c r="J608" s="21"/>
      <c r="K608" s="22"/>
      <c r="L608" s="23"/>
      <c r="M608" s="24"/>
      <c r="N608" s="25"/>
      <c r="O608" s="26"/>
      <c r="P608" s="26"/>
      <c r="Q608" s="25"/>
      <c r="R608" s="25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</row>
    <row r="609">
      <c r="A609" s="31"/>
      <c r="B609" s="32"/>
      <c r="C609" s="33"/>
      <c r="D609" s="33"/>
      <c r="E609" s="27"/>
      <c r="F609" s="29"/>
      <c r="G609" s="34"/>
      <c r="H609" s="34"/>
      <c r="I609" s="34"/>
      <c r="J609" s="21"/>
      <c r="K609" s="22"/>
      <c r="L609" s="23"/>
      <c r="M609" s="24"/>
      <c r="N609" s="25"/>
      <c r="O609" s="26"/>
      <c r="P609" s="26"/>
      <c r="Q609" s="25"/>
      <c r="R609" s="25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</row>
    <row r="610">
      <c r="A610" s="31"/>
      <c r="B610" s="32"/>
      <c r="C610" s="33"/>
      <c r="D610" s="33"/>
      <c r="E610" s="27"/>
      <c r="F610" s="29"/>
      <c r="G610" s="34"/>
      <c r="H610" s="34"/>
      <c r="I610" s="34"/>
      <c r="J610" s="21"/>
      <c r="K610" s="22"/>
      <c r="L610" s="23"/>
      <c r="M610" s="24"/>
      <c r="N610" s="25"/>
      <c r="O610" s="26"/>
      <c r="P610" s="26"/>
      <c r="Q610" s="25"/>
      <c r="R610" s="25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</row>
    <row r="611">
      <c r="A611" s="31"/>
      <c r="B611" s="32"/>
      <c r="C611" s="33"/>
      <c r="D611" s="33"/>
      <c r="E611" s="27"/>
      <c r="F611" s="29"/>
      <c r="G611" s="34"/>
      <c r="H611" s="34"/>
      <c r="I611" s="34"/>
      <c r="J611" s="21"/>
      <c r="K611" s="22"/>
      <c r="L611" s="23"/>
      <c r="M611" s="24"/>
      <c r="N611" s="25"/>
      <c r="O611" s="26"/>
      <c r="P611" s="26"/>
      <c r="Q611" s="25"/>
      <c r="R611" s="25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</row>
    <row r="612">
      <c r="A612" s="31"/>
      <c r="B612" s="32"/>
      <c r="C612" s="33"/>
      <c r="D612" s="33"/>
      <c r="E612" s="27"/>
      <c r="F612" s="29"/>
      <c r="G612" s="34"/>
      <c r="H612" s="34"/>
      <c r="I612" s="34"/>
      <c r="J612" s="21"/>
      <c r="K612" s="22"/>
      <c r="L612" s="23"/>
      <c r="M612" s="24"/>
      <c r="N612" s="25"/>
      <c r="O612" s="26"/>
      <c r="P612" s="26"/>
      <c r="Q612" s="25"/>
      <c r="R612" s="25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</row>
    <row r="613">
      <c r="A613" s="31"/>
      <c r="B613" s="32"/>
      <c r="C613" s="33"/>
      <c r="D613" s="33"/>
      <c r="E613" s="27"/>
      <c r="F613" s="29"/>
      <c r="G613" s="34"/>
      <c r="H613" s="34"/>
      <c r="I613" s="34"/>
      <c r="J613" s="21"/>
      <c r="K613" s="22"/>
      <c r="L613" s="23"/>
      <c r="M613" s="24"/>
      <c r="N613" s="25"/>
      <c r="O613" s="26"/>
      <c r="P613" s="26"/>
      <c r="Q613" s="25"/>
      <c r="R613" s="25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</row>
    <row r="614">
      <c r="A614" s="31"/>
      <c r="B614" s="32"/>
      <c r="C614" s="33"/>
      <c r="D614" s="33"/>
      <c r="E614" s="27"/>
      <c r="F614" s="29"/>
      <c r="G614" s="34"/>
      <c r="H614" s="34"/>
      <c r="I614" s="34"/>
      <c r="J614" s="21"/>
      <c r="K614" s="22"/>
      <c r="L614" s="23"/>
      <c r="M614" s="24"/>
      <c r="N614" s="25"/>
      <c r="O614" s="26"/>
      <c r="P614" s="26"/>
      <c r="Q614" s="25"/>
      <c r="R614" s="25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</row>
    <row r="615">
      <c r="A615" s="31"/>
      <c r="B615" s="32"/>
      <c r="C615" s="33"/>
      <c r="D615" s="33"/>
      <c r="E615" s="27"/>
      <c r="F615" s="29"/>
      <c r="G615" s="34"/>
      <c r="H615" s="34"/>
      <c r="I615" s="34"/>
      <c r="J615" s="21"/>
      <c r="K615" s="22"/>
      <c r="L615" s="23"/>
      <c r="M615" s="24"/>
      <c r="N615" s="25"/>
      <c r="O615" s="26"/>
      <c r="P615" s="26"/>
      <c r="Q615" s="25"/>
      <c r="R615" s="25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</row>
    <row r="616">
      <c r="A616" s="31"/>
      <c r="B616" s="32"/>
      <c r="C616" s="33"/>
      <c r="D616" s="33"/>
      <c r="E616" s="27"/>
      <c r="F616" s="29"/>
      <c r="G616" s="34"/>
      <c r="H616" s="34"/>
      <c r="I616" s="34"/>
      <c r="J616" s="21"/>
      <c r="K616" s="22"/>
      <c r="L616" s="23"/>
      <c r="M616" s="24"/>
      <c r="N616" s="25"/>
      <c r="O616" s="26"/>
      <c r="P616" s="26"/>
      <c r="Q616" s="25"/>
      <c r="R616" s="25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</row>
    <row r="617">
      <c r="A617" s="31"/>
      <c r="B617" s="32"/>
      <c r="C617" s="33"/>
      <c r="D617" s="33"/>
      <c r="E617" s="27"/>
      <c r="F617" s="29"/>
      <c r="G617" s="34"/>
      <c r="H617" s="34"/>
      <c r="I617" s="34"/>
      <c r="J617" s="21"/>
      <c r="K617" s="22"/>
      <c r="L617" s="23"/>
      <c r="M617" s="24"/>
      <c r="N617" s="25"/>
      <c r="O617" s="26"/>
      <c r="P617" s="26"/>
      <c r="Q617" s="25"/>
      <c r="R617" s="25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</row>
    <row r="618">
      <c r="A618" s="31"/>
      <c r="B618" s="32"/>
      <c r="C618" s="33"/>
      <c r="D618" s="33"/>
      <c r="E618" s="27"/>
      <c r="F618" s="29"/>
      <c r="G618" s="34"/>
      <c r="H618" s="34"/>
      <c r="I618" s="34"/>
      <c r="J618" s="21"/>
      <c r="K618" s="22"/>
      <c r="L618" s="23"/>
      <c r="M618" s="24"/>
      <c r="N618" s="25"/>
      <c r="O618" s="26"/>
      <c r="P618" s="26"/>
      <c r="Q618" s="25"/>
      <c r="R618" s="25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</row>
    <row r="619">
      <c r="A619" s="31"/>
      <c r="B619" s="32"/>
      <c r="C619" s="33"/>
      <c r="D619" s="33"/>
      <c r="E619" s="27"/>
      <c r="F619" s="29"/>
      <c r="G619" s="34"/>
      <c r="H619" s="34"/>
      <c r="I619" s="34"/>
      <c r="J619" s="21"/>
      <c r="K619" s="22"/>
      <c r="L619" s="23"/>
      <c r="M619" s="24"/>
      <c r="N619" s="25"/>
      <c r="O619" s="26"/>
      <c r="P619" s="26"/>
      <c r="Q619" s="25"/>
      <c r="R619" s="25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</row>
    <row r="620">
      <c r="A620" s="31"/>
      <c r="B620" s="32"/>
      <c r="C620" s="33"/>
      <c r="D620" s="33"/>
      <c r="E620" s="27"/>
      <c r="F620" s="29"/>
      <c r="G620" s="34"/>
      <c r="H620" s="34"/>
      <c r="I620" s="34"/>
      <c r="J620" s="21"/>
      <c r="K620" s="22"/>
      <c r="L620" s="23"/>
      <c r="M620" s="24"/>
      <c r="N620" s="25"/>
      <c r="O620" s="26"/>
      <c r="P620" s="26"/>
      <c r="Q620" s="25"/>
      <c r="R620" s="25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</row>
    <row r="621">
      <c r="A621" s="31"/>
      <c r="B621" s="32"/>
      <c r="C621" s="33"/>
      <c r="D621" s="33"/>
      <c r="E621" s="27"/>
      <c r="F621" s="29"/>
      <c r="G621" s="34"/>
      <c r="H621" s="34"/>
      <c r="I621" s="34"/>
      <c r="J621" s="21"/>
      <c r="K621" s="22"/>
      <c r="L621" s="23"/>
      <c r="M621" s="24"/>
      <c r="N621" s="25"/>
      <c r="O621" s="26"/>
      <c r="P621" s="26"/>
      <c r="Q621" s="25"/>
      <c r="R621" s="25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</row>
    <row r="622">
      <c r="A622" s="31"/>
      <c r="B622" s="32"/>
      <c r="C622" s="33"/>
      <c r="D622" s="33"/>
      <c r="E622" s="27"/>
      <c r="F622" s="29"/>
      <c r="G622" s="34"/>
      <c r="H622" s="34"/>
      <c r="I622" s="34"/>
      <c r="J622" s="21"/>
      <c r="K622" s="22"/>
      <c r="L622" s="23"/>
      <c r="M622" s="24"/>
      <c r="N622" s="25"/>
      <c r="O622" s="26"/>
      <c r="P622" s="26"/>
      <c r="Q622" s="25"/>
      <c r="R622" s="25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</row>
    <row r="623">
      <c r="A623" s="31"/>
      <c r="B623" s="32"/>
      <c r="C623" s="33"/>
      <c r="D623" s="33"/>
      <c r="E623" s="27"/>
      <c r="F623" s="29"/>
      <c r="G623" s="34"/>
      <c r="H623" s="34"/>
      <c r="I623" s="34"/>
      <c r="J623" s="21"/>
      <c r="K623" s="22"/>
      <c r="L623" s="23"/>
      <c r="M623" s="24"/>
      <c r="N623" s="25"/>
      <c r="O623" s="26"/>
      <c r="P623" s="26"/>
      <c r="Q623" s="25"/>
      <c r="R623" s="25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</row>
    <row r="624">
      <c r="A624" s="31"/>
      <c r="B624" s="32"/>
      <c r="C624" s="33"/>
      <c r="D624" s="33"/>
      <c r="E624" s="27"/>
      <c r="F624" s="29"/>
      <c r="G624" s="34"/>
      <c r="H624" s="34"/>
      <c r="I624" s="34"/>
      <c r="J624" s="21"/>
      <c r="K624" s="22"/>
      <c r="L624" s="23"/>
      <c r="M624" s="24"/>
      <c r="N624" s="25"/>
      <c r="O624" s="26"/>
      <c r="P624" s="26"/>
      <c r="Q624" s="25"/>
      <c r="R624" s="25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</row>
    <row r="625">
      <c r="A625" s="31"/>
      <c r="B625" s="32"/>
      <c r="C625" s="33"/>
      <c r="D625" s="33"/>
      <c r="E625" s="27"/>
      <c r="F625" s="29"/>
      <c r="G625" s="34"/>
      <c r="H625" s="34"/>
      <c r="I625" s="34"/>
      <c r="J625" s="21"/>
      <c r="K625" s="22"/>
      <c r="L625" s="23"/>
      <c r="M625" s="24"/>
      <c r="N625" s="25"/>
      <c r="O625" s="26"/>
      <c r="P625" s="26"/>
      <c r="Q625" s="25"/>
      <c r="R625" s="25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</row>
    <row r="626">
      <c r="A626" s="31"/>
      <c r="B626" s="32"/>
      <c r="C626" s="33"/>
      <c r="D626" s="33"/>
      <c r="E626" s="27"/>
      <c r="F626" s="29"/>
      <c r="G626" s="34"/>
      <c r="H626" s="34"/>
      <c r="I626" s="34"/>
      <c r="J626" s="21"/>
      <c r="K626" s="22"/>
      <c r="L626" s="23"/>
      <c r="M626" s="24"/>
      <c r="N626" s="25"/>
      <c r="O626" s="26"/>
      <c r="P626" s="26"/>
      <c r="Q626" s="25"/>
      <c r="R626" s="25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</row>
    <row r="627">
      <c r="A627" s="31"/>
      <c r="B627" s="32"/>
      <c r="C627" s="33"/>
      <c r="D627" s="33"/>
      <c r="E627" s="27"/>
      <c r="F627" s="29"/>
      <c r="G627" s="34"/>
      <c r="H627" s="34"/>
      <c r="I627" s="34"/>
      <c r="J627" s="21"/>
      <c r="K627" s="22"/>
      <c r="L627" s="23"/>
      <c r="M627" s="24"/>
      <c r="N627" s="25"/>
      <c r="O627" s="26"/>
      <c r="P627" s="26"/>
      <c r="Q627" s="25"/>
      <c r="R627" s="25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</row>
    <row r="628">
      <c r="A628" s="31"/>
      <c r="B628" s="32"/>
      <c r="C628" s="33"/>
      <c r="D628" s="33"/>
      <c r="E628" s="27"/>
      <c r="F628" s="29"/>
      <c r="G628" s="34"/>
      <c r="H628" s="34"/>
      <c r="I628" s="34"/>
      <c r="J628" s="21"/>
      <c r="K628" s="22"/>
      <c r="L628" s="23"/>
      <c r="M628" s="24"/>
      <c r="N628" s="25"/>
      <c r="O628" s="26"/>
      <c r="P628" s="26"/>
      <c r="Q628" s="25"/>
      <c r="R628" s="25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</row>
    <row r="629">
      <c r="A629" s="31"/>
      <c r="B629" s="32"/>
      <c r="C629" s="33"/>
      <c r="D629" s="33"/>
      <c r="E629" s="27"/>
      <c r="F629" s="29"/>
      <c r="G629" s="34"/>
      <c r="H629" s="34"/>
      <c r="I629" s="34"/>
      <c r="J629" s="21"/>
      <c r="K629" s="22"/>
      <c r="L629" s="23"/>
      <c r="M629" s="24"/>
      <c r="N629" s="25"/>
      <c r="O629" s="26"/>
      <c r="P629" s="26"/>
      <c r="Q629" s="25"/>
      <c r="R629" s="25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</row>
    <row r="630">
      <c r="A630" s="31"/>
      <c r="B630" s="32"/>
      <c r="C630" s="33"/>
      <c r="D630" s="33"/>
      <c r="E630" s="27"/>
      <c r="F630" s="29"/>
      <c r="G630" s="34"/>
      <c r="H630" s="34"/>
      <c r="I630" s="34"/>
      <c r="J630" s="21"/>
      <c r="K630" s="22"/>
      <c r="L630" s="23"/>
      <c r="M630" s="24"/>
      <c r="N630" s="25"/>
      <c r="O630" s="26"/>
      <c r="P630" s="26"/>
      <c r="Q630" s="25"/>
      <c r="R630" s="25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</row>
    <row r="631">
      <c r="A631" s="31"/>
      <c r="B631" s="32"/>
      <c r="C631" s="33"/>
      <c r="D631" s="33"/>
      <c r="E631" s="27"/>
      <c r="F631" s="29"/>
      <c r="G631" s="34"/>
      <c r="H631" s="34"/>
      <c r="I631" s="34"/>
      <c r="J631" s="21"/>
      <c r="K631" s="22"/>
      <c r="L631" s="23"/>
      <c r="M631" s="24"/>
      <c r="N631" s="25"/>
      <c r="O631" s="26"/>
      <c r="P631" s="26"/>
      <c r="Q631" s="25"/>
      <c r="R631" s="25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</row>
    <row r="632">
      <c r="A632" s="31"/>
      <c r="B632" s="32"/>
      <c r="C632" s="33"/>
      <c r="D632" s="33"/>
      <c r="E632" s="27"/>
      <c r="F632" s="29"/>
      <c r="G632" s="34"/>
      <c r="H632" s="34"/>
      <c r="I632" s="34"/>
      <c r="J632" s="21"/>
      <c r="K632" s="22"/>
      <c r="L632" s="23"/>
      <c r="M632" s="24"/>
      <c r="N632" s="25"/>
      <c r="O632" s="26"/>
      <c r="P632" s="26"/>
      <c r="Q632" s="25"/>
      <c r="R632" s="25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</row>
    <row r="633">
      <c r="A633" s="31"/>
      <c r="B633" s="32"/>
      <c r="C633" s="33"/>
      <c r="D633" s="33"/>
      <c r="E633" s="27"/>
      <c r="F633" s="29"/>
      <c r="G633" s="34"/>
      <c r="H633" s="34"/>
      <c r="I633" s="34"/>
      <c r="J633" s="21"/>
      <c r="K633" s="22"/>
      <c r="L633" s="23"/>
      <c r="M633" s="24"/>
      <c r="N633" s="25"/>
      <c r="O633" s="26"/>
      <c r="P633" s="26"/>
      <c r="Q633" s="25"/>
      <c r="R633" s="25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</row>
    <row r="634">
      <c r="A634" s="31"/>
      <c r="B634" s="32"/>
      <c r="C634" s="33"/>
      <c r="D634" s="33"/>
      <c r="E634" s="27"/>
      <c r="F634" s="29"/>
      <c r="G634" s="34"/>
      <c r="H634" s="34"/>
      <c r="I634" s="34"/>
      <c r="J634" s="21"/>
      <c r="K634" s="22"/>
      <c r="L634" s="23"/>
      <c r="M634" s="24"/>
      <c r="N634" s="25"/>
      <c r="O634" s="26"/>
      <c r="P634" s="26"/>
      <c r="Q634" s="25"/>
      <c r="R634" s="25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</row>
    <row r="635">
      <c r="A635" s="31"/>
      <c r="B635" s="32"/>
      <c r="C635" s="33"/>
      <c r="D635" s="33"/>
      <c r="E635" s="27"/>
      <c r="F635" s="29"/>
      <c r="G635" s="34"/>
      <c r="H635" s="34"/>
      <c r="I635" s="34"/>
      <c r="J635" s="21"/>
      <c r="K635" s="22"/>
      <c r="L635" s="23"/>
      <c r="M635" s="24"/>
      <c r="N635" s="25"/>
      <c r="O635" s="26"/>
      <c r="P635" s="26"/>
      <c r="Q635" s="25"/>
      <c r="R635" s="25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</row>
    <row r="636">
      <c r="A636" s="31"/>
      <c r="B636" s="32"/>
      <c r="C636" s="33"/>
      <c r="D636" s="33"/>
      <c r="E636" s="27"/>
      <c r="F636" s="29"/>
      <c r="G636" s="34"/>
      <c r="H636" s="34"/>
      <c r="I636" s="34"/>
      <c r="J636" s="21"/>
      <c r="K636" s="22"/>
      <c r="L636" s="23"/>
      <c r="M636" s="24"/>
      <c r="N636" s="25"/>
      <c r="O636" s="26"/>
      <c r="P636" s="26"/>
      <c r="Q636" s="25"/>
      <c r="R636" s="25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</row>
    <row r="637">
      <c r="A637" s="31"/>
      <c r="B637" s="32"/>
      <c r="C637" s="33"/>
      <c r="D637" s="33"/>
      <c r="E637" s="27"/>
      <c r="F637" s="29"/>
      <c r="G637" s="34"/>
      <c r="H637" s="34"/>
      <c r="I637" s="34"/>
      <c r="J637" s="21"/>
      <c r="K637" s="22"/>
      <c r="L637" s="23"/>
      <c r="M637" s="24"/>
      <c r="N637" s="25"/>
      <c r="O637" s="26"/>
      <c r="P637" s="26"/>
      <c r="Q637" s="25"/>
      <c r="R637" s="25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</row>
    <row r="638">
      <c r="A638" s="31"/>
      <c r="B638" s="32"/>
      <c r="C638" s="33"/>
      <c r="D638" s="33"/>
      <c r="E638" s="27"/>
      <c r="F638" s="29"/>
      <c r="G638" s="34"/>
      <c r="H638" s="34"/>
      <c r="I638" s="34"/>
      <c r="J638" s="21"/>
      <c r="K638" s="22"/>
      <c r="L638" s="23"/>
      <c r="M638" s="24"/>
      <c r="N638" s="25"/>
      <c r="O638" s="26"/>
      <c r="P638" s="26"/>
      <c r="Q638" s="25"/>
      <c r="R638" s="25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</row>
    <row r="639">
      <c r="A639" s="31"/>
      <c r="B639" s="32"/>
      <c r="C639" s="33"/>
      <c r="D639" s="33"/>
      <c r="E639" s="27"/>
      <c r="F639" s="29"/>
      <c r="G639" s="34"/>
      <c r="H639" s="34"/>
      <c r="I639" s="34"/>
      <c r="J639" s="21"/>
      <c r="K639" s="22"/>
      <c r="L639" s="23"/>
      <c r="M639" s="24"/>
      <c r="N639" s="25"/>
      <c r="O639" s="26"/>
      <c r="P639" s="26"/>
      <c r="Q639" s="25"/>
      <c r="R639" s="25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</row>
    <row r="640">
      <c r="A640" s="31"/>
      <c r="B640" s="32"/>
      <c r="C640" s="33"/>
      <c r="D640" s="33"/>
      <c r="E640" s="27"/>
      <c r="F640" s="29"/>
      <c r="G640" s="34"/>
      <c r="H640" s="34"/>
      <c r="I640" s="34"/>
      <c r="J640" s="21"/>
      <c r="K640" s="22"/>
      <c r="L640" s="23"/>
      <c r="M640" s="24"/>
      <c r="N640" s="25"/>
      <c r="O640" s="26"/>
      <c r="P640" s="26"/>
      <c r="Q640" s="25"/>
      <c r="R640" s="25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</row>
    <row r="641">
      <c r="A641" s="31"/>
      <c r="B641" s="32"/>
      <c r="C641" s="33"/>
      <c r="D641" s="33"/>
      <c r="E641" s="27"/>
      <c r="F641" s="29"/>
      <c r="G641" s="34"/>
      <c r="H641" s="34"/>
      <c r="I641" s="34"/>
      <c r="J641" s="21"/>
      <c r="K641" s="22"/>
      <c r="L641" s="23"/>
      <c r="M641" s="24"/>
      <c r="N641" s="25"/>
      <c r="O641" s="26"/>
      <c r="P641" s="26"/>
      <c r="Q641" s="25"/>
      <c r="R641" s="25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</row>
    <row r="642">
      <c r="A642" s="31"/>
      <c r="B642" s="32"/>
      <c r="C642" s="33"/>
      <c r="D642" s="33"/>
      <c r="E642" s="27"/>
      <c r="F642" s="29"/>
      <c r="G642" s="34"/>
      <c r="H642" s="34"/>
      <c r="I642" s="34"/>
      <c r="J642" s="21"/>
      <c r="K642" s="22"/>
      <c r="L642" s="23"/>
      <c r="M642" s="24"/>
      <c r="N642" s="25"/>
      <c r="O642" s="26"/>
      <c r="P642" s="26"/>
      <c r="Q642" s="25"/>
      <c r="R642" s="25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</row>
    <row r="643">
      <c r="A643" s="31"/>
      <c r="B643" s="32"/>
      <c r="C643" s="33"/>
      <c r="D643" s="33"/>
      <c r="E643" s="27"/>
      <c r="F643" s="29"/>
      <c r="G643" s="34"/>
      <c r="H643" s="34"/>
      <c r="I643" s="34"/>
      <c r="J643" s="21"/>
      <c r="K643" s="22"/>
      <c r="L643" s="23"/>
      <c r="M643" s="24"/>
      <c r="N643" s="25"/>
      <c r="O643" s="26"/>
      <c r="P643" s="26"/>
      <c r="Q643" s="25"/>
      <c r="R643" s="25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</row>
    <row r="644">
      <c r="A644" s="31"/>
      <c r="B644" s="32"/>
      <c r="C644" s="33"/>
      <c r="D644" s="33"/>
      <c r="E644" s="27"/>
      <c r="F644" s="29"/>
      <c r="G644" s="34"/>
      <c r="H644" s="34"/>
      <c r="I644" s="34"/>
      <c r="J644" s="21"/>
      <c r="K644" s="22"/>
      <c r="L644" s="23"/>
      <c r="M644" s="24"/>
      <c r="N644" s="25"/>
      <c r="O644" s="26"/>
      <c r="P644" s="26"/>
      <c r="Q644" s="25"/>
      <c r="R644" s="25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</row>
    <row r="645">
      <c r="A645" s="31"/>
      <c r="B645" s="32"/>
      <c r="C645" s="33"/>
      <c r="D645" s="33"/>
      <c r="E645" s="27"/>
      <c r="F645" s="29"/>
      <c r="G645" s="34"/>
      <c r="H645" s="34"/>
      <c r="I645" s="34"/>
      <c r="J645" s="21"/>
      <c r="K645" s="22"/>
      <c r="L645" s="23"/>
      <c r="M645" s="24"/>
      <c r="N645" s="25"/>
      <c r="O645" s="26"/>
      <c r="P645" s="26"/>
      <c r="Q645" s="25"/>
      <c r="R645" s="25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</row>
    <row r="646">
      <c r="A646" s="31"/>
      <c r="B646" s="32"/>
      <c r="C646" s="33"/>
      <c r="D646" s="33"/>
      <c r="E646" s="27"/>
      <c r="F646" s="29"/>
      <c r="G646" s="34"/>
      <c r="H646" s="34"/>
      <c r="I646" s="34"/>
      <c r="J646" s="21"/>
      <c r="K646" s="22"/>
      <c r="L646" s="23"/>
      <c r="M646" s="24"/>
      <c r="N646" s="25"/>
      <c r="O646" s="26"/>
      <c r="P646" s="26"/>
      <c r="Q646" s="25"/>
      <c r="R646" s="25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</row>
    <row r="647">
      <c r="A647" s="31"/>
      <c r="B647" s="32"/>
      <c r="C647" s="33"/>
      <c r="D647" s="33"/>
      <c r="E647" s="27"/>
      <c r="F647" s="29"/>
      <c r="G647" s="34"/>
      <c r="H647" s="34"/>
      <c r="I647" s="34"/>
      <c r="J647" s="21"/>
      <c r="K647" s="22"/>
      <c r="L647" s="23"/>
      <c r="M647" s="24"/>
      <c r="N647" s="25"/>
      <c r="O647" s="26"/>
      <c r="P647" s="26"/>
      <c r="Q647" s="25"/>
      <c r="R647" s="25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</row>
    <row r="648">
      <c r="A648" s="31"/>
      <c r="B648" s="32"/>
      <c r="C648" s="33"/>
      <c r="D648" s="33"/>
      <c r="E648" s="27"/>
      <c r="F648" s="29"/>
      <c r="G648" s="34"/>
      <c r="H648" s="34"/>
      <c r="I648" s="34"/>
      <c r="J648" s="21"/>
      <c r="K648" s="22"/>
      <c r="L648" s="23"/>
      <c r="M648" s="24"/>
      <c r="N648" s="25"/>
      <c r="O648" s="26"/>
      <c r="P648" s="26"/>
      <c r="Q648" s="25"/>
      <c r="R648" s="25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</row>
    <row r="649">
      <c r="A649" s="31"/>
      <c r="B649" s="32"/>
      <c r="C649" s="33"/>
      <c r="D649" s="33"/>
      <c r="E649" s="27"/>
      <c r="F649" s="29"/>
      <c r="G649" s="34"/>
      <c r="H649" s="34"/>
      <c r="I649" s="34"/>
      <c r="J649" s="21"/>
      <c r="K649" s="22"/>
      <c r="L649" s="23"/>
      <c r="M649" s="24"/>
      <c r="N649" s="25"/>
      <c r="O649" s="26"/>
      <c r="P649" s="26"/>
      <c r="Q649" s="25"/>
      <c r="R649" s="25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</row>
    <row r="650">
      <c r="A650" s="31"/>
      <c r="B650" s="32"/>
      <c r="C650" s="33"/>
      <c r="D650" s="33"/>
      <c r="E650" s="27"/>
      <c r="F650" s="29"/>
      <c r="G650" s="34"/>
      <c r="H650" s="34"/>
      <c r="I650" s="34"/>
      <c r="J650" s="21"/>
      <c r="K650" s="22"/>
      <c r="L650" s="23"/>
      <c r="M650" s="24"/>
      <c r="N650" s="25"/>
      <c r="O650" s="26"/>
      <c r="P650" s="26"/>
      <c r="Q650" s="25"/>
      <c r="R650" s="25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</row>
    <row r="651">
      <c r="A651" s="31"/>
      <c r="B651" s="32"/>
      <c r="C651" s="33"/>
      <c r="D651" s="33"/>
      <c r="E651" s="27"/>
      <c r="F651" s="29"/>
      <c r="G651" s="34"/>
      <c r="H651" s="34"/>
      <c r="I651" s="34"/>
      <c r="J651" s="21"/>
      <c r="K651" s="22"/>
      <c r="L651" s="23"/>
      <c r="M651" s="24"/>
      <c r="N651" s="25"/>
      <c r="O651" s="26"/>
      <c r="P651" s="26"/>
      <c r="Q651" s="25"/>
      <c r="R651" s="25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</row>
    <row r="652">
      <c r="A652" s="31"/>
      <c r="B652" s="32"/>
      <c r="C652" s="33"/>
      <c r="D652" s="33"/>
      <c r="E652" s="27"/>
      <c r="F652" s="29"/>
      <c r="G652" s="34"/>
      <c r="H652" s="34"/>
      <c r="I652" s="34"/>
      <c r="J652" s="21"/>
      <c r="K652" s="22"/>
      <c r="L652" s="23"/>
      <c r="M652" s="24"/>
      <c r="N652" s="25"/>
      <c r="O652" s="26"/>
      <c r="P652" s="26"/>
      <c r="Q652" s="25"/>
      <c r="R652" s="25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</row>
    <row r="653">
      <c r="A653" s="31"/>
      <c r="B653" s="32"/>
      <c r="C653" s="33"/>
      <c r="D653" s="33"/>
      <c r="E653" s="27"/>
      <c r="F653" s="29"/>
      <c r="G653" s="34"/>
      <c r="H653" s="34"/>
      <c r="I653" s="34"/>
      <c r="J653" s="21"/>
      <c r="K653" s="22"/>
      <c r="L653" s="23"/>
      <c r="M653" s="24"/>
      <c r="N653" s="25"/>
      <c r="O653" s="26"/>
      <c r="P653" s="26"/>
      <c r="Q653" s="25"/>
      <c r="R653" s="25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</row>
    <row r="654">
      <c r="A654" s="31"/>
      <c r="B654" s="32"/>
      <c r="C654" s="33"/>
      <c r="D654" s="33"/>
      <c r="E654" s="27"/>
      <c r="F654" s="29"/>
      <c r="G654" s="34"/>
      <c r="H654" s="34"/>
      <c r="I654" s="34"/>
      <c r="J654" s="21"/>
      <c r="K654" s="22"/>
      <c r="L654" s="23"/>
      <c r="M654" s="24"/>
      <c r="N654" s="25"/>
      <c r="O654" s="26"/>
      <c r="P654" s="26"/>
      <c r="Q654" s="25"/>
      <c r="R654" s="25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</row>
    <row r="655">
      <c r="A655" s="31"/>
      <c r="B655" s="32"/>
      <c r="C655" s="33"/>
      <c r="D655" s="33"/>
      <c r="E655" s="27"/>
      <c r="F655" s="29"/>
      <c r="G655" s="34"/>
      <c r="H655" s="34"/>
      <c r="I655" s="34"/>
      <c r="J655" s="21"/>
      <c r="K655" s="22"/>
      <c r="L655" s="23"/>
      <c r="M655" s="24"/>
      <c r="N655" s="25"/>
      <c r="O655" s="26"/>
      <c r="P655" s="26"/>
      <c r="Q655" s="25"/>
      <c r="R655" s="25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</row>
    <row r="656">
      <c r="A656" s="31"/>
      <c r="B656" s="32"/>
      <c r="C656" s="33"/>
      <c r="D656" s="33"/>
      <c r="E656" s="27"/>
      <c r="F656" s="29"/>
      <c r="G656" s="34"/>
      <c r="H656" s="34"/>
      <c r="I656" s="34"/>
      <c r="J656" s="21"/>
      <c r="K656" s="22"/>
      <c r="L656" s="23"/>
      <c r="M656" s="24"/>
      <c r="N656" s="25"/>
      <c r="O656" s="26"/>
      <c r="P656" s="26"/>
      <c r="Q656" s="25"/>
      <c r="R656" s="25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</row>
    <row r="657">
      <c r="A657" s="31"/>
      <c r="B657" s="32"/>
      <c r="C657" s="33"/>
      <c r="D657" s="33"/>
      <c r="E657" s="27"/>
      <c r="F657" s="29"/>
      <c r="G657" s="34"/>
      <c r="H657" s="34"/>
      <c r="I657" s="34"/>
      <c r="J657" s="21"/>
      <c r="K657" s="22"/>
      <c r="L657" s="23"/>
      <c r="M657" s="24"/>
      <c r="N657" s="25"/>
      <c r="O657" s="26"/>
      <c r="P657" s="26"/>
      <c r="Q657" s="25"/>
      <c r="R657" s="25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</row>
    <row r="658">
      <c r="A658" s="31"/>
      <c r="B658" s="32"/>
      <c r="C658" s="33"/>
      <c r="D658" s="33"/>
      <c r="E658" s="27"/>
      <c r="F658" s="29"/>
      <c r="G658" s="34"/>
      <c r="H658" s="34"/>
      <c r="I658" s="34"/>
      <c r="J658" s="21"/>
      <c r="K658" s="22"/>
      <c r="L658" s="23"/>
      <c r="M658" s="24"/>
      <c r="N658" s="25"/>
      <c r="O658" s="26"/>
      <c r="P658" s="26"/>
      <c r="Q658" s="25"/>
      <c r="R658" s="25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</row>
    <row r="659">
      <c r="A659" s="31"/>
      <c r="B659" s="32"/>
      <c r="C659" s="33"/>
      <c r="D659" s="33"/>
      <c r="E659" s="27"/>
      <c r="F659" s="29"/>
      <c r="G659" s="34"/>
      <c r="H659" s="34"/>
      <c r="I659" s="34"/>
      <c r="J659" s="21"/>
      <c r="K659" s="22"/>
      <c r="L659" s="23"/>
      <c r="M659" s="24"/>
      <c r="N659" s="25"/>
      <c r="O659" s="26"/>
      <c r="P659" s="26"/>
      <c r="Q659" s="25"/>
      <c r="R659" s="25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</row>
    <row r="660">
      <c r="A660" s="31"/>
      <c r="B660" s="32"/>
      <c r="C660" s="33"/>
      <c r="D660" s="33"/>
      <c r="E660" s="27"/>
      <c r="F660" s="29"/>
      <c r="G660" s="34"/>
      <c r="H660" s="34"/>
      <c r="I660" s="34"/>
      <c r="J660" s="21"/>
      <c r="K660" s="22"/>
      <c r="L660" s="23"/>
      <c r="M660" s="24"/>
      <c r="N660" s="25"/>
      <c r="O660" s="26"/>
      <c r="P660" s="26"/>
      <c r="Q660" s="25"/>
      <c r="R660" s="25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</row>
    <row r="661">
      <c r="A661" s="31"/>
      <c r="B661" s="32"/>
      <c r="C661" s="33"/>
      <c r="D661" s="33"/>
      <c r="E661" s="27"/>
      <c r="F661" s="29"/>
      <c r="G661" s="34"/>
      <c r="H661" s="34"/>
      <c r="I661" s="34"/>
      <c r="J661" s="21"/>
      <c r="K661" s="22"/>
      <c r="L661" s="23"/>
      <c r="M661" s="24"/>
      <c r="N661" s="25"/>
      <c r="O661" s="26"/>
      <c r="P661" s="26"/>
      <c r="Q661" s="25"/>
      <c r="R661" s="25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</row>
    <row r="662">
      <c r="A662" s="31"/>
      <c r="B662" s="32"/>
      <c r="C662" s="33"/>
      <c r="D662" s="33"/>
      <c r="E662" s="27"/>
      <c r="F662" s="29"/>
      <c r="G662" s="34"/>
      <c r="H662" s="34"/>
      <c r="I662" s="34"/>
      <c r="J662" s="21"/>
      <c r="K662" s="22"/>
      <c r="L662" s="23"/>
      <c r="M662" s="24"/>
      <c r="N662" s="25"/>
      <c r="O662" s="26"/>
      <c r="P662" s="26"/>
      <c r="Q662" s="25"/>
      <c r="R662" s="25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</row>
    <row r="663">
      <c r="A663" s="31"/>
      <c r="B663" s="32"/>
      <c r="C663" s="33"/>
      <c r="D663" s="33"/>
      <c r="E663" s="27"/>
      <c r="F663" s="29"/>
      <c r="G663" s="34"/>
      <c r="H663" s="34"/>
      <c r="I663" s="34"/>
      <c r="J663" s="21"/>
      <c r="K663" s="22"/>
      <c r="L663" s="23"/>
      <c r="M663" s="24"/>
      <c r="N663" s="25"/>
      <c r="O663" s="26"/>
      <c r="P663" s="26"/>
      <c r="Q663" s="25"/>
      <c r="R663" s="25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</row>
    <row r="664">
      <c r="A664" s="31"/>
      <c r="B664" s="32"/>
      <c r="C664" s="33"/>
      <c r="D664" s="33"/>
      <c r="E664" s="27"/>
      <c r="F664" s="29"/>
      <c r="G664" s="34"/>
      <c r="H664" s="34"/>
      <c r="I664" s="34"/>
      <c r="J664" s="21"/>
      <c r="K664" s="22"/>
      <c r="L664" s="23"/>
      <c r="M664" s="24"/>
      <c r="N664" s="25"/>
      <c r="O664" s="26"/>
      <c r="P664" s="26"/>
      <c r="Q664" s="25"/>
      <c r="R664" s="25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</row>
    <row r="665">
      <c r="A665" s="31"/>
      <c r="B665" s="32"/>
      <c r="C665" s="33"/>
      <c r="D665" s="33"/>
      <c r="E665" s="27"/>
      <c r="F665" s="29"/>
      <c r="G665" s="34"/>
      <c r="H665" s="34"/>
      <c r="I665" s="34"/>
      <c r="J665" s="21"/>
      <c r="K665" s="22"/>
      <c r="L665" s="23"/>
      <c r="M665" s="24"/>
      <c r="N665" s="25"/>
      <c r="O665" s="26"/>
      <c r="P665" s="26"/>
      <c r="Q665" s="25"/>
      <c r="R665" s="25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</row>
    <row r="666">
      <c r="A666" s="31"/>
      <c r="B666" s="32"/>
      <c r="C666" s="33"/>
      <c r="D666" s="33"/>
      <c r="E666" s="27"/>
      <c r="F666" s="29"/>
      <c r="G666" s="34"/>
      <c r="H666" s="34"/>
      <c r="I666" s="34"/>
      <c r="J666" s="21"/>
      <c r="K666" s="22"/>
      <c r="L666" s="23"/>
      <c r="M666" s="24"/>
      <c r="N666" s="25"/>
      <c r="O666" s="26"/>
      <c r="P666" s="26"/>
      <c r="Q666" s="25"/>
      <c r="R666" s="25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</row>
    <row r="667">
      <c r="A667" s="31"/>
      <c r="B667" s="32"/>
      <c r="C667" s="33"/>
      <c r="D667" s="33"/>
      <c r="E667" s="27"/>
      <c r="F667" s="29"/>
      <c r="G667" s="34"/>
      <c r="H667" s="34"/>
      <c r="I667" s="34"/>
      <c r="J667" s="21"/>
      <c r="K667" s="22"/>
      <c r="L667" s="23"/>
      <c r="M667" s="24"/>
      <c r="N667" s="25"/>
      <c r="O667" s="26"/>
      <c r="P667" s="26"/>
      <c r="Q667" s="25"/>
      <c r="R667" s="25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</row>
    <row r="668">
      <c r="A668" s="31"/>
      <c r="B668" s="32"/>
      <c r="C668" s="33"/>
      <c r="D668" s="33"/>
      <c r="E668" s="27"/>
      <c r="F668" s="29"/>
      <c r="G668" s="34"/>
      <c r="H668" s="34"/>
      <c r="I668" s="34"/>
      <c r="J668" s="21"/>
      <c r="K668" s="22"/>
      <c r="L668" s="23"/>
      <c r="M668" s="24"/>
      <c r="N668" s="25"/>
      <c r="O668" s="26"/>
      <c r="P668" s="26"/>
      <c r="Q668" s="25"/>
      <c r="R668" s="25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</row>
    <row r="669">
      <c r="A669" s="31"/>
      <c r="B669" s="32"/>
      <c r="C669" s="33"/>
      <c r="D669" s="33"/>
      <c r="E669" s="27"/>
      <c r="F669" s="29"/>
      <c r="G669" s="34"/>
      <c r="H669" s="34"/>
      <c r="I669" s="34"/>
      <c r="J669" s="21"/>
      <c r="K669" s="22"/>
      <c r="L669" s="23"/>
      <c r="M669" s="24"/>
      <c r="N669" s="25"/>
      <c r="O669" s="26"/>
      <c r="P669" s="26"/>
      <c r="Q669" s="25"/>
      <c r="R669" s="25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</row>
    <row r="670">
      <c r="A670" s="31"/>
      <c r="B670" s="32"/>
      <c r="C670" s="33"/>
      <c r="D670" s="33"/>
      <c r="E670" s="27"/>
      <c r="F670" s="29"/>
      <c r="G670" s="34"/>
      <c r="H670" s="34"/>
      <c r="I670" s="34"/>
      <c r="J670" s="21"/>
      <c r="K670" s="22"/>
      <c r="L670" s="23"/>
      <c r="M670" s="24"/>
      <c r="N670" s="25"/>
      <c r="O670" s="26"/>
      <c r="P670" s="26"/>
      <c r="Q670" s="25"/>
      <c r="R670" s="25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</row>
    <row r="671">
      <c r="A671" s="31"/>
      <c r="B671" s="32"/>
      <c r="C671" s="33"/>
      <c r="D671" s="33"/>
      <c r="E671" s="27"/>
      <c r="F671" s="29"/>
      <c r="G671" s="34"/>
      <c r="H671" s="34"/>
      <c r="I671" s="34"/>
      <c r="J671" s="21"/>
      <c r="K671" s="22"/>
      <c r="L671" s="23"/>
      <c r="M671" s="24"/>
      <c r="N671" s="25"/>
      <c r="O671" s="26"/>
      <c r="P671" s="26"/>
      <c r="Q671" s="25"/>
      <c r="R671" s="25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</row>
    <row r="672">
      <c r="A672" s="31"/>
      <c r="B672" s="32"/>
      <c r="C672" s="33"/>
      <c r="D672" s="33"/>
      <c r="E672" s="27"/>
      <c r="F672" s="29"/>
      <c r="G672" s="34"/>
      <c r="H672" s="34"/>
      <c r="I672" s="34"/>
      <c r="J672" s="21"/>
      <c r="K672" s="22"/>
      <c r="L672" s="23"/>
      <c r="M672" s="24"/>
      <c r="N672" s="25"/>
      <c r="O672" s="26"/>
      <c r="P672" s="26"/>
      <c r="Q672" s="25"/>
      <c r="R672" s="25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</row>
    <row r="673">
      <c r="A673" s="31"/>
      <c r="B673" s="32"/>
      <c r="C673" s="33"/>
      <c r="D673" s="33"/>
      <c r="E673" s="27"/>
      <c r="F673" s="29"/>
      <c r="G673" s="34"/>
      <c r="H673" s="34"/>
      <c r="I673" s="34"/>
      <c r="J673" s="21"/>
      <c r="K673" s="22"/>
      <c r="L673" s="23"/>
      <c r="M673" s="24"/>
      <c r="N673" s="25"/>
      <c r="O673" s="26"/>
      <c r="P673" s="26"/>
      <c r="Q673" s="25"/>
      <c r="R673" s="25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</row>
    <row r="674">
      <c r="A674" s="31"/>
      <c r="B674" s="32"/>
      <c r="C674" s="33"/>
      <c r="D674" s="33"/>
      <c r="E674" s="27"/>
      <c r="F674" s="29"/>
      <c r="G674" s="34"/>
      <c r="H674" s="34"/>
      <c r="I674" s="34"/>
      <c r="J674" s="21"/>
      <c r="K674" s="22"/>
      <c r="L674" s="23"/>
      <c r="M674" s="24"/>
      <c r="N674" s="25"/>
      <c r="O674" s="26"/>
      <c r="P674" s="26"/>
      <c r="Q674" s="25"/>
      <c r="R674" s="25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</row>
    <row r="675">
      <c r="A675" s="31"/>
      <c r="B675" s="32"/>
      <c r="C675" s="33"/>
      <c r="D675" s="33"/>
      <c r="E675" s="27"/>
      <c r="F675" s="29"/>
      <c r="G675" s="34"/>
      <c r="H675" s="34"/>
      <c r="I675" s="34"/>
      <c r="J675" s="21"/>
      <c r="K675" s="22"/>
      <c r="L675" s="23"/>
      <c r="M675" s="24"/>
      <c r="N675" s="25"/>
      <c r="O675" s="26"/>
      <c r="P675" s="26"/>
      <c r="Q675" s="25"/>
      <c r="R675" s="25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</row>
    <row r="676">
      <c r="A676" s="31"/>
      <c r="B676" s="32"/>
      <c r="C676" s="33"/>
      <c r="D676" s="33"/>
      <c r="E676" s="27"/>
      <c r="F676" s="29"/>
      <c r="G676" s="34"/>
      <c r="H676" s="34"/>
      <c r="I676" s="34"/>
      <c r="J676" s="21"/>
      <c r="K676" s="22"/>
      <c r="L676" s="23"/>
      <c r="M676" s="24"/>
      <c r="N676" s="25"/>
      <c r="O676" s="26"/>
      <c r="P676" s="26"/>
      <c r="Q676" s="25"/>
      <c r="R676" s="25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</row>
    <row r="677">
      <c r="A677" s="31"/>
      <c r="B677" s="32"/>
      <c r="C677" s="33"/>
      <c r="D677" s="33"/>
      <c r="E677" s="27"/>
      <c r="F677" s="29"/>
      <c r="G677" s="34"/>
      <c r="H677" s="34"/>
      <c r="I677" s="34"/>
      <c r="J677" s="21"/>
      <c r="K677" s="22"/>
      <c r="L677" s="23"/>
      <c r="M677" s="24"/>
      <c r="N677" s="25"/>
      <c r="O677" s="26"/>
      <c r="P677" s="26"/>
      <c r="Q677" s="25"/>
      <c r="R677" s="25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</row>
    <row r="678">
      <c r="A678" s="31"/>
      <c r="B678" s="32"/>
      <c r="C678" s="33"/>
      <c r="D678" s="33"/>
      <c r="E678" s="27"/>
      <c r="F678" s="29"/>
      <c r="G678" s="34"/>
      <c r="H678" s="34"/>
      <c r="I678" s="34"/>
      <c r="J678" s="21"/>
      <c r="K678" s="22"/>
      <c r="L678" s="23"/>
      <c r="M678" s="24"/>
      <c r="N678" s="25"/>
      <c r="O678" s="26"/>
      <c r="P678" s="26"/>
      <c r="Q678" s="25"/>
      <c r="R678" s="25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</row>
    <row r="679">
      <c r="A679" s="31"/>
      <c r="B679" s="32"/>
      <c r="C679" s="33"/>
      <c r="D679" s="33"/>
      <c r="E679" s="27"/>
      <c r="F679" s="29"/>
      <c r="G679" s="34"/>
      <c r="H679" s="34"/>
      <c r="I679" s="34"/>
      <c r="J679" s="21"/>
      <c r="K679" s="22"/>
      <c r="L679" s="23"/>
      <c r="M679" s="24"/>
      <c r="N679" s="25"/>
      <c r="O679" s="26"/>
      <c r="P679" s="26"/>
      <c r="Q679" s="25"/>
      <c r="R679" s="25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</row>
    <row r="680">
      <c r="A680" s="31"/>
      <c r="B680" s="32"/>
      <c r="C680" s="33"/>
      <c r="D680" s="33"/>
      <c r="E680" s="27"/>
      <c r="F680" s="29"/>
      <c r="G680" s="34"/>
      <c r="H680" s="34"/>
      <c r="I680" s="34"/>
      <c r="J680" s="21"/>
      <c r="K680" s="22"/>
      <c r="L680" s="23"/>
      <c r="M680" s="24"/>
      <c r="N680" s="25"/>
      <c r="O680" s="26"/>
      <c r="P680" s="26"/>
      <c r="Q680" s="25"/>
      <c r="R680" s="25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</row>
    <row r="681">
      <c r="A681" s="31"/>
      <c r="B681" s="32"/>
      <c r="C681" s="33"/>
      <c r="D681" s="33"/>
      <c r="E681" s="27"/>
      <c r="F681" s="29"/>
      <c r="G681" s="34"/>
      <c r="H681" s="34"/>
      <c r="I681" s="34"/>
      <c r="J681" s="21"/>
      <c r="K681" s="22"/>
      <c r="L681" s="23"/>
      <c r="M681" s="24"/>
      <c r="N681" s="25"/>
      <c r="O681" s="26"/>
      <c r="P681" s="26"/>
      <c r="Q681" s="25"/>
      <c r="R681" s="25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</row>
    <row r="682">
      <c r="A682" s="31"/>
      <c r="B682" s="32"/>
      <c r="C682" s="33"/>
      <c r="D682" s="33"/>
      <c r="E682" s="27"/>
      <c r="F682" s="29"/>
      <c r="G682" s="34"/>
      <c r="H682" s="34"/>
      <c r="I682" s="34"/>
      <c r="J682" s="21"/>
      <c r="K682" s="22"/>
      <c r="L682" s="23"/>
      <c r="M682" s="24"/>
      <c r="N682" s="25"/>
      <c r="O682" s="26"/>
      <c r="P682" s="26"/>
      <c r="Q682" s="25"/>
      <c r="R682" s="25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</row>
    <row r="683">
      <c r="A683" s="31"/>
      <c r="B683" s="32"/>
      <c r="C683" s="33"/>
      <c r="D683" s="33"/>
      <c r="E683" s="27"/>
      <c r="F683" s="29"/>
      <c r="G683" s="34"/>
      <c r="H683" s="34"/>
      <c r="I683" s="34"/>
      <c r="J683" s="21"/>
      <c r="K683" s="22"/>
      <c r="L683" s="23"/>
      <c r="M683" s="24"/>
      <c r="N683" s="25"/>
      <c r="O683" s="26"/>
      <c r="P683" s="26"/>
      <c r="Q683" s="25"/>
      <c r="R683" s="25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</row>
    <row r="684">
      <c r="A684" s="31"/>
      <c r="B684" s="32"/>
      <c r="C684" s="33"/>
      <c r="D684" s="33"/>
      <c r="E684" s="27"/>
      <c r="F684" s="29"/>
      <c r="G684" s="34"/>
      <c r="H684" s="34"/>
      <c r="I684" s="34"/>
      <c r="J684" s="21"/>
      <c r="K684" s="22"/>
      <c r="L684" s="23"/>
      <c r="M684" s="24"/>
      <c r="N684" s="25"/>
      <c r="O684" s="26"/>
      <c r="P684" s="26"/>
      <c r="Q684" s="25"/>
      <c r="R684" s="25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</row>
    <row r="685">
      <c r="A685" s="31"/>
      <c r="B685" s="32"/>
      <c r="C685" s="33"/>
      <c r="D685" s="33"/>
      <c r="E685" s="27"/>
      <c r="F685" s="29"/>
      <c r="G685" s="34"/>
      <c r="H685" s="34"/>
      <c r="I685" s="34"/>
      <c r="J685" s="21"/>
      <c r="K685" s="22"/>
      <c r="L685" s="23"/>
      <c r="M685" s="24"/>
      <c r="N685" s="25"/>
      <c r="O685" s="26"/>
      <c r="P685" s="26"/>
      <c r="Q685" s="25"/>
      <c r="R685" s="25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</row>
    <row r="686">
      <c r="A686" s="31"/>
      <c r="B686" s="32"/>
      <c r="C686" s="33"/>
      <c r="D686" s="33"/>
      <c r="E686" s="27"/>
      <c r="F686" s="29"/>
      <c r="G686" s="34"/>
      <c r="H686" s="34"/>
      <c r="I686" s="34"/>
      <c r="J686" s="21"/>
      <c r="K686" s="22"/>
      <c r="L686" s="23"/>
      <c r="M686" s="24"/>
      <c r="N686" s="25"/>
      <c r="O686" s="26"/>
      <c r="P686" s="26"/>
      <c r="Q686" s="25"/>
      <c r="R686" s="25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</row>
    <row r="687">
      <c r="A687" s="31"/>
      <c r="B687" s="32"/>
      <c r="C687" s="33"/>
      <c r="D687" s="33"/>
      <c r="E687" s="27"/>
      <c r="F687" s="29"/>
      <c r="G687" s="34"/>
      <c r="H687" s="34"/>
      <c r="I687" s="34"/>
      <c r="J687" s="21"/>
      <c r="K687" s="22"/>
      <c r="L687" s="23"/>
      <c r="M687" s="24"/>
      <c r="N687" s="25"/>
      <c r="O687" s="26"/>
      <c r="P687" s="26"/>
      <c r="Q687" s="25"/>
      <c r="R687" s="25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</row>
    <row r="688">
      <c r="A688" s="31"/>
      <c r="B688" s="32"/>
      <c r="C688" s="33"/>
      <c r="D688" s="33"/>
      <c r="E688" s="27"/>
      <c r="F688" s="29"/>
      <c r="G688" s="34"/>
      <c r="H688" s="34"/>
      <c r="I688" s="34"/>
      <c r="J688" s="21"/>
      <c r="K688" s="22"/>
      <c r="L688" s="23"/>
      <c r="M688" s="24"/>
      <c r="N688" s="25"/>
      <c r="O688" s="26"/>
      <c r="P688" s="26"/>
      <c r="Q688" s="25"/>
      <c r="R688" s="25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</row>
    <row r="689">
      <c r="A689" s="31"/>
      <c r="B689" s="32"/>
      <c r="C689" s="33"/>
      <c r="D689" s="33"/>
      <c r="E689" s="27"/>
      <c r="F689" s="29"/>
      <c r="G689" s="34"/>
      <c r="H689" s="34"/>
      <c r="I689" s="34"/>
      <c r="J689" s="21"/>
      <c r="K689" s="22"/>
      <c r="L689" s="23"/>
      <c r="M689" s="24"/>
      <c r="N689" s="25"/>
      <c r="O689" s="26"/>
      <c r="P689" s="26"/>
      <c r="Q689" s="25"/>
      <c r="R689" s="25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</row>
    <row r="690">
      <c r="A690" s="31"/>
      <c r="B690" s="32"/>
      <c r="C690" s="33"/>
      <c r="D690" s="33"/>
      <c r="E690" s="27"/>
      <c r="F690" s="29"/>
      <c r="G690" s="34"/>
      <c r="H690" s="34"/>
      <c r="I690" s="34"/>
      <c r="J690" s="21"/>
      <c r="K690" s="22"/>
      <c r="L690" s="23"/>
      <c r="M690" s="24"/>
      <c r="N690" s="25"/>
      <c r="O690" s="26"/>
      <c r="P690" s="26"/>
      <c r="Q690" s="25"/>
      <c r="R690" s="25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</row>
    <row r="691">
      <c r="A691" s="31"/>
      <c r="B691" s="32"/>
      <c r="C691" s="33"/>
      <c r="D691" s="33"/>
      <c r="E691" s="27"/>
      <c r="F691" s="29"/>
      <c r="G691" s="34"/>
      <c r="H691" s="34"/>
      <c r="I691" s="34"/>
      <c r="J691" s="21"/>
      <c r="K691" s="22"/>
      <c r="L691" s="23"/>
      <c r="M691" s="24"/>
      <c r="N691" s="25"/>
      <c r="O691" s="26"/>
      <c r="P691" s="26"/>
      <c r="Q691" s="25"/>
      <c r="R691" s="25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</row>
    <row r="692">
      <c r="A692" s="31"/>
      <c r="B692" s="32"/>
      <c r="C692" s="33"/>
      <c r="D692" s="33"/>
      <c r="E692" s="27"/>
      <c r="F692" s="29"/>
      <c r="G692" s="34"/>
      <c r="H692" s="34"/>
      <c r="I692" s="34"/>
      <c r="J692" s="21"/>
      <c r="K692" s="22"/>
      <c r="L692" s="23"/>
      <c r="M692" s="24"/>
      <c r="N692" s="25"/>
      <c r="O692" s="26"/>
      <c r="P692" s="26"/>
      <c r="Q692" s="25"/>
      <c r="R692" s="25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</row>
    <row r="693">
      <c r="A693" s="31"/>
      <c r="B693" s="32"/>
      <c r="C693" s="33"/>
      <c r="D693" s="33"/>
      <c r="E693" s="27"/>
      <c r="F693" s="29"/>
      <c r="G693" s="34"/>
      <c r="H693" s="34"/>
      <c r="I693" s="34"/>
      <c r="J693" s="21"/>
      <c r="K693" s="22"/>
      <c r="L693" s="23"/>
      <c r="M693" s="24"/>
      <c r="N693" s="25"/>
      <c r="O693" s="26"/>
      <c r="P693" s="26"/>
      <c r="Q693" s="25"/>
      <c r="R693" s="25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</row>
    <row r="694">
      <c r="A694" s="31"/>
      <c r="B694" s="32"/>
      <c r="C694" s="33"/>
      <c r="D694" s="33"/>
      <c r="E694" s="27"/>
      <c r="F694" s="29"/>
      <c r="G694" s="34"/>
      <c r="H694" s="34"/>
      <c r="I694" s="34"/>
      <c r="J694" s="21"/>
      <c r="K694" s="22"/>
      <c r="L694" s="23"/>
      <c r="M694" s="24"/>
      <c r="N694" s="25"/>
      <c r="O694" s="26"/>
      <c r="P694" s="26"/>
      <c r="Q694" s="25"/>
      <c r="R694" s="25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</row>
    <row r="695">
      <c r="A695" s="31"/>
      <c r="B695" s="32"/>
      <c r="C695" s="33"/>
      <c r="D695" s="33"/>
      <c r="E695" s="27"/>
      <c r="F695" s="29"/>
      <c r="G695" s="34"/>
      <c r="H695" s="34"/>
      <c r="I695" s="34"/>
      <c r="J695" s="21"/>
      <c r="K695" s="22"/>
      <c r="L695" s="23"/>
      <c r="M695" s="24"/>
      <c r="N695" s="25"/>
      <c r="O695" s="26"/>
      <c r="P695" s="26"/>
      <c r="Q695" s="25"/>
      <c r="R695" s="25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</row>
    <row r="696">
      <c r="A696" s="31"/>
      <c r="B696" s="32"/>
      <c r="C696" s="33"/>
      <c r="D696" s="33"/>
      <c r="E696" s="27"/>
      <c r="F696" s="29"/>
      <c r="G696" s="34"/>
      <c r="H696" s="34"/>
      <c r="I696" s="34"/>
      <c r="J696" s="21"/>
      <c r="K696" s="22"/>
      <c r="L696" s="23"/>
      <c r="M696" s="24"/>
      <c r="N696" s="25"/>
      <c r="O696" s="26"/>
      <c r="P696" s="26"/>
      <c r="Q696" s="25"/>
      <c r="R696" s="25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</row>
    <row r="697">
      <c r="A697" s="31"/>
      <c r="B697" s="32"/>
      <c r="C697" s="33"/>
      <c r="D697" s="33"/>
      <c r="E697" s="27"/>
      <c r="F697" s="29"/>
      <c r="G697" s="34"/>
      <c r="H697" s="34"/>
      <c r="I697" s="34"/>
      <c r="J697" s="21"/>
      <c r="K697" s="22"/>
      <c r="L697" s="23"/>
      <c r="M697" s="24"/>
      <c r="N697" s="25"/>
      <c r="O697" s="26"/>
      <c r="P697" s="26"/>
      <c r="Q697" s="25"/>
      <c r="R697" s="25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</row>
    <row r="698">
      <c r="A698" s="31"/>
      <c r="B698" s="32"/>
      <c r="C698" s="33"/>
      <c r="D698" s="33"/>
      <c r="E698" s="27"/>
      <c r="F698" s="29"/>
      <c r="G698" s="34"/>
      <c r="H698" s="34"/>
      <c r="I698" s="34"/>
      <c r="J698" s="21"/>
      <c r="K698" s="22"/>
      <c r="L698" s="23"/>
      <c r="M698" s="24"/>
      <c r="N698" s="25"/>
      <c r="O698" s="26"/>
      <c r="P698" s="26"/>
      <c r="Q698" s="25"/>
      <c r="R698" s="25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</row>
    <row r="699">
      <c r="A699" s="31"/>
      <c r="B699" s="32"/>
      <c r="C699" s="33"/>
      <c r="D699" s="33"/>
      <c r="E699" s="27"/>
      <c r="F699" s="29"/>
      <c r="G699" s="34"/>
      <c r="H699" s="34"/>
      <c r="I699" s="34"/>
      <c r="J699" s="21"/>
      <c r="K699" s="22"/>
      <c r="L699" s="23"/>
      <c r="M699" s="24"/>
      <c r="N699" s="25"/>
      <c r="O699" s="26"/>
      <c r="P699" s="26"/>
      <c r="Q699" s="25"/>
      <c r="R699" s="25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</row>
    <row r="700">
      <c r="A700" s="31"/>
      <c r="B700" s="32"/>
      <c r="C700" s="33"/>
      <c r="D700" s="33"/>
      <c r="E700" s="27"/>
      <c r="F700" s="29"/>
      <c r="G700" s="34"/>
      <c r="H700" s="34"/>
      <c r="I700" s="34"/>
      <c r="J700" s="21"/>
      <c r="K700" s="22"/>
      <c r="L700" s="23"/>
      <c r="M700" s="24"/>
      <c r="N700" s="25"/>
      <c r="O700" s="26"/>
      <c r="P700" s="26"/>
      <c r="Q700" s="25"/>
      <c r="R700" s="25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</row>
    <row r="701">
      <c r="A701" s="31"/>
      <c r="B701" s="32"/>
      <c r="C701" s="33"/>
      <c r="D701" s="33"/>
      <c r="E701" s="27"/>
      <c r="F701" s="29"/>
      <c r="G701" s="34"/>
      <c r="H701" s="34"/>
      <c r="I701" s="34"/>
      <c r="J701" s="21"/>
      <c r="K701" s="22"/>
      <c r="L701" s="23"/>
      <c r="M701" s="24"/>
      <c r="N701" s="25"/>
      <c r="O701" s="26"/>
      <c r="P701" s="26"/>
      <c r="Q701" s="25"/>
      <c r="R701" s="25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</row>
    <row r="702">
      <c r="A702" s="31"/>
      <c r="B702" s="32"/>
      <c r="C702" s="33"/>
      <c r="D702" s="33"/>
      <c r="E702" s="27"/>
      <c r="F702" s="29"/>
      <c r="G702" s="34"/>
      <c r="H702" s="34"/>
      <c r="I702" s="34"/>
      <c r="J702" s="21"/>
      <c r="K702" s="22"/>
      <c r="L702" s="23"/>
      <c r="M702" s="24"/>
      <c r="N702" s="25"/>
      <c r="O702" s="26"/>
      <c r="P702" s="26"/>
      <c r="Q702" s="25"/>
      <c r="R702" s="25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</row>
    <row r="703">
      <c r="A703" s="31"/>
      <c r="B703" s="32"/>
      <c r="C703" s="33"/>
      <c r="D703" s="33"/>
      <c r="E703" s="27"/>
      <c r="F703" s="29"/>
      <c r="G703" s="34"/>
      <c r="H703" s="34"/>
      <c r="I703" s="34"/>
      <c r="J703" s="21"/>
      <c r="K703" s="22"/>
      <c r="L703" s="23"/>
      <c r="M703" s="24"/>
      <c r="N703" s="25"/>
      <c r="O703" s="26"/>
      <c r="P703" s="26"/>
      <c r="Q703" s="25"/>
      <c r="R703" s="25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</row>
    <row r="704">
      <c r="A704" s="31"/>
      <c r="B704" s="32"/>
      <c r="C704" s="33"/>
      <c r="D704" s="33"/>
      <c r="E704" s="27"/>
      <c r="F704" s="29"/>
      <c r="G704" s="34"/>
      <c r="H704" s="34"/>
      <c r="I704" s="34"/>
      <c r="J704" s="21"/>
      <c r="K704" s="22"/>
      <c r="L704" s="23"/>
      <c r="M704" s="24"/>
      <c r="N704" s="25"/>
      <c r="O704" s="26"/>
      <c r="P704" s="26"/>
      <c r="Q704" s="25"/>
      <c r="R704" s="25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</row>
    <row r="705">
      <c r="A705" s="31"/>
      <c r="B705" s="32"/>
      <c r="C705" s="33"/>
      <c r="D705" s="33"/>
      <c r="E705" s="27"/>
      <c r="F705" s="29"/>
      <c r="G705" s="34"/>
      <c r="H705" s="34"/>
      <c r="I705" s="34"/>
      <c r="J705" s="21"/>
      <c r="K705" s="22"/>
      <c r="L705" s="23"/>
      <c r="M705" s="24"/>
      <c r="N705" s="25"/>
      <c r="O705" s="26"/>
      <c r="P705" s="26"/>
      <c r="Q705" s="25"/>
      <c r="R705" s="25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</row>
    <row r="706">
      <c r="A706" s="31"/>
      <c r="B706" s="32"/>
      <c r="C706" s="33"/>
      <c r="D706" s="33"/>
      <c r="E706" s="27"/>
      <c r="F706" s="29"/>
      <c r="G706" s="34"/>
      <c r="H706" s="34"/>
      <c r="I706" s="34"/>
      <c r="J706" s="21"/>
      <c r="K706" s="22"/>
      <c r="L706" s="23"/>
      <c r="M706" s="24"/>
      <c r="N706" s="25"/>
      <c r="O706" s="26"/>
      <c r="P706" s="26"/>
      <c r="Q706" s="25"/>
      <c r="R706" s="25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</row>
    <row r="707">
      <c r="A707" s="31"/>
      <c r="B707" s="32"/>
      <c r="C707" s="33"/>
      <c r="D707" s="33"/>
      <c r="E707" s="27"/>
      <c r="F707" s="29"/>
      <c r="G707" s="34"/>
      <c r="H707" s="34"/>
      <c r="I707" s="34"/>
      <c r="J707" s="21"/>
      <c r="K707" s="22"/>
      <c r="L707" s="23"/>
      <c r="M707" s="24"/>
      <c r="N707" s="25"/>
      <c r="O707" s="26"/>
      <c r="P707" s="26"/>
      <c r="Q707" s="25"/>
      <c r="R707" s="25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</row>
    <row r="708">
      <c r="A708" s="31"/>
      <c r="B708" s="32"/>
      <c r="C708" s="33"/>
      <c r="D708" s="33"/>
      <c r="E708" s="27"/>
      <c r="F708" s="29"/>
      <c r="G708" s="34"/>
      <c r="H708" s="34"/>
      <c r="I708" s="34"/>
      <c r="J708" s="21"/>
      <c r="K708" s="22"/>
      <c r="L708" s="23"/>
      <c r="M708" s="24"/>
      <c r="N708" s="25"/>
      <c r="O708" s="26"/>
      <c r="P708" s="26"/>
      <c r="Q708" s="25"/>
      <c r="R708" s="25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</row>
    <row r="709">
      <c r="A709" s="31"/>
      <c r="B709" s="32"/>
      <c r="C709" s="33"/>
      <c r="D709" s="33"/>
      <c r="E709" s="27"/>
      <c r="F709" s="29"/>
      <c r="G709" s="34"/>
      <c r="H709" s="34"/>
      <c r="I709" s="34"/>
      <c r="J709" s="21"/>
      <c r="K709" s="22"/>
      <c r="L709" s="23"/>
      <c r="M709" s="24"/>
      <c r="N709" s="25"/>
      <c r="O709" s="26"/>
      <c r="P709" s="26"/>
      <c r="Q709" s="25"/>
      <c r="R709" s="25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</row>
    <row r="710">
      <c r="A710" s="31"/>
      <c r="B710" s="32"/>
      <c r="C710" s="33"/>
      <c r="D710" s="33"/>
      <c r="E710" s="27"/>
      <c r="F710" s="29"/>
      <c r="G710" s="34"/>
      <c r="H710" s="34"/>
      <c r="I710" s="34"/>
      <c r="J710" s="21"/>
      <c r="K710" s="22"/>
      <c r="L710" s="23"/>
      <c r="M710" s="24"/>
      <c r="N710" s="25"/>
      <c r="O710" s="26"/>
      <c r="P710" s="26"/>
      <c r="Q710" s="25"/>
      <c r="R710" s="25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</row>
    <row r="711">
      <c r="A711" s="31"/>
      <c r="B711" s="32"/>
      <c r="C711" s="33"/>
      <c r="D711" s="33"/>
      <c r="E711" s="27"/>
      <c r="F711" s="29"/>
      <c r="G711" s="34"/>
      <c r="H711" s="34"/>
      <c r="I711" s="34"/>
      <c r="J711" s="21"/>
      <c r="K711" s="22"/>
      <c r="L711" s="23"/>
      <c r="M711" s="24"/>
      <c r="N711" s="25"/>
      <c r="O711" s="26"/>
      <c r="P711" s="26"/>
      <c r="Q711" s="25"/>
      <c r="R711" s="25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</row>
    <row r="712">
      <c r="A712" s="31"/>
      <c r="B712" s="32"/>
      <c r="C712" s="33"/>
      <c r="D712" s="33"/>
      <c r="E712" s="27"/>
      <c r="F712" s="29"/>
      <c r="G712" s="34"/>
      <c r="H712" s="34"/>
      <c r="I712" s="34"/>
      <c r="J712" s="21"/>
      <c r="K712" s="22"/>
      <c r="L712" s="23"/>
      <c r="M712" s="24"/>
      <c r="N712" s="25"/>
      <c r="O712" s="26"/>
      <c r="P712" s="26"/>
      <c r="Q712" s="25"/>
      <c r="R712" s="25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</row>
    <row r="713">
      <c r="A713" s="31"/>
      <c r="B713" s="32"/>
      <c r="C713" s="33"/>
      <c r="D713" s="33"/>
      <c r="E713" s="27"/>
      <c r="F713" s="29"/>
      <c r="G713" s="34"/>
      <c r="H713" s="34"/>
      <c r="I713" s="34"/>
      <c r="J713" s="21"/>
      <c r="K713" s="22"/>
      <c r="L713" s="23"/>
      <c r="M713" s="24"/>
      <c r="N713" s="25"/>
      <c r="O713" s="26"/>
      <c r="P713" s="26"/>
      <c r="Q713" s="25"/>
      <c r="R713" s="25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</row>
    <row r="714">
      <c r="A714" s="31"/>
      <c r="B714" s="32"/>
      <c r="C714" s="33"/>
      <c r="D714" s="33"/>
      <c r="E714" s="27"/>
      <c r="F714" s="29"/>
      <c r="G714" s="34"/>
      <c r="H714" s="34"/>
      <c r="I714" s="34"/>
      <c r="J714" s="21"/>
      <c r="K714" s="22"/>
      <c r="L714" s="23"/>
      <c r="M714" s="24"/>
      <c r="N714" s="25"/>
      <c r="O714" s="26"/>
      <c r="P714" s="26"/>
      <c r="Q714" s="25"/>
      <c r="R714" s="25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</row>
    <row r="715">
      <c r="A715" s="31"/>
      <c r="B715" s="32"/>
      <c r="C715" s="33"/>
      <c r="D715" s="33"/>
      <c r="E715" s="27"/>
      <c r="F715" s="29"/>
      <c r="G715" s="34"/>
      <c r="H715" s="34"/>
      <c r="I715" s="34"/>
      <c r="J715" s="21"/>
      <c r="K715" s="22"/>
      <c r="L715" s="23"/>
      <c r="M715" s="24"/>
      <c r="N715" s="25"/>
      <c r="O715" s="26"/>
      <c r="P715" s="26"/>
      <c r="Q715" s="25"/>
      <c r="R715" s="25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</row>
    <row r="716">
      <c r="A716" s="31"/>
      <c r="B716" s="32"/>
      <c r="C716" s="33"/>
      <c r="D716" s="33"/>
      <c r="E716" s="27"/>
      <c r="F716" s="29"/>
      <c r="G716" s="34"/>
      <c r="H716" s="34"/>
      <c r="I716" s="34"/>
      <c r="J716" s="21"/>
      <c r="K716" s="22"/>
      <c r="L716" s="23"/>
      <c r="M716" s="24"/>
      <c r="N716" s="25"/>
      <c r="O716" s="26"/>
      <c r="P716" s="26"/>
      <c r="Q716" s="25"/>
      <c r="R716" s="25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</row>
    <row r="717">
      <c r="A717" s="31"/>
      <c r="B717" s="32"/>
      <c r="C717" s="33"/>
      <c r="D717" s="33"/>
      <c r="E717" s="27"/>
      <c r="F717" s="29"/>
      <c r="G717" s="34"/>
      <c r="H717" s="34"/>
      <c r="I717" s="34"/>
      <c r="J717" s="21"/>
      <c r="K717" s="22"/>
      <c r="L717" s="23"/>
      <c r="M717" s="24"/>
      <c r="N717" s="25"/>
      <c r="O717" s="26"/>
      <c r="P717" s="26"/>
      <c r="Q717" s="25"/>
      <c r="R717" s="25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</row>
    <row r="718">
      <c r="A718" s="31"/>
      <c r="B718" s="32"/>
      <c r="C718" s="33"/>
      <c r="D718" s="33"/>
      <c r="E718" s="27"/>
      <c r="F718" s="29"/>
      <c r="G718" s="34"/>
      <c r="H718" s="34"/>
      <c r="I718" s="34"/>
      <c r="J718" s="21"/>
      <c r="K718" s="22"/>
      <c r="L718" s="23"/>
      <c r="M718" s="24"/>
      <c r="N718" s="25"/>
      <c r="O718" s="26"/>
      <c r="P718" s="26"/>
      <c r="Q718" s="25"/>
      <c r="R718" s="25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</row>
    <row r="719">
      <c r="A719" s="31"/>
      <c r="B719" s="32"/>
      <c r="C719" s="33"/>
      <c r="D719" s="33"/>
      <c r="E719" s="27"/>
      <c r="F719" s="29"/>
      <c r="G719" s="34"/>
      <c r="H719" s="34"/>
      <c r="I719" s="34"/>
      <c r="J719" s="21"/>
      <c r="K719" s="22"/>
      <c r="L719" s="23"/>
      <c r="M719" s="24"/>
      <c r="N719" s="25"/>
      <c r="O719" s="26"/>
      <c r="P719" s="26"/>
      <c r="Q719" s="25"/>
      <c r="R719" s="25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</row>
    <row r="720">
      <c r="A720" s="31"/>
      <c r="B720" s="32"/>
      <c r="C720" s="33"/>
      <c r="D720" s="33"/>
      <c r="E720" s="27"/>
      <c r="F720" s="29"/>
      <c r="G720" s="34"/>
      <c r="H720" s="34"/>
      <c r="I720" s="34"/>
      <c r="J720" s="21"/>
      <c r="K720" s="22"/>
      <c r="L720" s="23"/>
      <c r="M720" s="24"/>
      <c r="N720" s="25"/>
      <c r="O720" s="26"/>
      <c r="P720" s="26"/>
      <c r="Q720" s="25"/>
      <c r="R720" s="25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</row>
    <row r="721">
      <c r="A721" s="31"/>
      <c r="B721" s="32"/>
      <c r="C721" s="33"/>
      <c r="D721" s="33"/>
      <c r="E721" s="27"/>
      <c r="F721" s="29"/>
      <c r="G721" s="34"/>
      <c r="H721" s="34"/>
      <c r="I721" s="34"/>
      <c r="J721" s="21"/>
      <c r="K721" s="22"/>
      <c r="L721" s="23"/>
      <c r="M721" s="24"/>
      <c r="N721" s="25"/>
      <c r="O721" s="26"/>
      <c r="P721" s="26"/>
      <c r="Q721" s="25"/>
      <c r="R721" s="25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</row>
    <row r="722">
      <c r="A722" s="31"/>
      <c r="B722" s="32"/>
      <c r="C722" s="33"/>
      <c r="D722" s="33"/>
      <c r="E722" s="27"/>
      <c r="F722" s="29"/>
      <c r="G722" s="34"/>
      <c r="H722" s="34"/>
      <c r="I722" s="34"/>
      <c r="J722" s="21"/>
      <c r="K722" s="22"/>
      <c r="L722" s="23"/>
      <c r="M722" s="24"/>
      <c r="N722" s="25"/>
      <c r="O722" s="26"/>
      <c r="P722" s="26"/>
      <c r="Q722" s="25"/>
      <c r="R722" s="25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</row>
    <row r="723">
      <c r="A723" s="31"/>
      <c r="B723" s="32"/>
      <c r="C723" s="33"/>
      <c r="D723" s="33"/>
      <c r="E723" s="27"/>
      <c r="F723" s="29"/>
      <c r="G723" s="34"/>
      <c r="H723" s="34"/>
      <c r="I723" s="34"/>
      <c r="J723" s="21"/>
      <c r="K723" s="22"/>
      <c r="L723" s="23"/>
      <c r="M723" s="24"/>
      <c r="N723" s="25"/>
      <c r="O723" s="26"/>
      <c r="P723" s="26"/>
      <c r="Q723" s="25"/>
      <c r="R723" s="25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</row>
    <row r="724">
      <c r="A724" s="31"/>
      <c r="B724" s="32"/>
      <c r="C724" s="33"/>
      <c r="D724" s="33"/>
      <c r="E724" s="27"/>
      <c r="F724" s="29"/>
      <c r="G724" s="34"/>
      <c r="H724" s="34"/>
      <c r="I724" s="34"/>
      <c r="J724" s="21"/>
      <c r="K724" s="22"/>
      <c r="L724" s="23"/>
      <c r="M724" s="24"/>
      <c r="N724" s="25"/>
      <c r="O724" s="26"/>
      <c r="P724" s="26"/>
      <c r="Q724" s="25"/>
      <c r="R724" s="25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</row>
    <row r="725">
      <c r="A725" s="31"/>
      <c r="B725" s="32"/>
      <c r="C725" s="33"/>
      <c r="D725" s="33"/>
      <c r="E725" s="27"/>
      <c r="F725" s="29"/>
      <c r="G725" s="34"/>
      <c r="H725" s="34"/>
      <c r="I725" s="34"/>
      <c r="J725" s="21"/>
      <c r="K725" s="22"/>
      <c r="L725" s="23"/>
      <c r="M725" s="24"/>
      <c r="N725" s="25"/>
      <c r="O725" s="26"/>
      <c r="P725" s="26"/>
      <c r="Q725" s="25"/>
      <c r="R725" s="25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</row>
    <row r="726">
      <c r="A726" s="31"/>
      <c r="B726" s="32"/>
      <c r="C726" s="33"/>
      <c r="D726" s="33"/>
      <c r="E726" s="27"/>
      <c r="F726" s="29"/>
      <c r="G726" s="34"/>
      <c r="H726" s="34"/>
      <c r="I726" s="34"/>
      <c r="J726" s="21"/>
      <c r="K726" s="22"/>
      <c r="L726" s="23"/>
      <c r="M726" s="24"/>
      <c r="N726" s="25"/>
      <c r="O726" s="26"/>
      <c r="P726" s="26"/>
      <c r="Q726" s="25"/>
      <c r="R726" s="25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</row>
    <row r="727">
      <c r="A727" s="31"/>
      <c r="B727" s="32"/>
      <c r="C727" s="33"/>
      <c r="D727" s="33"/>
      <c r="E727" s="27"/>
      <c r="F727" s="29"/>
      <c r="G727" s="34"/>
      <c r="H727" s="34"/>
      <c r="I727" s="34"/>
      <c r="J727" s="21"/>
      <c r="K727" s="22"/>
      <c r="L727" s="23"/>
      <c r="M727" s="24"/>
      <c r="N727" s="25"/>
      <c r="O727" s="26"/>
      <c r="P727" s="26"/>
      <c r="Q727" s="25"/>
      <c r="R727" s="25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</row>
    <row r="728">
      <c r="A728" s="31"/>
      <c r="B728" s="32"/>
      <c r="C728" s="33"/>
      <c r="D728" s="33"/>
      <c r="E728" s="27"/>
      <c r="F728" s="29"/>
      <c r="G728" s="34"/>
      <c r="H728" s="34"/>
      <c r="I728" s="34"/>
      <c r="J728" s="21"/>
      <c r="K728" s="22"/>
      <c r="L728" s="23"/>
      <c r="M728" s="24"/>
      <c r="N728" s="25"/>
      <c r="O728" s="26"/>
      <c r="P728" s="26"/>
      <c r="Q728" s="25"/>
      <c r="R728" s="25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</row>
    <row r="729">
      <c r="A729" s="31"/>
      <c r="B729" s="32"/>
      <c r="C729" s="33"/>
      <c r="D729" s="33"/>
      <c r="E729" s="27"/>
      <c r="F729" s="29"/>
      <c r="G729" s="34"/>
      <c r="H729" s="34"/>
      <c r="I729" s="34"/>
      <c r="J729" s="21"/>
      <c r="K729" s="22"/>
      <c r="L729" s="23"/>
      <c r="M729" s="24"/>
      <c r="N729" s="25"/>
      <c r="O729" s="26"/>
      <c r="P729" s="26"/>
      <c r="Q729" s="25"/>
      <c r="R729" s="25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</row>
    <row r="730">
      <c r="A730" s="31"/>
      <c r="B730" s="32"/>
      <c r="C730" s="33"/>
      <c r="D730" s="33"/>
      <c r="E730" s="27"/>
      <c r="F730" s="29"/>
      <c r="G730" s="34"/>
      <c r="H730" s="34"/>
      <c r="I730" s="34"/>
      <c r="J730" s="21"/>
      <c r="K730" s="22"/>
      <c r="L730" s="23"/>
      <c r="M730" s="24"/>
      <c r="N730" s="25"/>
      <c r="O730" s="26"/>
      <c r="P730" s="26"/>
      <c r="Q730" s="25"/>
      <c r="R730" s="25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</row>
    <row r="731">
      <c r="A731" s="31"/>
      <c r="B731" s="32"/>
      <c r="C731" s="33"/>
      <c r="D731" s="33"/>
      <c r="E731" s="27"/>
      <c r="F731" s="29"/>
      <c r="G731" s="34"/>
      <c r="H731" s="34"/>
      <c r="I731" s="34"/>
      <c r="J731" s="21"/>
      <c r="K731" s="22"/>
      <c r="L731" s="23"/>
      <c r="M731" s="24"/>
      <c r="N731" s="25"/>
      <c r="O731" s="26"/>
      <c r="P731" s="26"/>
      <c r="Q731" s="25"/>
      <c r="R731" s="25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</row>
    <row r="732">
      <c r="A732" s="31"/>
      <c r="B732" s="32"/>
      <c r="C732" s="33"/>
      <c r="D732" s="33"/>
      <c r="E732" s="27"/>
      <c r="F732" s="29"/>
      <c r="G732" s="34"/>
      <c r="H732" s="34"/>
      <c r="I732" s="34"/>
      <c r="J732" s="21"/>
      <c r="K732" s="22"/>
      <c r="L732" s="23"/>
      <c r="M732" s="24"/>
      <c r="N732" s="25"/>
      <c r="O732" s="26"/>
      <c r="P732" s="26"/>
      <c r="Q732" s="25"/>
      <c r="R732" s="25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</row>
    <row r="733">
      <c r="A733" s="31"/>
      <c r="B733" s="32"/>
      <c r="C733" s="33"/>
      <c r="D733" s="33"/>
      <c r="E733" s="27"/>
      <c r="F733" s="29"/>
      <c r="G733" s="34"/>
      <c r="H733" s="34"/>
      <c r="I733" s="34"/>
      <c r="J733" s="21"/>
      <c r="K733" s="22"/>
      <c r="L733" s="23"/>
      <c r="M733" s="24"/>
      <c r="N733" s="25"/>
      <c r="O733" s="26"/>
      <c r="P733" s="26"/>
      <c r="Q733" s="25"/>
      <c r="R733" s="25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</row>
    <row r="734">
      <c r="A734" s="31"/>
      <c r="B734" s="32"/>
      <c r="C734" s="33"/>
      <c r="D734" s="33"/>
      <c r="E734" s="27"/>
      <c r="F734" s="29"/>
      <c r="G734" s="34"/>
      <c r="H734" s="34"/>
      <c r="I734" s="34"/>
      <c r="J734" s="21"/>
      <c r="K734" s="22"/>
      <c r="L734" s="23"/>
      <c r="M734" s="24"/>
      <c r="N734" s="25"/>
      <c r="O734" s="26"/>
      <c r="P734" s="26"/>
      <c r="Q734" s="25"/>
      <c r="R734" s="25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</row>
    <row r="735">
      <c r="A735" s="31"/>
      <c r="B735" s="32"/>
      <c r="C735" s="33"/>
      <c r="D735" s="33"/>
      <c r="E735" s="27"/>
      <c r="F735" s="29"/>
      <c r="G735" s="34"/>
      <c r="H735" s="34"/>
      <c r="I735" s="34"/>
      <c r="J735" s="21"/>
      <c r="K735" s="22"/>
      <c r="L735" s="23"/>
      <c r="M735" s="24"/>
      <c r="N735" s="25"/>
      <c r="O735" s="26"/>
      <c r="P735" s="26"/>
      <c r="Q735" s="25"/>
      <c r="R735" s="25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</row>
    <row r="736">
      <c r="A736" s="31"/>
      <c r="B736" s="32"/>
      <c r="C736" s="33"/>
      <c r="D736" s="33"/>
      <c r="E736" s="27"/>
      <c r="F736" s="29"/>
      <c r="G736" s="34"/>
      <c r="H736" s="34"/>
      <c r="I736" s="34"/>
      <c r="J736" s="21"/>
      <c r="K736" s="22"/>
      <c r="L736" s="23"/>
      <c r="M736" s="24"/>
      <c r="N736" s="25"/>
      <c r="O736" s="26"/>
      <c r="P736" s="26"/>
      <c r="Q736" s="25"/>
      <c r="R736" s="25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</row>
    <row r="737">
      <c r="A737" s="31"/>
      <c r="B737" s="32"/>
      <c r="C737" s="33"/>
      <c r="D737" s="33"/>
      <c r="E737" s="27"/>
      <c r="F737" s="29"/>
      <c r="G737" s="34"/>
      <c r="H737" s="34"/>
      <c r="I737" s="34"/>
      <c r="J737" s="21"/>
      <c r="K737" s="22"/>
      <c r="L737" s="23"/>
      <c r="M737" s="24"/>
      <c r="N737" s="25"/>
      <c r="O737" s="26"/>
      <c r="P737" s="26"/>
      <c r="Q737" s="25"/>
      <c r="R737" s="25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</row>
    <row r="738">
      <c r="A738" s="31"/>
      <c r="B738" s="32"/>
      <c r="C738" s="33"/>
      <c r="D738" s="33"/>
      <c r="E738" s="27"/>
      <c r="F738" s="29"/>
      <c r="G738" s="34"/>
      <c r="H738" s="34"/>
      <c r="I738" s="34"/>
      <c r="J738" s="21"/>
      <c r="K738" s="22"/>
      <c r="L738" s="23"/>
      <c r="M738" s="24"/>
      <c r="N738" s="25"/>
      <c r="O738" s="26"/>
      <c r="P738" s="26"/>
      <c r="Q738" s="25"/>
      <c r="R738" s="25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</row>
    <row r="739">
      <c r="A739" s="31"/>
      <c r="B739" s="32"/>
      <c r="C739" s="33"/>
      <c r="D739" s="33"/>
      <c r="E739" s="27"/>
      <c r="F739" s="29"/>
      <c r="G739" s="34"/>
      <c r="H739" s="34"/>
      <c r="I739" s="34"/>
      <c r="J739" s="21"/>
      <c r="K739" s="22"/>
      <c r="L739" s="23"/>
      <c r="M739" s="24"/>
      <c r="N739" s="25"/>
      <c r="O739" s="26"/>
      <c r="P739" s="26"/>
      <c r="Q739" s="25"/>
      <c r="R739" s="25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</row>
    <row r="740">
      <c r="A740" s="31"/>
      <c r="B740" s="32"/>
      <c r="C740" s="33"/>
      <c r="D740" s="33"/>
      <c r="E740" s="27"/>
      <c r="F740" s="29"/>
      <c r="G740" s="34"/>
      <c r="H740" s="34"/>
      <c r="I740" s="34"/>
      <c r="J740" s="21"/>
      <c r="K740" s="22"/>
      <c r="L740" s="23"/>
      <c r="M740" s="24"/>
      <c r="N740" s="25"/>
      <c r="O740" s="26"/>
      <c r="P740" s="26"/>
      <c r="Q740" s="25"/>
      <c r="R740" s="25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</row>
    <row r="741">
      <c r="A741" s="31"/>
      <c r="B741" s="32"/>
      <c r="C741" s="33"/>
      <c r="D741" s="33"/>
      <c r="E741" s="27"/>
      <c r="F741" s="29"/>
      <c r="G741" s="34"/>
      <c r="H741" s="34"/>
      <c r="I741" s="34"/>
      <c r="J741" s="21"/>
      <c r="K741" s="22"/>
      <c r="L741" s="23"/>
      <c r="M741" s="24"/>
      <c r="N741" s="25"/>
      <c r="O741" s="26"/>
      <c r="P741" s="26"/>
      <c r="Q741" s="25"/>
      <c r="R741" s="25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</row>
    <row r="742">
      <c r="A742" s="31"/>
      <c r="B742" s="32"/>
      <c r="C742" s="33"/>
      <c r="D742" s="33"/>
      <c r="E742" s="27"/>
      <c r="F742" s="29"/>
      <c r="G742" s="34"/>
      <c r="H742" s="34"/>
      <c r="I742" s="34"/>
      <c r="J742" s="21"/>
      <c r="K742" s="22"/>
      <c r="L742" s="23"/>
      <c r="M742" s="24"/>
      <c r="N742" s="25"/>
      <c r="O742" s="26"/>
      <c r="P742" s="26"/>
      <c r="Q742" s="25"/>
      <c r="R742" s="25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</row>
    <row r="743">
      <c r="A743" s="31"/>
      <c r="B743" s="32"/>
      <c r="C743" s="33"/>
      <c r="D743" s="33"/>
      <c r="E743" s="27"/>
      <c r="F743" s="29"/>
      <c r="G743" s="34"/>
      <c r="H743" s="34"/>
      <c r="I743" s="34"/>
      <c r="J743" s="21"/>
      <c r="K743" s="22"/>
      <c r="L743" s="23"/>
      <c r="M743" s="24"/>
      <c r="N743" s="25"/>
      <c r="O743" s="26"/>
      <c r="P743" s="26"/>
      <c r="Q743" s="25"/>
      <c r="R743" s="25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</row>
    <row r="744">
      <c r="A744" s="31"/>
      <c r="B744" s="32"/>
      <c r="C744" s="33"/>
      <c r="D744" s="33"/>
      <c r="E744" s="27"/>
      <c r="F744" s="29"/>
      <c r="G744" s="34"/>
      <c r="H744" s="34"/>
      <c r="I744" s="34"/>
      <c r="J744" s="21"/>
      <c r="K744" s="22"/>
      <c r="L744" s="23"/>
      <c r="M744" s="24"/>
      <c r="N744" s="25"/>
      <c r="O744" s="26"/>
      <c r="P744" s="26"/>
      <c r="Q744" s="25"/>
      <c r="R744" s="25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</row>
    <row r="745">
      <c r="A745" s="31"/>
      <c r="B745" s="32"/>
      <c r="C745" s="33"/>
      <c r="D745" s="33"/>
      <c r="E745" s="27"/>
      <c r="F745" s="29"/>
      <c r="G745" s="34"/>
      <c r="H745" s="34"/>
      <c r="I745" s="34"/>
      <c r="J745" s="21"/>
      <c r="K745" s="22"/>
      <c r="L745" s="23"/>
      <c r="M745" s="24"/>
      <c r="N745" s="25"/>
      <c r="O745" s="26"/>
      <c r="P745" s="26"/>
      <c r="Q745" s="25"/>
      <c r="R745" s="25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</row>
    <row r="746">
      <c r="A746" s="31"/>
      <c r="B746" s="32"/>
      <c r="C746" s="33"/>
      <c r="D746" s="33"/>
      <c r="E746" s="27"/>
      <c r="F746" s="29"/>
      <c r="G746" s="34"/>
      <c r="H746" s="34"/>
      <c r="I746" s="34"/>
      <c r="J746" s="21"/>
      <c r="K746" s="22"/>
      <c r="L746" s="23"/>
      <c r="M746" s="24"/>
      <c r="N746" s="25"/>
      <c r="O746" s="26"/>
      <c r="P746" s="26"/>
      <c r="Q746" s="25"/>
      <c r="R746" s="25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</row>
    <row r="747">
      <c r="A747" s="31"/>
      <c r="B747" s="32"/>
      <c r="C747" s="33"/>
      <c r="D747" s="33"/>
      <c r="E747" s="27"/>
      <c r="F747" s="29"/>
      <c r="G747" s="34"/>
      <c r="H747" s="34"/>
      <c r="I747" s="34"/>
      <c r="J747" s="21"/>
      <c r="K747" s="22"/>
      <c r="L747" s="23"/>
      <c r="M747" s="24"/>
      <c r="N747" s="25"/>
      <c r="O747" s="26"/>
      <c r="P747" s="26"/>
      <c r="Q747" s="25"/>
      <c r="R747" s="25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</row>
    <row r="748">
      <c r="A748" s="31"/>
      <c r="B748" s="32"/>
      <c r="C748" s="33"/>
      <c r="D748" s="33"/>
      <c r="E748" s="27"/>
      <c r="F748" s="29"/>
      <c r="G748" s="34"/>
      <c r="H748" s="34"/>
      <c r="I748" s="34"/>
      <c r="J748" s="21"/>
      <c r="K748" s="22"/>
      <c r="L748" s="23"/>
      <c r="M748" s="24"/>
      <c r="N748" s="25"/>
      <c r="O748" s="26"/>
      <c r="P748" s="26"/>
      <c r="Q748" s="25"/>
      <c r="R748" s="25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</row>
    <row r="749">
      <c r="A749" s="31"/>
      <c r="B749" s="32"/>
      <c r="C749" s="33"/>
      <c r="D749" s="33"/>
      <c r="E749" s="27"/>
      <c r="F749" s="29"/>
      <c r="G749" s="34"/>
      <c r="H749" s="34"/>
      <c r="I749" s="34"/>
      <c r="J749" s="21"/>
      <c r="K749" s="22"/>
      <c r="L749" s="23"/>
      <c r="M749" s="24"/>
      <c r="N749" s="25"/>
      <c r="O749" s="26"/>
      <c r="P749" s="26"/>
      <c r="Q749" s="25"/>
      <c r="R749" s="25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</row>
    <row r="750">
      <c r="A750" s="31"/>
      <c r="B750" s="32"/>
      <c r="C750" s="33"/>
      <c r="D750" s="33"/>
      <c r="E750" s="27"/>
      <c r="F750" s="29"/>
      <c r="G750" s="34"/>
      <c r="H750" s="34"/>
      <c r="I750" s="34"/>
      <c r="J750" s="21"/>
      <c r="K750" s="22"/>
      <c r="L750" s="23"/>
      <c r="M750" s="24"/>
      <c r="N750" s="25"/>
      <c r="O750" s="26"/>
      <c r="P750" s="26"/>
      <c r="Q750" s="25"/>
      <c r="R750" s="25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</row>
    <row r="751">
      <c r="A751" s="31"/>
      <c r="B751" s="32"/>
      <c r="C751" s="33"/>
      <c r="D751" s="33"/>
      <c r="E751" s="27"/>
      <c r="F751" s="29"/>
      <c r="G751" s="34"/>
      <c r="H751" s="34"/>
      <c r="I751" s="34"/>
      <c r="J751" s="21"/>
      <c r="K751" s="22"/>
      <c r="L751" s="23"/>
      <c r="M751" s="24"/>
      <c r="N751" s="25"/>
      <c r="O751" s="26"/>
      <c r="P751" s="26"/>
      <c r="Q751" s="25"/>
      <c r="R751" s="25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</row>
    <row r="752">
      <c r="A752" s="31"/>
      <c r="B752" s="32"/>
      <c r="C752" s="33"/>
      <c r="D752" s="33"/>
      <c r="E752" s="27"/>
      <c r="F752" s="29"/>
      <c r="G752" s="34"/>
      <c r="H752" s="34"/>
      <c r="I752" s="34"/>
      <c r="J752" s="21"/>
      <c r="K752" s="22"/>
      <c r="L752" s="23"/>
      <c r="M752" s="24"/>
      <c r="N752" s="25"/>
      <c r="O752" s="26"/>
      <c r="P752" s="26"/>
      <c r="Q752" s="25"/>
      <c r="R752" s="25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</row>
    <row r="753">
      <c r="A753" s="31"/>
      <c r="B753" s="32"/>
      <c r="C753" s="33"/>
      <c r="D753" s="33"/>
      <c r="E753" s="27"/>
      <c r="F753" s="29"/>
      <c r="G753" s="34"/>
      <c r="H753" s="34"/>
      <c r="I753" s="34"/>
      <c r="J753" s="21"/>
      <c r="K753" s="22"/>
      <c r="L753" s="23"/>
      <c r="M753" s="24"/>
      <c r="N753" s="25"/>
      <c r="O753" s="26"/>
      <c r="P753" s="26"/>
      <c r="Q753" s="25"/>
      <c r="R753" s="25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</row>
    <row r="754">
      <c r="A754" s="31"/>
      <c r="B754" s="32"/>
      <c r="C754" s="33"/>
      <c r="D754" s="33"/>
      <c r="E754" s="27"/>
      <c r="F754" s="29"/>
      <c r="G754" s="34"/>
      <c r="H754" s="34"/>
      <c r="I754" s="34"/>
      <c r="J754" s="21"/>
      <c r="K754" s="22"/>
      <c r="L754" s="23"/>
      <c r="M754" s="24"/>
      <c r="N754" s="25"/>
      <c r="O754" s="26"/>
      <c r="P754" s="26"/>
      <c r="Q754" s="25"/>
      <c r="R754" s="25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</row>
    <row r="755">
      <c r="A755" s="31"/>
      <c r="B755" s="32"/>
      <c r="C755" s="33"/>
      <c r="D755" s="33"/>
      <c r="E755" s="27"/>
      <c r="F755" s="29"/>
      <c r="G755" s="34"/>
      <c r="H755" s="34"/>
      <c r="I755" s="34"/>
      <c r="J755" s="21"/>
      <c r="K755" s="22"/>
      <c r="L755" s="23"/>
      <c r="M755" s="24"/>
      <c r="N755" s="25"/>
      <c r="O755" s="26"/>
      <c r="P755" s="26"/>
      <c r="Q755" s="25"/>
      <c r="R755" s="25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</row>
    <row r="756">
      <c r="A756" s="31"/>
      <c r="B756" s="32"/>
      <c r="C756" s="33"/>
      <c r="D756" s="33"/>
      <c r="E756" s="27"/>
      <c r="F756" s="29"/>
      <c r="G756" s="34"/>
      <c r="H756" s="34"/>
      <c r="I756" s="34"/>
      <c r="J756" s="21"/>
      <c r="K756" s="22"/>
      <c r="L756" s="23"/>
      <c r="M756" s="24"/>
      <c r="N756" s="25"/>
      <c r="O756" s="26"/>
      <c r="P756" s="26"/>
      <c r="Q756" s="25"/>
      <c r="R756" s="25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</row>
    <row r="757">
      <c r="A757" s="31"/>
      <c r="B757" s="32"/>
      <c r="C757" s="33"/>
      <c r="D757" s="33"/>
      <c r="E757" s="27"/>
      <c r="F757" s="29"/>
      <c r="G757" s="34"/>
      <c r="H757" s="34"/>
      <c r="I757" s="34"/>
      <c r="J757" s="21"/>
      <c r="K757" s="22"/>
      <c r="L757" s="23"/>
      <c r="M757" s="24"/>
      <c r="N757" s="25"/>
      <c r="O757" s="26"/>
      <c r="P757" s="26"/>
      <c r="Q757" s="25"/>
      <c r="R757" s="25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</row>
    <row r="758">
      <c r="A758" s="31"/>
      <c r="B758" s="32"/>
      <c r="C758" s="33"/>
      <c r="D758" s="33"/>
      <c r="E758" s="27"/>
      <c r="F758" s="29"/>
      <c r="G758" s="34"/>
      <c r="H758" s="34"/>
      <c r="I758" s="34"/>
      <c r="J758" s="21"/>
      <c r="K758" s="22"/>
      <c r="L758" s="23"/>
      <c r="M758" s="24"/>
      <c r="N758" s="25"/>
      <c r="O758" s="26"/>
      <c r="P758" s="26"/>
      <c r="Q758" s="25"/>
      <c r="R758" s="25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</row>
    <row r="759">
      <c r="A759" s="31"/>
      <c r="B759" s="32"/>
      <c r="C759" s="33"/>
      <c r="D759" s="33"/>
      <c r="E759" s="27"/>
      <c r="F759" s="29"/>
      <c r="G759" s="34"/>
      <c r="H759" s="34"/>
      <c r="I759" s="34"/>
      <c r="J759" s="21"/>
      <c r="K759" s="22"/>
      <c r="L759" s="23"/>
      <c r="M759" s="24"/>
      <c r="N759" s="25"/>
      <c r="O759" s="26"/>
      <c r="P759" s="26"/>
      <c r="Q759" s="25"/>
      <c r="R759" s="25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</row>
    <row r="760">
      <c r="A760" s="31"/>
      <c r="B760" s="32"/>
      <c r="C760" s="33"/>
      <c r="D760" s="33"/>
      <c r="E760" s="27"/>
      <c r="F760" s="29"/>
      <c r="G760" s="34"/>
      <c r="H760" s="34"/>
      <c r="I760" s="34"/>
      <c r="J760" s="21"/>
      <c r="K760" s="22"/>
      <c r="L760" s="23"/>
      <c r="M760" s="24"/>
      <c r="N760" s="25"/>
      <c r="O760" s="26"/>
      <c r="P760" s="26"/>
      <c r="Q760" s="25"/>
      <c r="R760" s="25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</row>
    <row r="761">
      <c r="A761" s="31"/>
      <c r="B761" s="32"/>
      <c r="C761" s="33"/>
      <c r="D761" s="33"/>
      <c r="E761" s="27"/>
      <c r="F761" s="29"/>
      <c r="G761" s="34"/>
      <c r="H761" s="34"/>
      <c r="I761" s="34"/>
      <c r="J761" s="21"/>
      <c r="K761" s="22"/>
      <c r="L761" s="23"/>
      <c r="M761" s="24"/>
      <c r="N761" s="25"/>
      <c r="O761" s="26"/>
      <c r="P761" s="26"/>
      <c r="Q761" s="25"/>
      <c r="R761" s="25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</row>
    <row r="762">
      <c r="A762" s="31"/>
      <c r="B762" s="32"/>
      <c r="C762" s="33"/>
      <c r="D762" s="33"/>
      <c r="E762" s="27"/>
      <c r="F762" s="29"/>
      <c r="G762" s="34"/>
      <c r="H762" s="34"/>
      <c r="I762" s="34"/>
      <c r="J762" s="21"/>
      <c r="K762" s="22"/>
      <c r="L762" s="23"/>
      <c r="M762" s="24"/>
      <c r="N762" s="25"/>
      <c r="O762" s="26"/>
      <c r="P762" s="26"/>
      <c r="Q762" s="25"/>
      <c r="R762" s="25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</row>
    <row r="763">
      <c r="A763" s="31"/>
      <c r="B763" s="32"/>
      <c r="C763" s="33"/>
      <c r="D763" s="33"/>
      <c r="E763" s="27"/>
      <c r="F763" s="29"/>
      <c r="G763" s="34"/>
      <c r="H763" s="34"/>
      <c r="I763" s="34"/>
      <c r="J763" s="21"/>
      <c r="K763" s="22"/>
      <c r="L763" s="23"/>
      <c r="M763" s="24"/>
      <c r="N763" s="25"/>
      <c r="O763" s="26"/>
      <c r="P763" s="26"/>
      <c r="Q763" s="25"/>
      <c r="R763" s="25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</row>
    <row r="764">
      <c r="A764" s="31"/>
      <c r="B764" s="32"/>
      <c r="C764" s="33"/>
      <c r="D764" s="33"/>
      <c r="E764" s="27"/>
      <c r="F764" s="29"/>
      <c r="G764" s="34"/>
      <c r="H764" s="34"/>
      <c r="I764" s="34"/>
      <c r="J764" s="21"/>
      <c r="K764" s="22"/>
      <c r="L764" s="23"/>
      <c r="M764" s="24"/>
      <c r="N764" s="25"/>
      <c r="O764" s="26"/>
      <c r="P764" s="26"/>
      <c r="Q764" s="25"/>
      <c r="R764" s="25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</row>
    <row r="765">
      <c r="A765" s="31"/>
      <c r="B765" s="32"/>
      <c r="C765" s="33"/>
      <c r="D765" s="33"/>
      <c r="E765" s="27"/>
      <c r="F765" s="29"/>
      <c r="G765" s="34"/>
      <c r="H765" s="34"/>
      <c r="I765" s="34"/>
      <c r="J765" s="21"/>
      <c r="K765" s="22"/>
      <c r="L765" s="23"/>
      <c r="M765" s="24"/>
      <c r="N765" s="25"/>
      <c r="O765" s="26"/>
      <c r="P765" s="26"/>
      <c r="Q765" s="25"/>
      <c r="R765" s="25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</row>
    <row r="766">
      <c r="A766" s="31"/>
      <c r="B766" s="32"/>
      <c r="C766" s="33"/>
      <c r="D766" s="33"/>
      <c r="E766" s="27"/>
      <c r="F766" s="29"/>
      <c r="G766" s="34"/>
      <c r="H766" s="34"/>
      <c r="I766" s="34"/>
      <c r="J766" s="21"/>
      <c r="K766" s="22"/>
      <c r="L766" s="23"/>
      <c r="M766" s="24"/>
      <c r="N766" s="25"/>
      <c r="O766" s="26"/>
      <c r="P766" s="26"/>
      <c r="Q766" s="25"/>
      <c r="R766" s="25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</row>
    <row r="767">
      <c r="A767" s="31"/>
      <c r="B767" s="32"/>
      <c r="C767" s="33"/>
      <c r="D767" s="33"/>
      <c r="E767" s="27"/>
      <c r="F767" s="29"/>
      <c r="G767" s="34"/>
      <c r="H767" s="34"/>
      <c r="I767" s="34"/>
      <c r="J767" s="21"/>
      <c r="K767" s="22"/>
      <c r="L767" s="23"/>
      <c r="M767" s="24"/>
      <c r="N767" s="25"/>
      <c r="O767" s="26"/>
      <c r="P767" s="26"/>
      <c r="Q767" s="25"/>
      <c r="R767" s="25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</row>
    <row r="768">
      <c r="A768" s="31"/>
      <c r="B768" s="32"/>
      <c r="C768" s="33"/>
      <c r="D768" s="33"/>
      <c r="E768" s="27"/>
      <c r="F768" s="29"/>
      <c r="G768" s="34"/>
      <c r="H768" s="34"/>
      <c r="I768" s="34"/>
      <c r="J768" s="21"/>
      <c r="K768" s="22"/>
      <c r="L768" s="23"/>
      <c r="M768" s="24"/>
      <c r="N768" s="25"/>
      <c r="O768" s="26"/>
      <c r="P768" s="26"/>
      <c r="Q768" s="25"/>
      <c r="R768" s="25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</row>
    <row r="769">
      <c r="A769" s="31"/>
      <c r="B769" s="32"/>
      <c r="C769" s="33"/>
      <c r="D769" s="33"/>
      <c r="E769" s="27"/>
      <c r="F769" s="29"/>
      <c r="G769" s="34"/>
      <c r="H769" s="34"/>
      <c r="I769" s="34"/>
      <c r="J769" s="21"/>
      <c r="K769" s="22"/>
      <c r="L769" s="23"/>
      <c r="M769" s="24"/>
      <c r="N769" s="25"/>
      <c r="O769" s="26"/>
      <c r="P769" s="26"/>
      <c r="Q769" s="25"/>
      <c r="R769" s="25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</row>
    <row r="770">
      <c r="A770" s="31"/>
      <c r="B770" s="32"/>
      <c r="C770" s="33"/>
      <c r="D770" s="33"/>
      <c r="E770" s="27"/>
      <c r="F770" s="29"/>
      <c r="G770" s="34"/>
      <c r="H770" s="34"/>
      <c r="I770" s="34"/>
      <c r="J770" s="21"/>
      <c r="K770" s="22"/>
      <c r="L770" s="23"/>
      <c r="M770" s="24"/>
      <c r="N770" s="25"/>
      <c r="O770" s="26"/>
      <c r="P770" s="26"/>
      <c r="Q770" s="25"/>
      <c r="R770" s="25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</row>
    <row r="771">
      <c r="A771" s="31"/>
      <c r="B771" s="32"/>
      <c r="C771" s="33"/>
      <c r="D771" s="33"/>
      <c r="E771" s="27"/>
      <c r="F771" s="29"/>
      <c r="G771" s="34"/>
      <c r="H771" s="34"/>
      <c r="I771" s="34"/>
      <c r="J771" s="21"/>
      <c r="K771" s="22"/>
      <c r="L771" s="23"/>
      <c r="M771" s="24"/>
      <c r="N771" s="25"/>
      <c r="O771" s="26"/>
      <c r="P771" s="26"/>
      <c r="Q771" s="25"/>
      <c r="R771" s="25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</row>
    <row r="772">
      <c r="A772" s="31"/>
      <c r="B772" s="32"/>
      <c r="C772" s="33"/>
      <c r="D772" s="33"/>
      <c r="E772" s="27"/>
      <c r="F772" s="29"/>
      <c r="G772" s="34"/>
      <c r="H772" s="34"/>
      <c r="I772" s="34"/>
      <c r="J772" s="21"/>
      <c r="K772" s="22"/>
      <c r="L772" s="23"/>
      <c r="M772" s="24"/>
      <c r="N772" s="25"/>
      <c r="O772" s="26"/>
      <c r="P772" s="26"/>
      <c r="Q772" s="25"/>
      <c r="R772" s="25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</row>
    <row r="773">
      <c r="A773" s="31"/>
      <c r="B773" s="32"/>
      <c r="C773" s="33"/>
      <c r="D773" s="33"/>
      <c r="E773" s="27"/>
      <c r="F773" s="29"/>
      <c r="G773" s="34"/>
      <c r="H773" s="34"/>
      <c r="I773" s="34"/>
      <c r="J773" s="21"/>
      <c r="K773" s="22"/>
      <c r="L773" s="23"/>
      <c r="M773" s="24"/>
      <c r="N773" s="25"/>
      <c r="O773" s="26"/>
      <c r="P773" s="26"/>
      <c r="Q773" s="25"/>
      <c r="R773" s="25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</row>
    <row r="774">
      <c r="A774" s="31"/>
      <c r="B774" s="32"/>
      <c r="C774" s="33"/>
      <c r="D774" s="33"/>
      <c r="E774" s="27"/>
      <c r="F774" s="29"/>
      <c r="G774" s="34"/>
      <c r="H774" s="34"/>
      <c r="I774" s="34"/>
      <c r="J774" s="21"/>
      <c r="K774" s="22"/>
      <c r="L774" s="23"/>
      <c r="M774" s="24"/>
      <c r="N774" s="25"/>
      <c r="O774" s="26"/>
      <c r="P774" s="26"/>
      <c r="Q774" s="25"/>
      <c r="R774" s="25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</row>
    <row r="775">
      <c r="A775" s="31"/>
      <c r="B775" s="32"/>
      <c r="C775" s="33"/>
      <c r="D775" s="33"/>
      <c r="E775" s="27"/>
      <c r="F775" s="29"/>
      <c r="G775" s="34"/>
      <c r="H775" s="34"/>
      <c r="I775" s="34"/>
      <c r="J775" s="21"/>
      <c r="K775" s="22"/>
      <c r="L775" s="23"/>
      <c r="M775" s="24"/>
      <c r="N775" s="25"/>
      <c r="O775" s="26"/>
      <c r="P775" s="26"/>
      <c r="Q775" s="25"/>
      <c r="R775" s="25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</row>
    <row r="776">
      <c r="A776" s="31"/>
      <c r="B776" s="32"/>
      <c r="C776" s="33"/>
      <c r="D776" s="33"/>
      <c r="E776" s="27"/>
      <c r="F776" s="29"/>
      <c r="G776" s="34"/>
      <c r="H776" s="34"/>
      <c r="I776" s="34"/>
      <c r="J776" s="21"/>
      <c r="K776" s="22"/>
      <c r="L776" s="23"/>
      <c r="M776" s="24"/>
      <c r="N776" s="25"/>
      <c r="O776" s="26"/>
      <c r="P776" s="26"/>
      <c r="Q776" s="25"/>
      <c r="R776" s="25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</row>
    <row r="777">
      <c r="A777" s="31"/>
      <c r="B777" s="32"/>
      <c r="C777" s="33"/>
      <c r="D777" s="33"/>
      <c r="E777" s="27"/>
      <c r="F777" s="29"/>
      <c r="G777" s="34"/>
      <c r="H777" s="34"/>
      <c r="I777" s="34"/>
      <c r="J777" s="21"/>
      <c r="K777" s="22"/>
      <c r="L777" s="23"/>
      <c r="M777" s="24"/>
      <c r="N777" s="25"/>
      <c r="O777" s="26"/>
      <c r="P777" s="26"/>
      <c r="Q777" s="25"/>
      <c r="R777" s="25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</row>
    <row r="778">
      <c r="A778" s="31"/>
      <c r="B778" s="32"/>
      <c r="C778" s="33"/>
      <c r="D778" s="33"/>
      <c r="E778" s="27"/>
      <c r="F778" s="29"/>
      <c r="G778" s="34"/>
      <c r="H778" s="34"/>
      <c r="I778" s="34"/>
      <c r="J778" s="21"/>
      <c r="K778" s="22"/>
      <c r="L778" s="23"/>
      <c r="M778" s="24"/>
      <c r="N778" s="25"/>
      <c r="O778" s="26"/>
      <c r="P778" s="26"/>
      <c r="Q778" s="25"/>
      <c r="R778" s="25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</row>
    <row r="779">
      <c r="A779" s="31"/>
      <c r="B779" s="32"/>
      <c r="C779" s="33"/>
      <c r="D779" s="33"/>
      <c r="E779" s="27"/>
      <c r="F779" s="29"/>
      <c r="G779" s="34"/>
      <c r="H779" s="34"/>
      <c r="I779" s="34"/>
      <c r="J779" s="21"/>
      <c r="K779" s="22"/>
      <c r="L779" s="23"/>
      <c r="M779" s="24"/>
      <c r="N779" s="25"/>
      <c r="O779" s="26"/>
      <c r="P779" s="26"/>
      <c r="Q779" s="25"/>
      <c r="R779" s="25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</row>
    <row r="780">
      <c r="A780" s="31"/>
      <c r="B780" s="32"/>
      <c r="C780" s="33"/>
      <c r="D780" s="33"/>
      <c r="E780" s="27"/>
      <c r="F780" s="29"/>
      <c r="G780" s="34"/>
      <c r="H780" s="34"/>
      <c r="I780" s="34"/>
      <c r="J780" s="21"/>
      <c r="K780" s="22"/>
      <c r="L780" s="23"/>
      <c r="M780" s="24"/>
      <c r="N780" s="25"/>
      <c r="O780" s="26"/>
      <c r="P780" s="26"/>
      <c r="Q780" s="25"/>
      <c r="R780" s="25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</row>
    <row r="781">
      <c r="A781" s="31"/>
      <c r="B781" s="32"/>
      <c r="C781" s="33"/>
      <c r="D781" s="33"/>
      <c r="E781" s="27"/>
      <c r="F781" s="29"/>
      <c r="G781" s="34"/>
      <c r="H781" s="34"/>
      <c r="I781" s="34"/>
      <c r="J781" s="21"/>
      <c r="K781" s="22"/>
      <c r="L781" s="23"/>
      <c r="M781" s="24"/>
      <c r="N781" s="25"/>
      <c r="O781" s="26"/>
      <c r="P781" s="26"/>
      <c r="Q781" s="25"/>
      <c r="R781" s="25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</row>
    <row r="782">
      <c r="A782" s="31"/>
      <c r="B782" s="32"/>
      <c r="C782" s="33"/>
      <c r="D782" s="33"/>
      <c r="E782" s="27"/>
      <c r="F782" s="29"/>
      <c r="G782" s="34"/>
      <c r="H782" s="34"/>
      <c r="I782" s="34"/>
      <c r="J782" s="21"/>
      <c r="K782" s="22"/>
      <c r="L782" s="23"/>
      <c r="M782" s="24"/>
      <c r="N782" s="25"/>
      <c r="O782" s="26"/>
      <c r="P782" s="26"/>
      <c r="Q782" s="25"/>
      <c r="R782" s="25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</row>
    <row r="783">
      <c r="A783" s="31"/>
      <c r="B783" s="32"/>
      <c r="C783" s="33"/>
      <c r="D783" s="33"/>
      <c r="E783" s="27"/>
      <c r="F783" s="29"/>
      <c r="G783" s="34"/>
      <c r="H783" s="34"/>
      <c r="I783" s="34"/>
      <c r="J783" s="21"/>
      <c r="K783" s="22"/>
      <c r="L783" s="23"/>
      <c r="M783" s="24"/>
      <c r="N783" s="25"/>
      <c r="O783" s="26"/>
      <c r="P783" s="26"/>
      <c r="Q783" s="25"/>
      <c r="R783" s="25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</row>
    <row r="784">
      <c r="A784" s="31"/>
      <c r="B784" s="32"/>
      <c r="C784" s="33"/>
      <c r="D784" s="33"/>
      <c r="E784" s="27"/>
      <c r="F784" s="29"/>
      <c r="G784" s="34"/>
      <c r="H784" s="34"/>
      <c r="I784" s="34"/>
      <c r="J784" s="21"/>
      <c r="K784" s="22"/>
      <c r="L784" s="23"/>
      <c r="M784" s="24"/>
      <c r="N784" s="25"/>
      <c r="O784" s="26"/>
      <c r="P784" s="26"/>
      <c r="Q784" s="25"/>
      <c r="R784" s="25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</row>
    <row r="785">
      <c r="A785" s="31"/>
      <c r="B785" s="32"/>
      <c r="C785" s="33"/>
      <c r="D785" s="33"/>
      <c r="E785" s="27"/>
      <c r="F785" s="29"/>
      <c r="G785" s="34"/>
      <c r="H785" s="34"/>
      <c r="I785" s="34"/>
      <c r="J785" s="21"/>
      <c r="K785" s="22"/>
      <c r="L785" s="23"/>
      <c r="M785" s="24"/>
      <c r="N785" s="25"/>
      <c r="O785" s="26"/>
      <c r="P785" s="26"/>
      <c r="Q785" s="25"/>
      <c r="R785" s="25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</row>
    <row r="786">
      <c r="A786" s="31"/>
      <c r="B786" s="32"/>
      <c r="C786" s="33"/>
      <c r="D786" s="33"/>
      <c r="E786" s="27"/>
      <c r="F786" s="29"/>
      <c r="G786" s="34"/>
      <c r="H786" s="34"/>
      <c r="I786" s="34"/>
      <c r="J786" s="21"/>
      <c r="K786" s="22"/>
      <c r="L786" s="23"/>
      <c r="M786" s="24"/>
      <c r="N786" s="25"/>
      <c r="O786" s="26"/>
      <c r="P786" s="26"/>
      <c r="Q786" s="25"/>
      <c r="R786" s="25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</row>
    <row r="787">
      <c r="A787" s="31"/>
      <c r="B787" s="32"/>
      <c r="C787" s="33"/>
      <c r="D787" s="33"/>
      <c r="E787" s="27"/>
      <c r="F787" s="29"/>
      <c r="G787" s="34"/>
      <c r="H787" s="34"/>
      <c r="I787" s="34"/>
      <c r="J787" s="21"/>
      <c r="K787" s="22"/>
      <c r="L787" s="23"/>
      <c r="M787" s="24"/>
      <c r="N787" s="25"/>
      <c r="O787" s="26"/>
      <c r="P787" s="26"/>
      <c r="Q787" s="25"/>
      <c r="R787" s="25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</row>
    <row r="788">
      <c r="A788" s="31"/>
      <c r="B788" s="32"/>
      <c r="C788" s="33"/>
      <c r="D788" s="33"/>
      <c r="E788" s="27"/>
      <c r="F788" s="29"/>
      <c r="G788" s="34"/>
      <c r="H788" s="34"/>
      <c r="I788" s="34"/>
      <c r="J788" s="21"/>
      <c r="K788" s="22"/>
      <c r="L788" s="23"/>
      <c r="M788" s="24"/>
      <c r="N788" s="25"/>
      <c r="O788" s="26"/>
      <c r="P788" s="26"/>
      <c r="Q788" s="25"/>
      <c r="R788" s="25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</row>
    <row r="789">
      <c r="A789" s="31"/>
      <c r="B789" s="32"/>
      <c r="C789" s="33"/>
      <c r="D789" s="33"/>
      <c r="E789" s="27"/>
      <c r="F789" s="29"/>
      <c r="G789" s="34"/>
      <c r="H789" s="34"/>
      <c r="I789" s="34"/>
      <c r="J789" s="21"/>
      <c r="K789" s="22"/>
      <c r="L789" s="23"/>
      <c r="M789" s="24"/>
      <c r="N789" s="25"/>
      <c r="O789" s="26"/>
      <c r="P789" s="26"/>
      <c r="Q789" s="25"/>
      <c r="R789" s="25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</row>
    <row r="790">
      <c r="A790" s="31"/>
      <c r="B790" s="32"/>
      <c r="C790" s="33"/>
      <c r="D790" s="33"/>
      <c r="E790" s="27"/>
      <c r="F790" s="29"/>
      <c r="G790" s="34"/>
      <c r="H790" s="34"/>
      <c r="I790" s="34"/>
      <c r="J790" s="21"/>
      <c r="K790" s="22"/>
      <c r="L790" s="23"/>
      <c r="M790" s="24"/>
      <c r="N790" s="25"/>
      <c r="O790" s="26"/>
      <c r="P790" s="26"/>
      <c r="Q790" s="25"/>
      <c r="R790" s="25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</row>
    <row r="791">
      <c r="A791" s="31"/>
      <c r="B791" s="32"/>
      <c r="C791" s="33"/>
      <c r="D791" s="33"/>
      <c r="E791" s="27"/>
      <c r="F791" s="29"/>
      <c r="G791" s="34"/>
      <c r="H791" s="34"/>
      <c r="I791" s="34"/>
      <c r="J791" s="21"/>
      <c r="K791" s="22"/>
      <c r="L791" s="23"/>
      <c r="M791" s="24"/>
      <c r="N791" s="25"/>
      <c r="O791" s="26"/>
      <c r="P791" s="26"/>
      <c r="Q791" s="25"/>
      <c r="R791" s="25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</row>
    <row r="792">
      <c r="A792" s="31"/>
      <c r="B792" s="32"/>
      <c r="C792" s="33"/>
      <c r="D792" s="33"/>
      <c r="E792" s="27"/>
      <c r="F792" s="29"/>
      <c r="G792" s="34"/>
      <c r="H792" s="34"/>
      <c r="I792" s="34"/>
      <c r="J792" s="21"/>
      <c r="K792" s="22"/>
      <c r="L792" s="23"/>
      <c r="M792" s="24"/>
      <c r="N792" s="25"/>
      <c r="O792" s="26"/>
      <c r="P792" s="26"/>
      <c r="Q792" s="25"/>
      <c r="R792" s="25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</row>
    <row r="793">
      <c r="A793" s="31"/>
      <c r="B793" s="32"/>
      <c r="C793" s="33"/>
      <c r="D793" s="33"/>
      <c r="E793" s="27"/>
      <c r="F793" s="29"/>
      <c r="G793" s="34"/>
      <c r="H793" s="34"/>
      <c r="I793" s="34"/>
      <c r="J793" s="21"/>
      <c r="K793" s="22"/>
      <c r="L793" s="23"/>
      <c r="M793" s="24"/>
      <c r="N793" s="25"/>
      <c r="O793" s="26"/>
      <c r="P793" s="26"/>
      <c r="Q793" s="25"/>
      <c r="R793" s="25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</row>
    <row r="794">
      <c r="A794" s="31"/>
      <c r="B794" s="32"/>
      <c r="C794" s="33"/>
      <c r="D794" s="33"/>
      <c r="E794" s="27"/>
      <c r="F794" s="29"/>
      <c r="G794" s="34"/>
      <c r="H794" s="34"/>
      <c r="I794" s="34"/>
      <c r="J794" s="21"/>
      <c r="K794" s="22"/>
      <c r="L794" s="23"/>
      <c r="M794" s="24"/>
      <c r="N794" s="25"/>
      <c r="O794" s="26"/>
      <c r="P794" s="26"/>
      <c r="Q794" s="25"/>
      <c r="R794" s="25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</row>
    <row r="795">
      <c r="A795" s="31"/>
      <c r="B795" s="32"/>
      <c r="C795" s="33"/>
      <c r="D795" s="33"/>
      <c r="E795" s="27"/>
      <c r="F795" s="29"/>
      <c r="G795" s="34"/>
      <c r="H795" s="34"/>
      <c r="I795" s="34"/>
      <c r="J795" s="21"/>
      <c r="K795" s="22"/>
      <c r="L795" s="23"/>
      <c r="M795" s="24"/>
      <c r="N795" s="25"/>
      <c r="O795" s="26"/>
      <c r="P795" s="26"/>
      <c r="Q795" s="25"/>
      <c r="R795" s="25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</row>
    <row r="796">
      <c r="A796" s="31"/>
      <c r="B796" s="32"/>
      <c r="C796" s="33"/>
      <c r="D796" s="33"/>
      <c r="E796" s="27"/>
      <c r="F796" s="29"/>
      <c r="G796" s="34"/>
      <c r="H796" s="34"/>
      <c r="I796" s="34"/>
      <c r="J796" s="21"/>
      <c r="K796" s="22"/>
      <c r="L796" s="23"/>
      <c r="M796" s="24"/>
      <c r="N796" s="25"/>
      <c r="O796" s="26"/>
      <c r="P796" s="26"/>
      <c r="Q796" s="25"/>
      <c r="R796" s="25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</row>
    <row r="797">
      <c r="A797" s="31"/>
      <c r="B797" s="32"/>
      <c r="C797" s="33"/>
      <c r="D797" s="33"/>
      <c r="E797" s="27"/>
      <c r="F797" s="29"/>
      <c r="G797" s="34"/>
      <c r="H797" s="34"/>
      <c r="I797" s="34"/>
      <c r="J797" s="21"/>
      <c r="K797" s="22"/>
      <c r="L797" s="23"/>
      <c r="M797" s="24"/>
      <c r="N797" s="25"/>
      <c r="O797" s="26"/>
      <c r="P797" s="26"/>
      <c r="Q797" s="25"/>
      <c r="R797" s="25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</row>
    <row r="798">
      <c r="A798" s="31"/>
      <c r="B798" s="32"/>
      <c r="C798" s="33"/>
      <c r="D798" s="33"/>
      <c r="E798" s="27"/>
      <c r="F798" s="29"/>
      <c r="G798" s="34"/>
      <c r="H798" s="34"/>
      <c r="I798" s="34"/>
      <c r="J798" s="21"/>
      <c r="K798" s="22"/>
      <c r="L798" s="23"/>
      <c r="M798" s="24"/>
      <c r="N798" s="25"/>
      <c r="O798" s="26"/>
      <c r="P798" s="26"/>
      <c r="Q798" s="25"/>
      <c r="R798" s="25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</row>
    <row r="799">
      <c r="A799" s="31"/>
      <c r="B799" s="32"/>
      <c r="C799" s="33"/>
      <c r="D799" s="33"/>
      <c r="E799" s="27"/>
      <c r="F799" s="29"/>
      <c r="G799" s="34"/>
      <c r="H799" s="34"/>
      <c r="I799" s="34"/>
      <c r="J799" s="21"/>
      <c r="K799" s="22"/>
      <c r="L799" s="23"/>
      <c r="M799" s="24"/>
      <c r="N799" s="25"/>
      <c r="O799" s="26"/>
      <c r="P799" s="26"/>
      <c r="Q799" s="25"/>
      <c r="R799" s="25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</row>
    <row r="800">
      <c r="A800" s="31"/>
      <c r="B800" s="32"/>
      <c r="C800" s="33"/>
      <c r="D800" s="33"/>
      <c r="E800" s="27"/>
      <c r="F800" s="29"/>
      <c r="G800" s="34"/>
      <c r="H800" s="34"/>
      <c r="I800" s="34"/>
      <c r="J800" s="21"/>
      <c r="K800" s="22"/>
      <c r="L800" s="23"/>
      <c r="M800" s="24"/>
      <c r="N800" s="25"/>
      <c r="O800" s="26"/>
      <c r="P800" s="26"/>
      <c r="Q800" s="25"/>
      <c r="R800" s="25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</row>
    <row r="801">
      <c r="A801" s="31"/>
      <c r="B801" s="32"/>
      <c r="C801" s="33"/>
      <c r="D801" s="33"/>
      <c r="E801" s="27"/>
      <c r="F801" s="29"/>
      <c r="G801" s="34"/>
      <c r="H801" s="34"/>
      <c r="I801" s="34"/>
      <c r="J801" s="21"/>
      <c r="K801" s="22"/>
      <c r="L801" s="23"/>
      <c r="M801" s="24"/>
      <c r="N801" s="25"/>
      <c r="O801" s="26"/>
      <c r="P801" s="26"/>
      <c r="Q801" s="25"/>
      <c r="R801" s="25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</row>
    <row r="802">
      <c r="A802" s="31"/>
      <c r="B802" s="32"/>
      <c r="C802" s="33"/>
      <c r="D802" s="33"/>
      <c r="E802" s="27"/>
      <c r="F802" s="29"/>
      <c r="G802" s="34"/>
      <c r="H802" s="34"/>
      <c r="I802" s="34"/>
      <c r="J802" s="21"/>
      <c r="K802" s="22"/>
      <c r="L802" s="23"/>
      <c r="M802" s="24"/>
      <c r="N802" s="25"/>
      <c r="O802" s="26"/>
      <c r="P802" s="26"/>
      <c r="Q802" s="25"/>
      <c r="R802" s="25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</row>
    <row r="803">
      <c r="A803" s="31"/>
      <c r="B803" s="32"/>
      <c r="C803" s="33"/>
      <c r="D803" s="33"/>
      <c r="E803" s="27"/>
      <c r="F803" s="29"/>
      <c r="G803" s="34"/>
      <c r="H803" s="34"/>
      <c r="I803" s="34"/>
      <c r="J803" s="21"/>
      <c r="K803" s="22"/>
      <c r="L803" s="23"/>
      <c r="M803" s="24"/>
      <c r="N803" s="25"/>
      <c r="O803" s="26"/>
      <c r="P803" s="26"/>
      <c r="Q803" s="25"/>
      <c r="R803" s="25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</row>
    <row r="804">
      <c r="A804" s="31"/>
      <c r="B804" s="32"/>
      <c r="C804" s="33"/>
      <c r="D804" s="33"/>
      <c r="E804" s="27"/>
      <c r="F804" s="29"/>
      <c r="G804" s="34"/>
      <c r="H804" s="34"/>
      <c r="I804" s="34"/>
      <c r="J804" s="21"/>
      <c r="K804" s="22"/>
      <c r="L804" s="23"/>
      <c r="M804" s="24"/>
      <c r="N804" s="25"/>
      <c r="O804" s="26"/>
      <c r="P804" s="26"/>
      <c r="Q804" s="25"/>
      <c r="R804" s="25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</row>
    <row r="805">
      <c r="A805" s="31"/>
      <c r="B805" s="32"/>
      <c r="C805" s="33"/>
      <c r="D805" s="33"/>
      <c r="E805" s="27"/>
      <c r="F805" s="29"/>
      <c r="G805" s="34"/>
      <c r="H805" s="34"/>
      <c r="I805" s="34"/>
      <c r="J805" s="21"/>
      <c r="K805" s="22"/>
      <c r="L805" s="23"/>
      <c r="M805" s="24"/>
      <c r="N805" s="25"/>
      <c r="O805" s="26"/>
      <c r="P805" s="26"/>
      <c r="Q805" s="25"/>
      <c r="R805" s="25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</row>
    <row r="806">
      <c r="A806" s="31"/>
      <c r="B806" s="32"/>
      <c r="C806" s="33"/>
      <c r="D806" s="33"/>
      <c r="E806" s="27"/>
      <c r="F806" s="29"/>
      <c r="G806" s="34"/>
      <c r="H806" s="34"/>
      <c r="I806" s="34"/>
      <c r="J806" s="21"/>
      <c r="K806" s="22"/>
      <c r="L806" s="23"/>
      <c r="M806" s="24"/>
      <c r="N806" s="25"/>
      <c r="O806" s="26"/>
      <c r="P806" s="26"/>
      <c r="Q806" s="25"/>
      <c r="R806" s="25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</row>
    <row r="807">
      <c r="A807" s="31"/>
      <c r="B807" s="32"/>
      <c r="C807" s="33"/>
      <c r="D807" s="33"/>
      <c r="E807" s="27"/>
      <c r="F807" s="29"/>
      <c r="G807" s="34"/>
      <c r="H807" s="34"/>
      <c r="I807" s="34"/>
      <c r="J807" s="21"/>
      <c r="K807" s="22"/>
      <c r="L807" s="23"/>
      <c r="M807" s="24"/>
      <c r="N807" s="25"/>
      <c r="O807" s="26"/>
      <c r="P807" s="26"/>
      <c r="Q807" s="25"/>
      <c r="R807" s="25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</row>
    <row r="808">
      <c r="A808" s="31"/>
      <c r="B808" s="32"/>
      <c r="C808" s="33"/>
      <c r="D808" s="33"/>
      <c r="E808" s="27"/>
      <c r="F808" s="29"/>
      <c r="G808" s="34"/>
      <c r="H808" s="34"/>
      <c r="I808" s="34"/>
      <c r="J808" s="21"/>
      <c r="K808" s="22"/>
      <c r="L808" s="23"/>
      <c r="M808" s="24"/>
      <c r="N808" s="25"/>
      <c r="O808" s="26"/>
      <c r="P808" s="26"/>
      <c r="Q808" s="25"/>
      <c r="R808" s="25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</row>
    <row r="809">
      <c r="A809" s="31"/>
      <c r="B809" s="32"/>
      <c r="C809" s="33"/>
      <c r="D809" s="33"/>
      <c r="E809" s="27"/>
      <c r="F809" s="29"/>
      <c r="G809" s="34"/>
      <c r="H809" s="34"/>
      <c r="I809" s="34"/>
      <c r="J809" s="21"/>
      <c r="K809" s="22"/>
      <c r="L809" s="23"/>
      <c r="M809" s="24"/>
      <c r="N809" s="25"/>
      <c r="O809" s="26"/>
      <c r="P809" s="26"/>
      <c r="Q809" s="25"/>
      <c r="R809" s="25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</row>
    <row r="810">
      <c r="A810" s="31"/>
      <c r="B810" s="32"/>
      <c r="C810" s="33"/>
      <c r="D810" s="33"/>
      <c r="E810" s="27"/>
      <c r="F810" s="29"/>
      <c r="G810" s="34"/>
      <c r="H810" s="34"/>
      <c r="I810" s="34"/>
      <c r="J810" s="21"/>
      <c r="K810" s="22"/>
      <c r="L810" s="23"/>
      <c r="M810" s="24"/>
      <c r="N810" s="25"/>
      <c r="O810" s="26"/>
      <c r="P810" s="26"/>
      <c r="Q810" s="25"/>
      <c r="R810" s="25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</row>
    <row r="811">
      <c r="A811" s="31"/>
      <c r="B811" s="32"/>
      <c r="C811" s="33"/>
      <c r="D811" s="33"/>
      <c r="E811" s="27"/>
      <c r="F811" s="29"/>
      <c r="G811" s="34"/>
      <c r="H811" s="34"/>
      <c r="I811" s="34"/>
      <c r="J811" s="21"/>
      <c r="K811" s="22"/>
      <c r="L811" s="23"/>
      <c r="M811" s="24"/>
      <c r="N811" s="25"/>
      <c r="O811" s="26"/>
      <c r="P811" s="26"/>
      <c r="Q811" s="25"/>
      <c r="R811" s="25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</row>
    <row r="812">
      <c r="A812" s="31"/>
      <c r="B812" s="32"/>
      <c r="C812" s="33"/>
      <c r="D812" s="33"/>
      <c r="E812" s="27"/>
      <c r="F812" s="29"/>
      <c r="G812" s="34"/>
      <c r="H812" s="34"/>
      <c r="I812" s="34"/>
      <c r="J812" s="21"/>
      <c r="K812" s="22"/>
      <c r="L812" s="23"/>
      <c r="M812" s="24"/>
      <c r="N812" s="25"/>
      <c r="O812" s="26"/>
      <c r="P812" s="26"/>
      <c r="Q812" s="25"/>
      <c r="R812" s="25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</row>
    <row r="813">
      <c r="A813" s="31"/>
      <c r="B813" s="32"/>
      <c r="C813" s="33"/>
      <c r="D813" s="33"/>
      <c r="E813" s="27"/>
      <c r="F813" s="29"/>
      <c r="G813" s="34"/>
      <c r="H813" s="34"/>
      <c r="I813" s="34"/>
      <c r="J813" s="21"/>
      <c r="K813" s="22"/>
      <c r="L813" s="23"/>
      <c r="M813" s="24"/>
      <c r="N813" s="25"/>
      <c r="O813" s="26"/>
      <c r="P813" s="26"/>
      <c r="Q813" s="25"/>
      <c r="R813" s="25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</row>
    <row r="814">
      <c r="A814" s="31"/>
      <c r="B814" s="32"/>
      <c r="C814" s="33"/>
      <c r="D814" s="33"/>
      <c r="E814" s="27"/>
      <c r="F814" s="29"/>
      <c r="G814" s="34"/>
      <c r="H814" s="34"/>
      <c r="I814" s="34"/>
      <c r="J814" s="21"/>
      <c r="K814" s="22"/>
      <c r="L814" s="23"/>
      <c r="M814" s="24"/>
      <c r="N814" s="25"/>
      <c r="O814" s="26"/>
      <c r="P814" s="26"/>
      <c r="Q814" s="25"/>
      <c r="R814" s="25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</row>
    <row r="815">
      <c r="A815" s="31"/>
      <c r="B815" s="32"/>
      <c r="C815" s="33"/>
      <c r="D815" s="33"/>
      <c r="E815" s="27"/>
      <c r="F815" s="29"/>
      <c r="G815" s="34"/>
      <c r="H815" s="34"/>
      <c r="I815" s="34"/>
      <c r="J815" s="21"/>
      <c r="K815" s="22"/>
      <c r="L815" s="23"/>
      <c r="M815" s="24"/>
      <c r="N815" s="25"/>
      <c r="O815" s="26"/>
      <c r="P815" s="26"/>
      <c r="Q815" s="25"/>
      <c r="R815" s="25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</row>
    <row r="816">
      <c r="A816" s="31"/>
      <c r="B816" s="32"/>
      <c r="C816" s="33"/>
      <c r="D816" s="33"/>
      <c r="E816" s="27"/>
      <c r="F816" s="29"/>
      <c r="G816" s="34"/>
      <c r="H816" s="34"/>
      <c r="I816" s="34"/>
      <c r="J816" s="21"/>
      <c r="K816" s="22"/>
      <c r="L816" s="23"/>
      <c r="M816" s="24"/>
      <c r="N816" s="25"/>
      <c r="O816" s="26"/>
      <c r="P816" s="26"/>
      <c r="Q816" s="25"/>
      <c r="R816" s="25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</row>
    <row r="817">
      <c r="A817" s="31"/>
      <c r="B817" s="32"/>
      <c r="C817" s="33"/>
      <c r="D817" s="33"/>
      <c r="E817" s="27"/>
      <c r="F817" s="29"/>
      <c r="G817" s="34"/>
      <c r="H817" s="34"/>
      <c r="I817" s="34"/>
      <c r="J817" s="21"/>
      <c r="K817" s="22"/>
      <c r="L817" s="23"/>
      <c r="M817" s="24"/>
      <c r="N817" s="25"/>
      <c r="O817" s="26"/>
      <c r="P817" s="26"/>
      <c r="Q817" s="25"/>
      <c r="R817" s="25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</row>
    <row r="818">
      <c r="A818" s="31"/>
      <c r="B818" s="32"/>
      <c r="C818" s="33"/>
      <c r="D818" s="33"/>
      <c r="E818" s="27"/>
      <c r="F818" s="29"/>
      <c r="G818" s="34"/>
      <c r="H818" s="34"/>
      <c r="I818" s="34"/>
      <c r="J818" s="21"/>
      <c r="K818" s="22"/>
      <c r="L818" s="23"/>
      <c r="M818" s="24"/>
      <c r="N818" s="25"/>
      <c r="O818" s="26"/>
      <c r="P818" s="26"/>
      <c r="Q818" s="25"/>
      <c r="R818" s="25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</row>
    <row r="819">
      <c r="A819" s="31"/>
      <c r="B819" s="32"/>
      <c r="C819" s="33"/>
      <c r="D819" s="33"/>
      <c r="E819" s="27"/>
      <c r="F819" s="29"/>
      <c r="G819" s="34"/>
      <c r="H819" s="34"/>
      <c r="I819" s="34"/>
      <c r="J819" s="21"/>
      <c r="K819" s="22"/>
      <c r="L819" s="23"/>
      <c r="M819" s="24"/>
      <c r="N819" s="25"/>
      <c r="O819" s="26"/>
      <c r="P819" s="26"/>
      <c r="Q819" s="25"/>
      <c r="R819" s="25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</row>
    <row r="820">
      <c r="A820" s="31"/>
      <c r="B820" s="32"/>
      <c r="C820" s="33"/>
      <c r="D820" s="33"/>
      <c r="E820" s="27"/>
      <c r="F820" s="29"/>
      <c r="G820" s="34"/>
      <c r="H820" s="34"/>
      <c r="I820" s="34"/>
      <c r="J820" s="21"/>
      <c r="K820" s="22"/>
      <c r="L820" s="23"/>
      <c r="M820" s="24"/>
      <c r="N820" s="25"/>
      <c r="O820" s="26"/>
      <c r="P820" s="26"/>
      <c r="Q820" s="25"/>
      <c r="R820" s="25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</row>
    <row r="821">
      <c r="A821" s="31"/>
      <c r="B821" s="32"/>
      <c r="C821" s="33"/>
      <c r="D821" s="33"/>
      <c r="E821" s="27"/>
      <c r="F821" s="29"/>
      <c r="G821" s="34"/>
      <c r="H821" s="34"/>
      <c r="I821" s="34"/>
      <c r="J821" s="21"/>
      <c r="K821" s="22"/>
      <c r="L821" s="23"/>
      <c r="M821" s="24"/>
      <c r="N821" s="25"/>
      <c r="O821" s="26"/>
      <c r="P821" s="26"/>
      <c r="Q821" s="25"/>
      <c r="R821" s="25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</row>
    <row r="822">
      <c r="A822" s="31"/>
      <c r="B822" s="32"/>
      <c r="C822" s="33"/>
      <c r="D822" s="33"/>
      <c r="E822" s="27"/>
      <c r="F822" s="29"/>
      <c r="G822" s="34"/>
      <c r="H822" s="34"/>
      <c r="I822" s="34"/>
      <c r="J822" s="21"/>
      <c r="K822" s="22"/>
      <c r="L822" s="23"/>
      <c r="M822" s="24"/>
      <c r="N822" s="25"/>
      <c r="O822" s="26"/>
      <c r="P822" s="26"/>
      <c r="Q822" s="25"/>
      <c r="R822" s="25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</row>
    <row r="823">
      <c r="A823" s="31"/>
      <c r="B823" s="32"/>
      <c r="C823" s="33"/>
      <c r="D823" s="33"/>
      <c r="E823" s="27"/>
      <c r="F823" s="29"/>
      <c r="G823" s="34"/>
      <c r="H823" s="34"/>
      <c r="I823" s="34"/>
      <c r="J823" s="21"/>
      <c r="K823" s="22"/>
      <c r="L823" s="23"/>
      <c r="M823" s="24"/>
      <c r="N823" s="25"/>
      <c r="O823" s="26"/>
      <c r="P823" s="26"/>
      <c r="Q823" s="25"/>
      <c r="R823" s="25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</row>
    <row r="824">
      <c r="A824" s="31"/>
      <c r="B824" s="32"/>
      <c r="C824" s="33"/>
      <c r="D824" s="33"/>
      <c r="E824" s="27"/>
      <c r="F824" s="29"/>
      <c r="G824" s="34"/>
      <c r="H824" s="34"/>
      <c r="I824" s="34"/>
      <c r="J824" s="21"/>
      <c r="K824" s="22"/>
      <c r="L824" s="23"/>
      <c r="M824" s="24"/>
      <c r="N824" s="25"/>
      <c r="O824" s="26"/>
      <c r="P824" s="26"/>
      <c r="Q824" s="25"/>
      <c r="R824" s="25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</row>
    <row r="825">
      <c r="A825" s="31"/>
      <c r="B825" s="32"/>
      <c r="C825" s="33"/>
      <c r="D825" s="33"/>
      <c r="E825" s="27"/>
      <c r="F825" s="29"/>
      <c r="G825" s="34"/>
      <c r="H825" s="34"/>
      <c r="I825" s="34"/>
      <c r="J825" s="21"/>
      <c r="K825" s="22"/>
      <c r="L825" s="23"/>
      <c r="M825" s="24"/>
      <c r="N825" s="25"/>
      <c r="O825" s="26"/>
      <c r="P825" s="26"/>
      <c r="Q825" s="25"/>
      <c r="R825" s="25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</row>
    <row r="826">
      <c r="A826" s="31"/>
      <c r="B826" s="32"/>
      <c r="C826" s="33"/>
      <c r="D826" s="33"/>
      <c r="E826" s="27"/>
      <c r="F826" s="29"/>
      <c r="G826" s="34"/>
      <c r="H826" s="34"/>
      <c r="I826" s="34"/>
      <c r="J826" s="21"/>
      <c r="K826" s="22"/>
      <c r="L826" s="23"/>
      <c r="M826" s="24"/>
      <c r="N826" s="25"/>
      <c r="O826" s="26"/>
      <c r="P826" s="26"/>
      <c r="Q826" s="25"/>
      <c r="R826" s="25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</row>
    <row r="827">
      <c r="A827" s="31"/>
      <c r="B827" s="32"/>
      <c r="C827" s="33"/>
      <c r="D827" s="33"/>
      <c r="E827" s="27"/>
      <c r="F827" s="29"/>
      <c r="G827" s="34"/>
      <c r="H827" s="34"/>
      <c r="I827" s="34"/>
      <c r="J827" s="21"/>
      <c r="K827" s="22"/>
      <c r="L827" s="23"/>
      <c r="M827" s="24"/>
      <c r="N827" s="25"/>
      <c r="O827" s="26"/>
      <c r="P827" s="26"/>
      <c r="Q827" s="25"/>
      <c r="R827" s="25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</row>
    <row r="828">
      <c r="A828" s="31"/>
      <c r="B828" s="32"/>
      <c r="C828" s="33"/>
      <c r="D828" s="33"/>
      <c r="E828" s="27"/>
      <c r="F828" s="29"/>
      <c r="G828" s="34"/>
      <c r="H828" s="34"/>
      <c r="I828" s="34"/>
      <c r="J828" s="21"/>
      <c r="K828" s="22"/>
      <c r="L828" s="23"/>
      <c r="M828" s="24"/>
      <c r="N828" s="25"/>
      <c r="O828" s="26"/>
      <c r="P828" s="26"/>
      <c r="Q828" s="25"/>
      <c r="R828" s="25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</row>
    <row r="829">
      <c r="A829" s="31"/>
      <c r="B829" s="32"/>
      <c r="C829" s="33"/>
      <c r="D829" s="33"/>
      <c r="E829" s="27"/>
      <c r="F829" s="29"/>
      <c r="G829" s="34"/>
      <c r="H829" s="34"/>
      <c r="I829" s="34"/>
      <c r="J829" s="21"/>
      <c r="K829" s="22"/>
      <c r="L829" s="23"/>
      <c r="M829" s="24"/>
      <c r="N829" s="25"/>
      <c r="O829" s="26"/>
      <c r="P829" s="26"/>
      <c r="Q829" s="25"/>
      <c r="R829" s="25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</row>
    <row r="830">
      <c r="A830" s="31"/>
      <c r="B830" s="32"/>
      <c r="C830" s="33"/>
      <c r="D830" s="33"/>
      <c r="E830" s="27"/>
      <c r="F830" s="29"/>
      <c r="G830" s="34"/>
      <c r="H830" s="34"/>
      <c r="I830" s="34"/>
      <c r="J830" s="21"/>
      <c r="K830" s="22"/>
      <c r="L830" s="23"/>
      <c r="M830" s="24"/>
      <c r="N830" s="25"/>
      <c r="O830" s="26"/>
      <c r="P830" s="26"/>
      <c r="Q830" s="25"/>
      <c r="R830" s="25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</row>
    <row r="831">
      <c r="A831" s="31"/>
      <c r="B831" s="32"/>
      <c r="C831" s="33"/>
      <c r="D831" s="33"/>
      <c r="E831" s="27"/>
      <c r="F831" s="29"/>
      <c r="G831" s="34"/>
      <c r="H831" s="34"/>
      <c r="I831" s="34"/>
      <c r="J831" s="21"/>
      <c r="K831" s="22"/>
      <c r="L831" s="23"/>
      <c r="M831" s="24"/>
      <c r="N831" s="25"/>
      <c r="O831" s="26"/>
      <c r="P831" s="26"/>
      <c r="Q831" s="25"/>
      <c r="R831" s="25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</row>
    <row r="832">
      <c r="A832" s="31"/>
      <c r="B832" s="32"/>
      <c r="C832" s="33"/>
      <c r="D832" s="33"/>
      <c r="E832" s="27"/>
      <c r="F832" s="29"/>
      <c r="G832" s="34"/>
      <c r="H832" s="34"/>
      <c r="I832" s="34"/>
      <c r="J832" s="21"/>
      <c r="K832" s="22"/>
      <c r="L832" s="23"/>
      <c r="M832" s="24"/>
      <c r="N832" s="25"/>
      <c r="O832" s="26"/>
      <c r="P832" s="26"/>
      <c r="Q832" s="25"/>
      <c r="R832" s="25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</row>
    <row r="833">
      <c r="A833" s="31"/>
      <c r="B833" s="32"/>
      <c r="C833" s="33"/>
      <c r="D833" s="33"/>
      <c r="E833" s="27"/>
      <c r="F833" s="29"/>
      <c r="G833" s="34"/>
      <c r="H833" s="34"/>
      <c r="I833" s="34"/>
      <c r="J833" s="21"/>
      <c r="K833" s="22"/>
      <c r="L833" s="23"/>
      <c r="M833" s="24"/>
      <c r="N833" s="25"/>
      <c r="O833" s="26"/>
      <c r="P833" s="26"/>
      <c r="Q833" s="25"/>
      <c r="R833" s="25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</row>
    <row r="834">
      <c r="A834" s="31"/>
      <c r="B834" s="32"/>
      <c r="C834" s="33"/>
      <c r="D834" s="33"/>
      <c r="E834" s="27"/>
      <c r="F834" s="29"/>
      <c r="G834" s="34"/>
      <c r="H834" s="34"/>
      <c r="I834" s="34"/>
      <c r="J834" s="21"/>
      <c r="K834" s="22"/>
      <c r="L834" s="23"/>
      <c r="M834" s="24"/>
      <c r="N834" s="25"/>
      <c r="O834" s="26"/>
      <c r="P834" s="26"/>
      <c r="Q834" s="25"/>
      <c r="R834" s="25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</row>
    <row r="835">
      <c r="A835" s="31"/>
      <c r="B835" s="32"/>
      <c r="C835" s="33"/>
      <c r="D835" s="33"/>
      <c r="E835" s="27"/>
      <c r="F835" s="29"/>
      <c r="G835" s="34"/>
      <c r="H835" s="34"/>
      <c r="I835" s="34"/>
      <c r="J835" s="21"/>
      <c r="K835" s="22"/>
      <c r="L835" s="23"/>
      <c r="M835" s="24"/>
      <c r="N835" s="25"/>
      <c r="O835" s="26"/>
      <c r="P835" s="26"/>
      <c r="Q835" s="25"/>
      <c r="R835" s="25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</row>
    <row r="836">
      <c r="A836" s="31"/>
      <c r="B836" s="32"/>
      <c r="C836" s="33"/>
      <c r="D836" s="33"/>
      <c r="E836" s="27"/>
      <c r="F836" s="29"/>
      <c r="G836" s="34"/>
      <c r="H836" s="34"/>
      <c r="I836" s="34"/>
      <c r="J836" s="21"/>
      <c r="K836" s="22"/>
      <c r="L836" s="23"/>
      <c r="M836" s="24"/>
      <c r="N836" s="25"/>
      <c r="O836" s="26"/>
      <c r="P836" s="26"/>
      <c r="Q836" s="25"/>
      <c r="R836" s="25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</row>
    <row r="837">
      <c r="A837" s="31"/>
      <c r="B837" s="32"/>
      <c r="C837" s="33"/>
      <c r="D837" s="33"/>
      <c r="E837" s="27"/>
      <c r="F837" s="29"/>
      <c r="G837" s="34"/>
      <c r="H837" s="34"/>
      <c r="I837" s="34"/>
      <c r="J837" s="21"/>
      <c r="K837" s="22"/>
      <c r="L837" s="23"/>
      <c r="M837" s="24"/>
      <c r="N837" s="25"/>
      <c r="O837" s="26"/>
      <c r="P837" s="26"/>
      <c r="Q837" s="25"/>
      <c r="R837" s="25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</row>
    <row r="838">
      <c r="A838" s="31"/>
      <c r="B838" s="32"/>
      <c r="C838" s="33"/>
      <c r="D838" s="33"/>
      <c r="E838" s="27"/>
      <c r="F838" s="29"/>
      <c r="G838" s="34"/>
      <c r="H838" s="34"/>
      <c r="I838" s="34"/>
      <c r="J838" s="21"/>
      <c r="K838" s="22"/>
      <c r="L838" s="23"/>
      <c r="M838" s="24"/>
      <c r="N838" s="25"/>
      <c r="O838" s="26"/>
      <c r="P838" s="26"/>
      <c r="Q838" s="25"/>
      <c r="R838" s="25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</row>
    <row r="839">
      <c r="A839" s="31"/>
      <c r="B839" s="32"/>
      <c r="C839" s="33"/>
      <c r="D839" s="33"/>
      <c r="E839" s="27"/>
      <c r="F839" s="29"/>
      <c r="G839" s="34"/>
      <c r="H839" s="34"/>
      <c r="I839" s="34"/>
      <c r="J839" s="21"/>
      <c r="K839" s="22"/>
      <c r="L839" s="23"/>
      <c r="M839" s="24"/>
      <c r="N839" s="25"/>
      <c r="O839" s="26"/>
      <c r="P839" s="26"/>
      <c r="Q839" s="25"/>
      <c r="R839" s="25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</row>
    <row r="840">
      <c r="A840" s="31"/>
      <c r="B840" s="32"/>
      <c r="C840" s="33"/>
      <c r="D840" s="33"/>
      <c r="E840" s="27"/>
      <c r="F840" s="29"/>
      <c r="G840" s="34"/>
      <c r="H840" s="34"/>
      <c r="I840" s="34"/>
      <c r="J840" s="21"/>
      <c r="K840" s="22"/>
      <c r="L840" s="23"/>
      <c r="M840" s="24"/>
      <c r="N840" s="25"/>
      <c r="O840" s="26"/>
      <c r="P840" s="26"/>
      <c r="Q840" s="25"/>
      <c r="R840" s="25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</row>
    <row r="841">
      <c r="A841" s="31"/>
      <c r="B841" s="32"/>
      <c r="C841" s="33"/>
      <c r="D841" s="33"/>
      <c r="E841" s="27"/>
      <c r="F841" s="29"/>
      <c r="G841" s="34"/>
      <c r="H841" s="34"/>
      <c r="I841" s="34"/>
      <c r="J841" s="21"/>
      <c r="K841" s="22"/>
      <c r="L841" s="23"/>
      <c r="M841" s="24"/>
      <c r="N841" s="25"/>
      <c r="O841" s="26"/>
      <c r="P841" s="26"/>
      <c r="Q841" s="25"/>
      <c r="R841" s="25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</row>
    <row r="842">
      <c r="A842" s="31"/>
      <c r="B842" s="32"/>
      <c r="C842" s="33"/>
      <c r="D842" s="33"/>
      <c r="E842" s="27"/>
      <c r="F842" s="29"/>
      <c r="G842" s="34"/>
      <c r="H842" s="34"/>
      <c r="I842" s="34"/>
      <c r="J842" s="21"/>
      <c r="K842" s="22"/>
      <c r="L842" s="23"/>
      <c r="M842" s="24"/>
      <c r="N842" s="25"/>
      <c r="O842" s="26"/>
      <c r="P842" s="26"/>
      <c r="Q842" s="25"/>
      <c r="R842" s="25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</row>
    <row r="843">
      <c r="A843" s="31"/>
      <c r="B843" s="32"/>
      <c r="C843" s="33"/>
      <c r="D843" s="33"/>
      <c r="E843" s="27"/>
      <c r="F843" s="29"/>
      <c r="G843" s="34"/>
      <c r="H843" s="34"/>
      <c r="I843" s="34"/>
      <c r="J843" s="21"/>
      <c r="K843" s="22"/>
      <c r="L843" s="23"/>
      <c r="M843" s="24"/>
      <c r="N843" s="25"/>
      <c r="O843" s="26"/>
      <c r="P843" s="26"/>
      <c r="Q843" s="25"/>
      <c r="R843" s="25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</row>
    <row r="844">
      <c r="A844" s="31"/>
      <c r="B844" s="32"/>
      <c r="C844" s="33"/>
      <c r="D844" s="33"/>
      <c r="E844" s="27"/>
      <c r="F844" s="29"/>
      <c r="G844" s="34"/>
      <c r="H844" s="34"/>
      <c r="I844" s="34"/>
      <c r="J844" s="21"/>
      <c r="K844" s="22"/>
      <c r="L844" s="23"/>
      <c r="M844" s="24"/>
      <c r="N844" s="25"/>
      <c r="O844" s="26"/>
      <c r="P844" s="26"/>
      <c r="Q844" s="25"/>
      <c r="R844" s="25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</row>
    <row r="845">
      <c r="A845" s="31"/>
      <c r="B845" s="32"/>
      <c r="C845" s="33"/>
      <c r="D845" s="33"/>
      <c r="E845" s="27"/>
      <c r="F845" s="29"/>
      <c r="G845" s="34"/>
      <c r="H845" s="34"/>
      <c r="I845" s="34"/>
      <c r="J845" s="21"/>
      <c r="K845" s="22"/>
      <c r="L845" s="23"/>
      <c r="M845" s="24"/>
      <c r="N845" s="25"/>
      <c r="O845" s="26"/>
      <c r="P845" s="26"/>
      <c r="Q845" s="25"/>
      <c r="R845" s="25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</row>
    <row r="846">
      <c r="A846" s="31"/>
      <c r="B846" s="32"/>
      <c r="C846" s="33"/>
      <c r="D846" s="33"/>
      <c r="E846" s="27"/>
      <c r="F846" s="29"/>
      <c r="G846" s="34"/>
      <c r="H846" s="34"/>
      <c r="I846" s="34"/>
      <c r="J846" s="21"/>
      <c r="K846" s="22"/>
      <c r="L846" s="23"/>
      <c r="M846" s="24"/>
      <c r="N846" s="25"/>
      <c r="O846" s="26"/>
      <c r="P846" s="26"/>
      <c r="Q846" s="25"/>
      <c r="R846" s="25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</row>
    <row r="847">
      <c r="A847" s="31"/>
      <c r="B847" s="32"/>
      <c r="C847" s="33"/>
      <c r="D847" s="33"/>
      <c r="E847" s="27"/>
      <c r="F847" s="29"/>
      <c r="G847" s="34"/>
      <c r="H847" s="34"/>
      <c r="I847" s="34"/>
      <c r="J847" s="21"/>
      <c r="K847" s="22"/>
      <c r="L847" s="23"/>
      <c r="M847" s="24"/>
      <c r="N847" s="25"/>
      <c r="O847" s="26"/>
      <c r="P847" s="26"/>
      <c r="Q847" s="25"/>
      <c r="R847" s="25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</row>
    <row r="848">
      <c r="A848" s="31"/>
      <c r="B848" s="32"/>
      <c r="C848" s="33"/>
      <c r="D848" s="33"/>
      <c r="E848" s="27"/>
      <c r="F848" s="29"/>
      <c r="G848" s="34"/>
      <c r="H848" s="34"/>
      <c r="I848" s="34"/>
      <c r="J848" s="21"/>
      <c r="K848" s="22"/>
      <c r="L848" s="23"/>
      <c r="M848" s="24"/>
      <c r="N848" s="25"/>
      <c r="O848" s="26"/>
      <c r="P848" s="26"/>
      <c r="Q848" s="25"/>
      <c r="R848" s="25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</row>
    <row r="849">
      <c r="A849" s="31"/>
      <c r="B849" s="32"/>
      <c r="C849" s="33"/>
      <c r="D849" s="33"/>
      <c r="E849" s="27"/>
      <c r="F849" s="29"/>
      <c r="G849" s="34"/>
      <c r="H849" s="34"/>
      <c r="I849" s="34"/>
      <c r="J849" s="21"/>
      <c r="K849" s="22"/>
      <c r="L849" s="23"/>
      <c r="M849" s="24"/>
      <c r="N849" s="25"/>
      <c r="O849" s="26"/>
      <c r="P849" s="26"/>
      <c r="Q849" s="25"/>
      <c r="R849" s="25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</row>
    <row r="850">
      <c r="A850" s="31"/>
      <c r="B850" s="32"/>
      <c r="C850" s="33"/>
      <c r="D850" s="33"/>
      <c r="E850" s="27"/>
      <c r="F850" s="29"/>
      <c r="G850" s="34"/>
      <c r="H850" s="34"/>
      <c r="I850" s="34"/>
      <c r="J850" s="21"/>
      <c r="K850" s="22"/>
      <c r="L850" s="23"/>
      <c r="M850" s="24"/>
      <c r="N850" s="25"/>
      <c r="O850" s="26"/>
      <c r="P850" s="26"/>
      <c r="Q850" s="25"/>
      <c r="R850" s="25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</row>
    <row r="851">
      <c r="A851" s="31"/>
      <c r="B851" s="32"/>
      <c r="C851" s="33"/>
      <c r="D851" s="33"/>
      <c r="E851" s="27"/>
      <c r="F851" s="29"/>
      <c r="G851" s="34"/>
      <c r="H851" s="34"/>
      <c r="I851" s="34"/>
      <c r="J851" s="21"/>
      <c r="K851" s="22"/>
      <c r="L851" s="23"/>
      <c r="M851" s="24"/>
      <c r="N851" s="25"/>
      <c r="O851" s="26"/>
      <c r="P851" s="26"/>
      <c r="Q851" s="25"/>
      <c r="R851" s="25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</row>
    <row r="852">
      <c r="A852" s="31"/>
      <c r="B852" s="32"/>
      <c r="C852" s="33"/>
      <c r="D852" s="33"/>
      <c r="E852" s="27"/>
      <c r="F852" s="29"/>
      <c r="G852" s="34"/>
      <c r="H852" s="34"/>
      <c r="I852" s="34"/>
      <c r="J852" s="21"/>
      <c r="K852" s="22"/>
      <c r="L852" s="23"/>
      <c r="M852" s="24"/>
      <c r="N852" s="25"/>
      <c r="O852" s="26"/>
      <c r="P852" s="26"/>
      <c r="Q852" s="25"/>
      <c r="R852" s="25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</row>
    <row r="853">
      <c r="A853" s="31"/>
      <c r="B853" s="32"/>
      <c r="C853" s="33"/>
      <c r="D853" s="33"/>
      <c r="E853" s="27"/>
      <c r="F853" s="29"/>
      <c r="G853" s="34"/>
      <c r="H853" s="34"/>
      <c r="I853" s="34"/>
      <c r="J853" s="21"/>
      <c r="K853" s="22"/>
      <c r="L853" s="23"/>
      <c r="M853" s="24"/>
      <c r="N853" s="25"/>
      <c r="O853" s="26"/>
      <c r="P853" s="26"/>
      <c r="Q853" s="25"/>
      <c r="R853" s="25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</row>
    <row r="854">
      <c r="A854" s="31"/>
      <c r="B854" s="32"/>
      <c r="C854" s="33"/>
      <c r="D854" s="33"/>
      <c r="E854" s="27"/>
      <c r="F854" s="29"/>
      <c r="G854" s="34"/>
      <c r="H854" s="34"/>
      <c r="I854" s="34"/>
      <c r="J854" s="21"/>
      <c r="K854" s="22"/>
      <c r="L854" s="23"/>
      <c r="M854" s="24"/>
      <c r="N854" s="25"/>
      <c r="O854" s="26"/>
      <c r="P854" s="26"/>
      <c r="Q854" s="25"/>
      <c r="R854" s="25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</row>
    <row r="855">
      <c r="A855" s="31"/>
      <c r="B855" s="32"/>
      <c r="C855" s="33"/>
      <c r="D855" s="33"/>
      <c r="E855" s="27"/>
      <c r="F855" s="29"/>
      <c r="G855" s="34"/>
      <c r="H855" s="34"/>
      <c r="I855" s="34"/>
      <c r="J855" s="21"/>
      <c r="K855" s="22"/>
      <c r="L855" s="23"/>
      <c r="M855" s="24"/>
      <c r="N855" s="25"/>
      <c r="O855" s="26"/>
      <c r="P855" s="26"/>
      <c r="Q855" s="25"/>
      <c r="R855" s="25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</row>
    <row r="856">
      <c r="A856" s="31"/>
      <c r="B856" s="32"/>
      <c r="C856" s="33"/>
      <c r="D856" s="33"/>
      <c r="E856" s="27"/>
      <c r="F856" s="29"/>
      <c r="G856" s="34"/>
      <c r="H856" s="34"/>
      <c r="I856" s="34"/>
      <c r="J856" s="21"/>
      <c r="K856" s="22"/>
      <c r="L856" s="23"/>
      <c r="M856" s="24"/>
      <c r="N856" s="25"/>
      <c r="O856" s="26"/>
      <c r="P856" s="26"/>
      <c r="Q856" s="25"/>
      <c r="R856" s="25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</row>
    <row r="857">
      <c r="A857" s="31"/>
      <c r="B857" s="32"/>
      <c r="C857" s="33"/>
      <c r="D857" s="33"/>
      <c r="E857" s="27"/>
      <c r="F857" s="29"/>
      <c r="G857" s="34"/>
      <c r="H857" s="34"/>
      <c r="I857" s="34"/>
      <c r="J857" s="21"/>
      <c r="K857" s="22"/>
      <c r="L857" s="23"/>
      <c r="M857" s="24"/>
      <c r="N857" s="25"/>
      <c r="O857" s="26"/>
      <c r="P857" s="26"/>
      <c r="Q857" s="25"/>
      <c r="R857" s="25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</row>
    <row r="858">
      <c r="A858" s="31"/>
      <c r="B858" s="32"/>
      <c r="C858" s="33"/>
      <c r="D858" s="33"/>
      <c r="E858" s="27"/>
      <c r="F858" s="29"/>
      <c r="G858" s="34"/>
      <c r="H858" s="34"/>
      <c r="I858" s="34"/>
      <c r="J858" s="21"/>
      <c r="K858" s="22"/>
      <c r="L858" s="23"/>
      <c r="M858" s="24"/>
      <c r="N858" s="25"/>
      <c r="O858" s="26"/>
      <c r="P858" s="26"/>
      <c r="Q858" s="25"/>
      <c r="R858" s="25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</row>
    <row r="859">
      <c r="A859" s="31"/>
      <c r="B859" s="32"/>
      <c r="C859" s="33"/>
      <c r="D859" s="33"/>
      <c r="E859" s="27"/>
      <c r="F859" s="29"/>
      <c r="G859" s="34"/>
      <c r="H859" s="34"/>
      <c r="I859" s="34"/>
      <c r="J859" s="21"/>
      <c r="K859" s="22"/>
      <c r="L859" s="23"/>
      <c r="M859" s="24"/>
      <c r="N859" s="25"/>
      <c r="O859" s="26"/>
      <c r="P859" s="26"/>
      <c r="Q859" s="25"/>
      <c r="R859" s="25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</row>
    <row r="860">
      <c r="A860" s="31"/>
      <c r="B860" s="32"/>
      <c r="C860" s="33"/>
      <c r="D860" s="33"/>
      <c r="E860" s="27"/>
      <c r="F860" s="29"/>
      <c r="G860" s="34"/>
      <c r="H860" s="34"/>
      <c r="I860" s="34"/>
      <c r="J860" s="21"/>
      <c r="K860" s="22"/>
      <c r="L860" s="23"/>
      <c r="M860" s="24"/>
      <c r="N860" s="25"/>
      <c r="O860" s="26"/>
      <c r="P860" s="26"/>
      <c r="Q860" s="25"/>
      <c r="R860" s="25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</row>
    <row r="861">
      <c r="A861" s="31"/>
      <c r="B861" s="32"/>
      <c r="C861" s="33"/>
      <c r="D861" s="33"/>
      <c r="E861" s="27"/>
      <c r="F861" s="29"/>
      <c r="G861" s="34"/>
      <c r="H861" s="34"/>
      <c r="I861" s="34"/>
      <c r="J861" s="21"/>
      <c r="K861" s="22"/>
      <c r="L861" s="23"/>
      <c r="M861" s="24"/>
      <c r="N861" s="25"/>
      <c r="O861" s="26"/>
      <c r="P861" s="26"/>
      <c r="Q861" s="25"/>
      <c r="R861" s="25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</row>
    <row r="862">
      <c r="A862" s="31"/>
      <c r="B862" s="32"/>
      <c r="C862" s="33"/>
      <c r="D862" s="33"/>
      <c r="E862" s="27"/>
      <c r="F862" s="29"/>
      <c r="G862" s="34"/>
      <c r="H862" s="34"/>
      <c r="I862" s="34"/>
      <c r="J862" s="21"/>
      <c r="K862" s="22"/>
      <c r="L862" s="23"/>
      <c r="M862" s="24"/>
      <c r="N862" s="25"/>
      <c r="O862" s="26"/>
      <c r="P862" s="26"/>
      <c r="Q862" s="25"/>
      <c r="R862" s="25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</row>
    <row r="863">
      <c r="A863" s="31"/>
      <c r="B863" s="32"/>
      <c r="C863" s="33"/>
      <c r="D863" s="33"/>
      <c r="E863" s="27"/>
      <c r="F863" s="29"/>
      <c r="G863" s="34"/>
      <c r="H863" s="34"/>
      <c r="I863" s="34"/>
      <c r="J863" s="21"/>
      <c r="K863" s="22"/>
      <c r="L863" s="23"/>
      <c r="M863" s="24"/>
      <c r="N863" s="25"/>
      <c r="O863" s="26"/>
      <c r="P863" s="26"/>
      <c r="Q863" s="25"/>
      <c r="R863" s="25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</row>
    <row r="864">
      <c r="A864" s="31"/>
      <c r="B864" s="32"/>
      <c r="C864" s="33"/>
      <c r="D864" s="33"/>
      <c r="E864" s="27"/>
      <c r="F864" s="29"/>
      <c r="G864" s="34"/>
      <c r="H864" s="34"/>
      <c r="I864" s="34"/>
      <c r="J864" s="21"/>
      <c r="K864" s="22"/>
      <c r="L864" s="23"/>
      <c r="M864" s="24"/>
      <c r="N864" s="25"/>
      <c r="O864" s="26"/>
      <c r="P864" s="26"/>
      <c r="Q864" s="25"/>
      <c r="R864" s="25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</row>
    <row r="865">
      <c r="A865" s="31"/>
      <c r="B865" s="32"/>
      <c r="C865" s="33"/>
      <c r="D865" s="33"/>
      <c r="E865" s="27"/>
      <c r="F865" s="29"/>
      <c r="G865" s="34"/>
      <c r="H865" s="34"/>
      <c r="I865" s="34"/>
      <c r="J865" s="21"/>
      <c r="K865" s="22"/>
      <c r="L865" s="23"/>
      <c r="M865" s="24"/>
      <c r="N865" s="25"/>
      <c r="O865" s="26"/>
      <c r="P865" s="26"/>
      <c r="Q865" s="25"/>
      <c r="R865" s="25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</row>
    <row r="866">
      <c r="A866" s="31"/>
      <c r="B866" s="32"/>
      <c r="C866" s="33"/>
      <c r="D866" s="33"/>
      <c r="E866" s="27"/>
      <c r="F866" s="29"/>
      <c r="G866" s="34"/>
      <c r="H866" s="34"/>
      <c r="I866" s="34"/>
      <c r="J866" s="21"/>
      <c r="K866" s="22"/>
      <c r="L866" s="23"/>
      <c r="M866" s="24"/>
      <c r="N866" s="25"/>
      <c r="O866" s="26"/>
      <c r="P866" s="26"/>
      <c r="Q866" s="25"/>
      <c r="R866" s="25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</row>
    <row r="867">
      <c r="A867" s="31"/>
      <c r="B867" s="32"/>
      <c r="C867" s="33"/>
      <c r="D867" s="33"/>
      <c r="E867" s="27"/>
      <c r="F867" s="29"/>
      <c r="G867" s="34"/>
      <c r="H867" s="34"/>
      <c r="I867" s="34"/>
      <c r="J867" s="21"/>
      <c r="K867" s="22"/>
      <c r="L867" s="23"/>
      <c r="M867" s="24"/>
      <c r="N867" s="25"/>
      <c r="O867" s="26"/>
      <c r="P867" s="26"/>
      <c r="Q867" s="25"/>
      <c r="R867" s="25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</row>
    <row r="868">
      <c r="A868" s="31"/>
      <c r="B868" s="32"/>
      <c r="C868" s="33"/>
      <c r="D868" s="33"/>
      <c r="E868" s="27"/>
      <c r="F868" s="29"/>
      <c r="G868" s="34"/>
      <c r="H868" s="34"/>
      <c r="I868" s="34"/>
      <c r="J868" s="21"/>
      <c r="K868" s="22"/>
      <c r="L868" s="23"/>
      <c r="M868" s="24"/>
      <c r="N868" s="25"/>
      <c r="O868" s="26"/>
      <c r="P868" s="26"/>
      <c r="Q868" s="25"/>
      <c r="R868" s="25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</row>
    <row r="869">
      <c r="A869" s="31"/>
      <c r="B869" s="32"/>
      <c r="C869" s="33"/>
      <c r="D869" s="33"/>
      <c r="E869" s="27"/>
      <c r="F869" s="29"/>
      <c r="G869" s="34"/>
      <c r="H869" s="34"/>
      <c r="I869" s="34"/>
      <c r="J869" s="21"/>
      <c r="K869" s="22"/>
      <c r="L869" s="23"/>
      <c r="M869" s="24"/>
      <c r="N869" s="25"/>
      <c r="O869" s="26"/>
      <c r="P869" s="26"/>
      <c r="Q869" s="25"/>
      <c r="R869" s="25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</row>
    <row r="870">
      <c r="A870" s="31"/>
      <c r="B870" s="32"/>
      <c r="C870" s="33"/>
      <c r="D870" s="33"/>
      <c r="E870" s="27"/>
      <c r="F870" s="29"/>
      <c r="G870" s="34"/>
      <c r="H870" s="34"/>
      <c r="I870" s="34"/>
      <c r="J870" s="21"/>
      <c r="K870" s="22"/>
      <c r="L870" s="23"/>
      <c r="M870" s="24"/>
      <c r="N870" s="25"/>
      <c r="O870" s="26"/>
      <c r="P870" s="26"/>
      <c r="Q870" s="25"/>
      <c r="R870" s="25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</row>
    <row r="871">
      <c r="A871" s="31"/>
      <c r="B871" s="32"/>
      <c r="C871" s="33"/>
      <c r="D871" s="33"/>
      <c r="E871" s="27"/>
      <c r="F871" s="29"/>
      <c r="G871" s="34"/>
      <c r="H871" s="34"/>
      <c r="I871" s="34"/>
      <c r="J871" s="21"/>
      <c r="K871" s="22"/>
      <c r="L871" s="23"/>
      <c r="M871" s="24"/>
      <c r="N871" s="25"/>
      <c r="O871" s="26"/>
      <c r="P871" s="26"/>
      <c r="Q871" s="25"/>
      <c r="R871" s="25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</row>
    <row r="872">
      <c r="A872" s="31"/>
      <c r="B872" s="32"/>
      <c r="C872" s="33"/>
      <c r="D872" s="33"/>
      <c r="E872" s="27"/>
      <c r="F872" s="29"/>
      <c r="G872" s="34"/>
      <c r="H872" s="34"/>
      <c r="I872" s="34"/>
      <c r="J872" s="21"/>
      <c r="K872" s="22"/>
      <c r="L872" s="23"/>
      <c r="M872" s="24"/>
      <c r="N872" s="25"/>
      <c r="O872" s="26"/>
      <c r="P872" s="26"/>
      <c r="Q872" s="25"/>
      <c r="R872" s="25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</row>
    <row r="873">
      <c r="A873" s="31"/>
      <c r="B873" s="32"/>
      <c r="C873" s="33"/>
      <c r="D873" s="33"/>
      <c r="E873" s="27"/>
      <c r="F873" s="29"/>
      <c r="G873" s="34"/>
      <c r="H873" s="34"/>
      <c r="I873" s="34"/>
      <c r="J873" s="21"/>
      <c r="K873" s="22"/>
      <c r="L873" s="23"/>
      <c r="M873" s="24"/>
      <c r="N873" s="25"/>
      <c r="O873" s="26"/>
      <c r="P873" s="26"/>
      <c r="Q873" s="25"/>
      <c r="R873" s="25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</row>
    <row r="874">
      <c r="A874" s="31"/>
      <c r="B874" s="32"/>
      <c r="C874" s="33"/>
      <c r="D874" s="33"/>
      <c r="E874" s="27"/>
      <c r="F874" s="29"/>
      <c r="G874" s="34"/>
      <c r="H874" s="34"/>
      <c r="I874" s="34"/>
      <c r="J874" s="21"/>
      <c r="K874" s="22"/>
      <c r="L874" s="23"/>
      <c r="M874" s="24"/>
      <c r="N874" s="25"/>
      <c r="O874" s="26"/>
      <c r="P874" s="26"/>
      <c r="Q874" s="25"/>
      <c r="R874" s="25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</row>
    <row r="875">
      <c r="A875" s="31"/>
      <c r="B875" s="32"/>
      <c r="C875" s="33"/>
      <c r="D875" s="33"/>
      <c r="E875" s="27"/>
      <c r="F875" s="29"/>
      <c r="G875" s="34"/>
      <c r="H875" s="34"/>
      <c r="I875" s="34"/>
      <c r="J875" s="21"/>
      <c r="K875" s="22"/>
      <c r="L875" s="23"/>
      <c r="M875" s="24"/>
      <c r="N875" s="25"/>
      <c r="O875" s="26"/>
      <c r="P875" s="26"/>
      <c r="Q875" s="25"/>
      <c r="R875" s="25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</row>
    <row r="876">
      <c r="A876" s="31"/>
      <c r="B876" s="32"/>
      <c r="C876" s="33"/>
      <c r="D876" s="33"/>
      <c r="E876" s="27"/>
      <c r="F876" s="29"/>
      <c r="G876" s="34"/>
      <c r="H876" s="34"/>
      <c r="I876" s="34"/>
      <c r="J876" s="21"/>
      <c r="K876" s="22"/>
      <c r="L876" s="23"/>
      <c r="M876" s="24"/>
      <c r="N876" s="25"/>
      <c r="O876" s="26"/>
      <c r="P876" s="26"/>
      <c r="Q876" s="25"/>
      <c r="R876" s="25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</row>
    <row r="877">
      <c r="A877" s="31"/>
      <c r="B877" s="32"/>
      <c r="C877" s="33"/>
      <c r="D877" s="33"/>
      <c r="E877" s="27"/>
      <c r="F877" s="29"/>
      <c r="G877" s="34"/>
      <c r="H877" s="34"/>
      <c r="I877" s="34"/>
      <c r="J877" s="21"/>
      <c r="K877" s="22"/>
      <c r="L877" s="23"/>
      <c r="M877" s="24"/>
      <c r="N877" s="25"/>
      <c r="O877" s="26"/>
      <c r="P877" s="26"/>
      <c r="Q877" s="25"/>
      <c r="R877" s="25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</row>
    <row r="878">
      <c r="A878" s="31"/>
      <c r="B878" s="32"/>
      <c r="C878" s="33"/>
      <c r="D878" s="33"/>
      <c r="E878" s="27"/>
      <c r="F878" s="29"/>
      <c r="G878" s="34"/>
      <c r="H878" s="34"/>
      <c r="I878" s="34"/>
      <c r="J878" s="21"/>
      <c r="K878" s="22"/>
      <c r="L878" s="23"/>
      <c r="M878" s="24"/>
      <c r="N878" s="25"/>
      <c r="O878" s="26"/>
      <c r="P878" s="26"/>
      <c r="Q878" s="25"/>
      <c r="R878" s="25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</row>
    <row r="879">
      <c r="A879" s="31"/>
      <c r="B879" s="32"/>
      <c r="C879" s="33"/>
      <c r="D879" s="33"/>
      <c r="E879" s="27"/>
      <c r="F879" s="29"/>
      <c r="G879" s="34"/>
      <c r="H879" s="34"/>
      <c r="I879" s="34"/>
      <c r="J879" s="21"/>
      <c r="K879" s="22"/>
      <c r="L879" s="23"/>
      <c r="M879" s="24"/>
      <c r="N879" s="25"/>
      <c r="O879" s="26"/>
      <c r="P879" s="26"/>
      <c r="Q879" s="25"/>
      <c r="R879" s="25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</row>
    <row r="880">
      <c r="A880" s="31"/>
      <c r="B880" s="32"/>
      <c r="C880" s="33"/>
      <c r="D880" s="33"/>
      <c r="E880" s="27"/>
      <c r="F880" s="29"/>
      <c r="G880" s="34"/>
      <c r="H880" s="34"/>
      <c r="I880" s="34"/>
      <c r="J880" s="21"/>
      <c r="K880" s="22"/>
      <c r="L880" s="23"/>
      <c r="M880" s="24"/>
      <c r="N880" s="25"/>
      <c r="O880" s="26"/>
      <c r="P880" s="26"/>
      <c r="Q880" s="25"/>
      <c r="R880" s="25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</row>
    <row r="881">
      <c r="A881" s="31"/>
      <c r="B881" s="32"/>
      <c r="C881" s="33"/>
      <c r="D881" s="33"/>
      <c r="E881" s="27"/>
      <c r="F881" s="29"/>
      <c r="G881" s="34"/>
      <c r="H881" s="34"/>
      <c r="I881" s="34"/>
      <c r="J881" s="21"/>
      <c r="K881" s="22"/>
      <c r="L881" s="23"/>
      <c r="M881" s="24"/>
      <c r="N881" s="25"/>
      <c r="O881" s="26"/>
      <c r="P881" s="26"/>
      <c r="Q881" s="25"/>
      <c r="R881" s="25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</row>
    <row r="882">
      <c r="A882" s="31"/>
      <c r="B882" s="32"/>
      <c r="C882" s="33"/>
      <c r="D882" s="33"/>
      <c r="E882" s="27"/>
      <c r="F882" s="29"/>
      <c r="G882" s="34"/>
      <c r="H882" s="34"/>
      <c r="I882" s="34"/>
      <c r="J882" s="21"/>
      <c r="K882" s="22"/>
      <c r="L882" s="23"/>
      <c r="M882" s="24"/>
      <c r="N882" s="25"/>
      <c r="O882" s="26"/>
      <c r="P882" s="26"/>
      <c r="Q882" s="25"/>
      <c r="R882" s="25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</row>
    <row r="883">
      <c r="A883" s="31"/>
      <c r="B883" s="32"/>
      <c r="C883" s="33"/>
      <c r="D883" s="33"/>
      <c r="E883" s="27"/>
      <c r="F883" s="29"/>
      <c r="G883" s="34"/>
      <c r="H883" s="34"/>
      <c r="I883" s="34"/>
      <c r="J883" s="21"/>
      <c r="K883" s="22"/>
      <c r="L883" s="23"/>
      <c r="M883" s="24"/>
      <c r="N883" s="25"/>
      <c r="O883" s="26"/>
      <c r="P883" s="26"/>
      <c r="Q883" s="25"/>
      <c r="R883" s="25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</row>
    <row r="884">
      <c r="A884" s="31"/>
      <c r="B884" s="32"/>
      <c r="C884" s="33"/>
      <c r="D884" s="33"/>
      <c r="E884" s="27"/>
      <c r="F884" s="29"/>
      <c r="G884" s="34"/>
      <c r="H884" s="34"/>
      <c r="I884" s="34"/>
      <c r="J884" s="21"/>
      <c r="K884" s="22"/>
      <c r="L884" s="23"/>
      <c r="M884" s="24"/>
      <c r="N884" s="25"/>
      <c r="O884" s="26"/>
      <c r="P884" s="26"/>
      <c r="Q884" s="25"/>
      <c r="R884" s="25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</row>
    <row r="885">
      <c r="A885" s="31"/>
      <c r="B885" s="32"/>
      <c r="C885" s="33"/>
      <c r="D885" s="33"/>
      <c r="E885" s="27"/>
      <c r="F885" s="29"/>
      <c r="G885" s="34"/>
      <c r="H885" s="34"/>
      <c r="I885" s="34"/>
      <c r="J885" s="21"/>
      <c r="K885" s="22"/>
      <c r="L885" s="23"/>
      <c r="M885" s="24"/>
      <c r="N885" s="25"/>
      <c r="O885" s="26"/>
      <c r="P885" s="26"/>
      <c r="Q885" s="25"/>
      <c r="R885" s="25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</row>
    <row r="886">
      <c r="A886" s="31"/>
      <c r="B886" s="32"/>
      <c r="C886" s="33"/>
      <c r="D886" s="33"/>
      <c r="E886" s="27"/>
      <c r="F886" s="29"/>
      <c r="G886" s="34"/>
      <c r="H886" s="34"/>
      <c r="I886" s="34"/>
      <c r="J886" s="21"/>
      <c r="K886" s="22"/>
      <c r="L886" s="23"/>
      <c r="M886" s="24"/>
      <c r="N886" s="25"/>
      <c r="O886" s="26"/>
      <c r="P886" s="26"/>
      <c r="Q886" s="25"/>
      <c r="R886" s="25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</row>
    <row r="887">
      <c r="A887" s="31"/>
      <c r="B887" s="32"/>
      <c r="C887" s="33"/>
      <c r="D887" s="33"/>
      <c r="E887" s="27"/>
      <c r="F887" s="29"/>
      <c r="G887" s="34"/>
      <c r="H887" s="34"/>
      <c r="I887" s="34"/>
      <c r="J887" s="21"/>
      <c r="K887" s="22"/>
      <c r="L887" s="23"/>
      <c r="M887" s="24"/>
      <c r="N887" s="25"/>
      <c r="O887" s="26"/>
      <c r="P887" s="26"/>
      <c r="Q887" s="25"/>
      <c r="R887" s="25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</row>
    <row r="888">
      <c r="A888" s="31"/>
      <c r="B888" s="32"/>
      <c r="C888" s="33"/>
      <c r="D888" s="33"/>
      <c r="E888" s="27"/>
      <c r="F888" s="29"/>
      <c r="G888" s="34"/>
      <c r="H888" s="34"/>
      <c r="I888" s="34"/>
      <c r="J888" s="21"/>
      <c r="K888" s="22"/>
      <c r="L888" s="23"/>
      <c r="M888" s="24"/>
      <c r="N888" s="25"/>
      <c r="O888" s="26"/>
      <c r="P888" s="26"/>
      <c r="Q888" s="25"/>
      <c r="R888" s="25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</row>
    <row r="889">
      <c r="A889" s="31"/>
      <c r="B889" s="32"/>
      <c r="C889" s="33"/>
      <c r="D889" s="33"/>
      <c r="E889" s="27"/>
      <c r="F889" s="29"/>
      <c r="G889" s="34"/>
      <c r="H889" s="34"/>
      <c r="I889" s="34"/>
      <c r="J889" s="21"/>
      <c r="K889" s="22"/>
      <c r="L889" s="23"/>
      <c r="M889" s="24"/>
      <c r="N889" s="25"/>
      <c r="O889" s="26"/>
      <c r="P889" s="26"/>
      <c r="Q889" s="25"/>
      <c r="R889" s="25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</row>
    <row r="890">
      <c r="A890" s="31"/>
      <c r="B890" s="32"/>
      <c r="C890" s="33"/>
      <c r="D890" s="33"/>
      <c r="E890" s="27"/>
      <c r="F890" s="29"/>
      <c r="G890" s="34"/>
      <c r="H890" s="34"/>
      <c r="I890" s="34"/>
      <c r="J890" s="21"/>
      <c r="K890" s="22"/>
      <c r="L890" s="23"/>
      <c r="M890" s="24"/>
      <c r="N890" s="25"/>
      <c r="O890" s="26"/>
      <c r="P890" s="26"/>
      <c r="Q890" s="25"/>
      <c r="R890" s="25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</row>
    <row r="891">
      <c r="A891" s="31"/>
      <c r="B891" s="32"/>
      <c r="C891" s="33"/>
      <c r="D891" s="33"/>
      <c r="E891" s="27"/>
      <c r="F891" s="29"/>
      <c r="G891" s="34"/>
      <c r="H891" s="34"/>
      <c r="I891" s="34"/>
      <c r="J891" s="21"/>
      <c r="K891" s="22"/>
      <c r="L891" s="23"/>
      <c r="M891" s="24"/>
      <c r="N891" s="25"/>
      <c r="O891" s="26"/>
      <c r="P891" s="26"/>
      <c r="Q891" s="25"/>
      <c r="R891" s="25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</row>
    <row r="892">
      <c r="A892" s="31"/>
      <c r="B892" s="32"/>
      <c r="C892" s="33"/>
      <c r="D892" s="33"/>
      <c r="E892" s="27"/>
      <c r="F892" s="29"/>
      <c r="G892" s="34"/>
      <c r="H892" s="34"/>
      <c r="I892" s="34"/>
      <c r="J892" s="21"/>
      <c r="K892" s="22"/>
      <c r="L892" s="23"/>
      <c r="M892" s="24"/>
      <c r="N892" s="25"/>
      <c r="O892" s="26"/>
      <c r="P892" s="26"/>
      <c r="Q892" s="25"/>
      <c r="R892" s="25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</row>
    <row r="893">
      <c r="A893" s="31"/>
      <c r="B893" s="32"/>
      <c r="C893" s="33"/>
      <c r="D893" s="33"/>
      <c r="E893" s="27"/>
      <c r="F893" s="29"/>
      <c r="G893" s="34"/>
      <c r="H893" s="34"/>
      <c r="I893" s="34"/>
      <c r="J893" s="21"/>
      <c r="K893" s="22"/>
      <c r="L893" s="23"/>
      <c r="M893" s="24"/>
      <c r="N893" s="25"/>
      <c r="O893" s="26"/>
      <c r="P893" s="26"/>
      <c r="Q893" s="25"/>
      <c r="R893" s="25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</row>
    <row r="894">
      <c r="A894" s="31"/>
      <c r="B894" s="32"/>
      <c r="C894" s="33"/>
      <c r="D894" s="33"/>
      <c r="E894" s="27"/>
      <c r="F894" s="29"/>
      <c r="G894" s="34"/>
      <c r="H894" s="34"/>
      <c r="I894" s="34"/>
      <c r="J894" s="21"/>
      <c r="K894" s="22"/>
      <c r="L894" s="23"/>
      <c r="M894" s="24"/>
      <c r="N894" s="25"/>
      <c r="O894" s="26"/>
      <c r="P894" s="26"/>
      <c r="Q894" s="25"/>
      <c r="R894" s="25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</row>
    <row r="895">
      <c r="A895" s="31"/>
      <c r="B895" s="32"/>
      <c r="C895" s="33"/>
      <c r="D895" s="33"/>
      <c r="E895" s="27"/>
      <c r="F895" s="29"/>
      <c r="G895" s="34"/>
      <c r="H895" s="34"/>
      <c r="I895" s="34"/>
      <c r="J895" s="21"/>
      <c r="K895" s="22"/>
      <c r="L895" s="23"/>
      <c r="M895" s="24"/>
      <c r="N895" s="25"/>
      <c r="O895" s="26"/>
      <c r="P895" s="26"/>
      <c r="Q895" s="25"/>
      <c r="R895" s="25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</row>
    <row r="896">
      <c r="A896" s="31"/>
      <c r="B896" s="32"/>
      <c r="C896" s="33"/>
      <c r="D896" s="33"/>
      <c r="E896" s="27"/>
      <c r="F896" s="29"/>
      <c r="G896" s="34"/>
      <c r="H896" s="34"/>
      <c r="I896" s="34"/>
      <c r="J896" s="21"/>
      <c r="K896" s="22"/>
      <c r="L896" s="23"/>
      <c r="M896" s="24"/>
      <c r="N896" s="25"/>
      <c r="O896" s="26"/>
      <c r="P896" s="26"/>
      <c r="Q896" s="25"/>
      <c r="R896" s="25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</row>
    <row r="897">
      <c r="A897" s="31"/>
      <c r="B897" s="32"/>
      <c r="C897" s="33"/>
      <c r="D897" s="33"/>
      <c r="E897" s="27"/>
      <c r="F897" s="29"/>
      <c r="G897" s="34"/>
      <c r="H897" s="34"/>
      <c r="I897" s="34"/>
      <c r="J897" s="21"/>
      <c r="K897" s="22"/>
      <c r="L897" s="23"/>
      <c r="M897" s="24"/>
      <c r="N897" s="25"/>
      <c r="O897" s="26"/>
      <c r="P897" s="26"/>
      <c r="Q897" s="25"/>
      <c r="R897" s="25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</row>
    <row r="898">
      <c r="A898" s="31"/>
      <c r="B898" s="32"/>
      <c r="C898" s="33"/>
      <c r="D898" s="33"/>
      <c r="E898" s="27"/>
      <c r="F898" s="29"/>
      <c r="G898" s="34"/>
      <c r="H898" s="34"/>
      <c r="I898" s="34"/>
      <c r="J898" s="21"/>
      <c r="K898" s="22"/>
      <c r="L898" s="23"/>
      <c r="M898" s="24"/>
      <c r="N898" s="25"/>
      <c r="O898" s="26"/>
      <c r="P898" s="26"/>
      <c r="Q898" s="25"/>
      <c r="R898" s="25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</row>
    <row r="899">
      <c r="A899" s="31"/>
      <c r="B899" s="32"/>
      <c r="C899" s="33"/>
      <c r="D899" s="33"/>
      <c r="E899" s="27"/>
      <c r="F899" s="29"/>
      <c r="G899" s="34"/>
      <c r="H899" s="34"/>
      <c r="I899" s="34"/>
      <c r="J899" s="21"/>
      <c r="K899" s="22"/>
      <c r="L899" s="23"/>
      <c r="M899" s="24"/>
      <c r="N899" s="25"/>
      <c r="O899" s="26"/>
      <c r="P899" s="26"/>
      <c r="Q899" s="25"/>
      <c r="R899" s="25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</row>
    <row r="900">
      <c r="A900" s="31"/>
      <c r="B900" s="32"/>
      <c r="C900" s="33"/>
      <c r="D900" s="33"/>
      <c r="E900" s="27"/>
      <c r="F900" s="29"/>
      <c r="G900" s="34"/>
      <c r="H900" s="34"/>
      <c r="I900" s="34"/>
      <c r="J900" s="21"/>
      <c r="K900" s="22"/>
      <c r="L900" s="23"/>
      <c r="M900" s="24"/>
      <c r="N900" s="25"/>
      <c r="O900" s="26"/>
      <c r="P900" s="26"/>
      <c r="Q900" s="25"/>
      <c r="R900" s="25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</row>
    <row r="901">
      <c r="A901" s="31"/>
      <c r="B901" s="32"/>
      <c r="C901" s="33"/>
      <c r="D901" s="33"/>
      <c r="E901" s="27"/>
      <c r="F901" s="29"/>
      <c r="G901" s="34"/>
      <c r="H901" s="34"/>
      <c r="I901" s="34"/>
      <c r="J901" s="21"/>
      <c r="K901" s="22"/>
      <c r="L901" s="23"/>
      <c r="M901" s="24"/>
      <c r="N901" s="25"/>
      <c r="O901" s="26"/>
      <c r="P901" s="26"/>
      <c r="Q901" s="25"/>
      <c r="R901" s="25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</row>
    <row r="902">
      <c r="A902" s="31"/>
      <c r="B902" s="32"/>
      <c r="C902" s="33"/>
      <c r="D902" s="33"/>
      <c r="E902" s="27"/>
      <c r="F902" s="29"/>
      <c r="G902" s="34"/>
      <c r="H902" s="34"/>
      <c r="I902" s="34"/>
      <c r="J902" s="21"/>
      <c r="K902" s="22"/>
      <c r="L902" s="23"/>
      <c r="M902" s="24"/>
      <c r="N902" s="25"/>
      <c r="O902" s="26"/>
      <c r="P902" s="26"/>
      <c r="Q902" s="25"/>
      <c r="R902" s="25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</row>
    <row r="903">
      <c r="A903" s="31"/>
      <c r="B903" s="32"/>
      <c r="C903" s="33"/>
      <c r="D903" s="33"/>
      <c r="E903" s="27"/>
      <c r="F903" s="29"/>
      <c r="G903" s="34"/>
      <c r="H903" s="34"/>
      <c r="I903" s="34"/>
      <c r="J903" s="21"/>
      <c r="K903" s="22"/>
      <c r="L903" s="23"/>
      <c r="M903" s="24"/>
      <c r="N903" s="25"/>
      <c r="O903" s="26"/>
      <c r="P903" s="26"/>
      <c r="Q903" s="25"/>
      <c r="R903" s="25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</row>
    <row r="904">
      <c r="A904" s="31"/>
      <c r="B904" s="32"/>
      <c r="C904" s="33"/>
      <c r="D904" s="33"/>
      <c r="E904" s="27"/>
      <c r="F904" s="29"/>
      <c r="G904" s="34"/>
      <c r="H904" s="34"/>
      <c r="I904" s="34"/>
      <c r="J904" s="21"/>
      <c r="K904" s="22"/>
      <c r="L904" s="23"/>
      <c r="M904" s="24"/>
      <c r="N904" s="25"/>
      <c r="O904" s="26"/>
      <c r="P904" s="26"/>
      <c r="Q904" s="25"/>
      <c r="R904" s="25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</row>
    <row r="905">
      <c r="A905" s="31"/>
      <c r="B905" s="32"/>
      <c r="C905" s="33"/>
      <c r="D905" s="33"/>
      <c r="E905" s="27"/>
      <c r="F905" s="29"/>
      <c r="G905" s="34"/>
      <c r="H905" s="34"/>
      <c r="I905" s="34"/>
      <c r="J905" s="21"/>
      <c r="K905" s="22"/>
      <c r="L905" s="23"/>
      <c r="M905" s="24"/>
      <c r="N905" s="25"/>
      <c r="O905" s="26"/>
      <c r="P905" s="26"/>
      <c r="Q905" s="25"/>
      <c r="R905" s="25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</row>
    <row r="906">
      <c r="A906" s="31"/>
      <c r="B906" s="32"/>
      <c r="C906" s="33"/>
      <c r="D906" s="33"/>
      <c r="E906" s="27"/>
      <c r="F906" s="29"/>
      <c r="G906" s="34"/>
      <c r="H906" s="34"/>
      <c r="I906" s="34"/>
      <c r="J906" s="21"/>
      <c r="K906" s="22"/>
      <c r="L906" s="23"/>
      <c r="M906" s="24"/>
      <c r="N906" s="25"/>
      <c r="O906" s="26"/>
      <c r="P906" s="26"/>
      <c r="Q906" s="25"/>
      <c r="R906" s="25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</row>
    <row r="907">
      <c r="A907" s="31"/>
      <c r="B907" s="32"/>
      <c r="C907" s="33"/>
      <c r="D907" s="33"/>
      <c r="E907" s="27"/>
      <c r="F907" s="29"/>
      <c r="G907" s="34"/>
      <c r="H907" s="34"/>
      <c r="I907" s="34"/>
      <c r="J907" s="21"/>
      <c r="K907" s="22"/>
      <c r="L907" s="23"/>
      <c r="M907" s="24"/>
      <c r="N907" s="25"/>
      <c r="O907" s="26"/>
      <c r="P907" s="26"/>
      <c r="Q907" s="25"/>
      <c r="R907" s="25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</row>
    <row r="908">
      <c r="A908" s="31"/>
      <c r="B908" s="32"/>
      <c r="C908" s="33"/>
      <c r="D908" s="33"/>
      <c r="E908" s="27"/>
      <c r="F908" s="29"/>
      <c r="G908" s="34"/>
      <c r="H908" s="34"/>
      <c r="I908" s="34"/>
      <c r="J908" s="21"/>
      <c r="K908" s="22"/>
      <c r="L908" s="23"/>
      <c r="M908" s="24"/>
      <c r="N908" s="25"/>
      <c r="O908" s="26"/>
      <c r="P908" s="26"/>
      <c r="Q908" s="25"/>
      <c r="R908" s="25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</row>
    <row r="909">
      <c r="A909" s="31"/>
      <c r="B909" s="32"/>
      <c r="C909" s="33"/>
      <c r="D909" s="33"/>
      <c r="E909" s="27"/>
      <c r="F909" s="29"/>
      <c r="G909" s="34"/>
      <c r="H909" s="34"/>
      <c r="I909" s="34"/>
      <c r="J909" s="21"/>
      <c r="K909" s="22"/>
      <c r="L909" s="23"/>
      <c r="M909" s="24"/>
      <c r="N909" s="25"/>
      <c r="O909" s="26"/>
      <c r="P909" s="26"/>
      <c r="Q909" s="25"/>
      <c r="R909" s="25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</row>
    <row r="910">
      <c r="A910" s="31"/>
      <c r="B910" s="32"/>
      <c r="C910" s="33"/>
      <c r="D910" s="33"/>
      <c r="E910" s="27"/>
      <c r="F910" s="29"/>
      <c r="G910" s="34"/>
      <c r="H910" s="34"/>
      <c r="I910" s="34"/>
      <c r="J910" s="21"/>
      <c r="K910" s="22"/>
      <c r="L910" s="23"/>
      <c r="M910" s="24"/>
      <c r="N910" s="25"/>
      <c r="O910" s="26"/>
      <c r="P910" s="26"/>
      <c r="Q910" s="25"/>
      <c r="R910" s="25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</row>
    <row r="911">
      <c r="A911" s="31"/>
      <c r="B911" s="32"/>
      <c r="C911" s="33"/>
      <c r="D911" s="33"/>
      <c r="E911" s="27"/>
      <c r="F911" s="29"/>
      <c r="G911" s="34"/>
      <c r="H911" s="34"/>
      <c r="I911" s="34"/>
      <c r="J911" s="21"/>
      <c r="K911" s="22"/>
      <c r="L911" s="23"/>
      <c r="M911" s="24"/>
      <c r="N911" s="25"/>
      <c r="O911" s="26"/>
      <c r="P911" s="26"/>
      <c r="Q911" s="25"/>
      <c r="R911" s="25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</row>
    <row r="912">
      <c r="A912" s="31"/>
      <c r="B912" s="32"/>
      <c r="C912" s="33"/>
      <c r="D912" s="33"/>
      <c r="E912" s="27"/>
      <c r="F912" s="29"/>
      <c r="G912" s="34"/>
      <c r="H912" s="34"/>
      <c r="I912" s="34"/>
      <c r="J912" s="21"/>
      <c r="K912" s="22"/>
      <c r="L912" s="23"/>
      <c r="M912" s="24"/>
      <c r="N912" s="25"/>
      <c r="O912" s="26"/>
      <c r="P912" s="26"/>
      <c r="Q912" s="25"/>
      <c r="R912" s="25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</row>
    <row r="913">
      <c r="A913" s="31"/>
      <c r="B913" s="32"/>
      <c r="C913" s="33"/>
      <c r="D913" s="33"/>
      <c r="E913" s="27"/>
      <c r="F913" s="29"/>
      <c r="G913" s="34"/>
      <c r="H913" s="34"/>
      <c r="I913" s="34"/>
      <c r="J913" s="21"/>
      <c r="K913" s="22"/>
      <c r="L913" s="23"/>
      <c r="M913" s="24"/>
      <c r="N913" s="25"/>
      <c r="O913" s="26"/>
      <c r="P913" s="26"/>
      <c r="Q913" s="25"/>
      <c r="R913" s="25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</row>
    <row r="914">
      <c r="A914" s="31"/>
      <c r="B914" s="32"/>
      <c r="C914" s="33"/>
      <c r="D914" s="33"/>
      <c r="E914" s="27"/>
      <c r="F914" s="29"/>
      <c r="G914" s="34"/>
      <c r="H914" s="34"/>
      <c r="I914" s="34"/>
      <c r="J914" s="21"/>
      <c r="K914" s="22"/>
      <c r="L914" s="23"/>
      <c r="M914" s="24"/>
      <c r="N914" s="25"/>
      <c r="O914" s="26"/>
      <c r="P914" s="26"/>
      <c r="Q914" s="25"/>
      <c r="R914" s="25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</row>
    <row r="915">
      <c r="A915" s="31"/>
      <c r="B915" s="32"/>
      <c r="C915" s="33"/>
      <c r="D915" s="33"/>
      <c r="E915" s="27"/>
      <c r="F915" s="29"/>
      <c r="G915" s="34"/>
      <c r="H915" s="34"/>
      <c r="I915" s="34"/>
      <c r="J915" s="21"/>
      <c r="K915" s="22"/>
      <c r="L915" s="23"/>
      <c r="M915" s="24"/>
      <c r="N915" s="25"/>
      <c r="O915" s="26"/>
      <c r="P915" s="26"/>
      <c r="Q915" s="25"/>
      <c r="R915" s="25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</row>
    <row r="916">
      <c r="A916" s="31"/>
      <c r="B916" s="32"/>
      <c r="C916" s="33"/>
      <c r="D916" s="33"/>
      <c r="E916" s="27"/>
      <c r="F916" s="29"/>
      <c r="G916" s="34"/>
      <c r="H916" s="34"/>
      <c r="I916" s="34"/>
      <c r="J916" s="21"/>
      <c r="K916" s="22"/>
      <c r="L916" s="23"/>
      <c r="M916" s="24"/>
      <c r="N916" s="25"/>
      <c r="O916" s="26"/>
      <c r="P916" s="26"/>
      <c r="Q916" s="25"/>
      <c r="R916" s="25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</row>
    <row r="917">
      <c r="A917" s="31"/>
      <c r="B917" s="32"/>
      <c r="C917" s="33"/>
      <c r="D917" s="33"/>
      <c r="E917" s="27"/>
      <c r="F917" s="29"/>
      <c r="G917" s="34"/>
      <c r="H917" s="34"/>
      <c r="I917" s="34"/>
      <c r="J917" s="21"/>
      <c r="K917" s="22"/>
      <c r="L917" s="23"/>
      <c r="M917" s="24"/>
      <c r="N917" s="25"/>
      <c r="O917" s="26"/>
      <c r="P917" s="26"/>
      <c r="Q917" s="25"/>
      <c r="R917" s="25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</row>
    <row r="918">
      <c r="A918" s="31"/>
      <c r="B918" s="32"/>
      <c r="C918" s="33"/>
      <c r="D918" s="33"/>
      <c r="E918" s="27"/>
      <c r="F918" s="29"/>
      <c r="G918" s="34"/>
      <c r="H918" s="34"/>
      <c r="I918" s="34"/>
      <c r="J918" s="21"/>
      <c r="K918" s="22"/>
      <c r="L918" s="23"/>
      <c r="M918" s="24"/>
      <c r="N918" s="25"/>
      <c r="O918" s="26"/>
      <c r="P918" s="26"/>
      <c r="Q918" s="25"/>
      <c r="R918" s="25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</row>
    <row r="919">
      <c r="A919" s="31"/>
      <c r="B919" s="32"/>
      <c r="C919" s="33"/>
      <c r="D919" s="33"/>
      <c r="E919" s="27"/>
      <c r="F919" s="29"/>
      <c r="G919" s="34"/>
      <c r="H919" s="34"/>
      <c r="I919" s="34"/>
      <c r="J919" s="21"/>
      <c r="K919" s="22"/>
      <c r="L919" s="23"/>
      <c r="M919" s="24"/>
      <c r="N919" s="25"/>
      <c r="O919" s="26"/>
      <c r="P919" s="26"/>
      <c r="Q919" s="25"/>
      <c r="R919" s="25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</row>
    <row r="920">
      <c r="A920" s="31"/>
      <c r="B920" s="32"/>
      <c r="C920" s="33"/>
      <c r="D920" s="33"/>
      <c r="E920" s="27"/>
      <c r="F920" s="29"/>
      <c r="G920" s="34"/>
      <c r="H920" s="34"/>
      <c r="I920" s="34"/>
      <c r="J920" s="21"/>
      <c r="K920" s="22"/>
      <c r="L920" s="23"/>
      <c r="M920" s="24"/>
      <c r="N920" s="25"/>
      <c r="O920" s="26"/>
      <c r="P920" s="26"/>
      <c r="Q920" s="25"/>
      <c r="R920" s="25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</row>
    <row r="921">
      <c r="A921" s="31"/>
      <c r="B921" s="32"/>
      <c r="C921" s="33"/>
      <c r="D921" s="33"/>
      <c r="E921" s="27"/>
      <c r="F921" s="29"/>
      <c r="G921" s="34"/>
      <c r="H921" s="34"/>
      <c r="I921" s="34"/>
      <c r="J921" s="21"/>
      <c r="K921" s="22"/>
      <c r="L921" s="23"/>
      <c r="M921" s="24"/>
      <c r="N921" s="25"/>
      <c r="O921" s="26"/>
      <c r="P921" s="26"/>
      <c r="Q921" s="25"/>
      <c r="R921" s="25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</row>
    <row r="922">
      <c r="A922" s="31"/>
      <c r="B922" s="32"/>
      <c r="C922" s="33"/>
      <c r="D922" s="33"/>
      <c r="E922" s="27"/>
      <c r="F922" s="29"/>
      <c r="G922" s="34"/>
      <c r="H922" s="34"/>
      <c r="I922" s="34"/>
      <c r="J922" s="21"/>
      <c r="K922" s="22"/>
      <c r="L922" s="23"/>
      <c r="M922" s="24"/>
      <c r="N922" s="25"/>
      <c r="O922" s="26"/>
      <c r="P922" s="26"/>
      <c r="Q922" s="25"/>
      <c r="R922" s="25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</row>
    <row r="923">
      <c r="A923" s="31"/>
      <c r="B923" s="32"/>
      <c r="C923" s="33"/>
      <c r="D923" s="33"/>
      <c r="E923" s="27"/>
      <c r="F923" s="29"/>
      <c r="G923" s="34"/>
      <c r="H923" s="34"/>
      <c r="I923" s="34"/>
      <c r="J923" s="21"/>
      <c r="K923" s="22"/>
      <c r="L923" s="23"/>
      <c r="M923" s="24"/>
      <c r="N923" s="25"/>
      <c r="O923" s="26"/>
      <c r="P923" s="26"/>
      <c r="Q923" s="25"/>
      <c r="R923" s="25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</row>
    <row r="924">
      <c r="A924" s="31"/>
      <c r="B924" s="32"/>
      <c r="C924" s="33"/>
      <c r="D924" s="33"/>
      <c r="E924" s="27"/>
      <c r="F924" s="29"/>
      <c r="G924" s="34"/>
      <c r="H924" s="34"/>
      <c r="I924" s="34"/>
      <c r="J924" s="21"/>
      <c r="K924" s="22"/>
      <c r="L924" s="23"/>
      <c r="M924" s="24"/>
      <c r="N924" s="25"/>
      <c r="O924" s="26"/>
      <c r="P924" s="26"/>
      <c r="Q924" s="25"/>
      <c r="R924" s="25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</row>
    <row r="925">
      <c r="A925" s="31"/>
      <c r="B925" s="32"/>
      <c r="C925" s="33"/>
      <c r="D925" s="33"/>
      <c r="E925" s="27"/>
      <c r="F925" s="29"/>
      <c r="G925" s="34"/>
      <c r="H925" s="34"/>
      <c r="I925" s="34"/>
      <c r="J925" s="21"/>
      <c r="K925" s="22"/>
      <c r="L925" s="23"/>
      <c r="M925" s="24"/>
      <c r="N925" s="25"/>
      <c r="O925" s="26"/>
      <c r="P925" s="26"/>
      <c r="Q925" s="25"/>
      <c r="R925" s="25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</row>
    <row r="926">
      <c r="A926" s="31"/>
      <c r="B926" s="32"/>
      <c r="C926" s="33"/>
      <c r="D926" s="33"/>
      <c r="E926" s="27"/>
      <c r="F926" s="29"/>
      <c r="G926" s="34"/>
      <c r="H926" s="34"/>
      <c r="I926" s="34"/>
      <c r="J926" s="21"/>
      <c r="K926" s="22"/>
      <c r="L926" s="23"/>
      <c r="M926" s="24"/>
      <c r="N926" s="25"/>
      <c r="O926" s="26"/>
      <c r="P926" s="26"/>
      <c r="Q926" s="25"/>
      <c r="R926" s="25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</row>
    <row r="927">
      <c r="A927" s="31"/>
      <c r="B927" s="32"/>
      <c r="C927" s="33"/>
      <c r="D927" s="33"/>
      <c r="E927" s="27"/>
      <c r="F927" s="29"/>
      <c r="G927" s="34"/>
      <c r="H927" s="34"/>
      <c r="I927" s="34"/>
      <c r="J927" s="21"/>
      <c r="K927" s="22"/>
      <c r="L927" s="23"/>
      <c r="M927" s="24"/>
      <c r="N927" s="25"/>
      <c r="O927" s="26"/>
      <c r="P927" s="26"/>
      <c r="Q927" s="25"/>
      <c r="R927" s="25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</row>
    <row r="928">
      <c r="A928" s="31"/>
      <c r="B928" s="32"/>
      <c r="C928" s="33"/>
      <c r="D928" s="33"/>
      <c r="E928" s="27"/>
      <c r="F928" s="29"/>
      <c r="G928" s="34"/>
      <c r="H928" s="34"/>
      <c r="I928" s="34"/>
      <c r="J928" s="21"/>
      <c r="K928" s="22"/>
      <c r="L928" s="23"/>
      <c r="M928" s="24"/>
      <c r="N928" s="25"/>
      <c r="O928" s="26"/>
      <c r="P928" s="26"/>
      <c r="Q928" s="25"/>
      <c r="R928" s="25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</row>
    <row r="929">
      <c r="A929" s="31"/>
      <c r="B929" s="32"/>
      <c r="C929" s="33"/>
      <c r="D929" s="33"/>
      <c r="E929" s="27"/>
      <c r="F929" s="29"/>
      <c r="G929" s="34"/>
      <c r="H929" s="34"/>
      <c r="I929" s="34"/>
      <c r="J929" s="21"/>
      <c r="K929" s="22"/>
      <c r="L929" s="23"/>
      <c r="M929" s="24"/>
      <c r="N929" s="25"/>
      <c r="O929" s="26"/>
      <c r="P929" s="26"/>
      <c r="Q929" s="25"/>
      <c r="R929" s="25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</row>
    <row r="930">
      <c r="A930" s="31"/>
      <c r="B930" s="32"/>
      <c r="C930" s="33"/>
      <c r="D930" s="33"/>
      <c r="E930" s="27"/>
      <c r="F930" s="29"/>
      <c r="G930" s="34"/>
      <c r="H930" s="34"/>
      <c r="I930" s="34"/>
      <c r="J930" s="21"/>
      <c r="K930" s="22"/>
      <c r="L930" s="23"/>
      <c r="M930" s="24"/>
      <c r="N930" s="25"/>
      <c r="O930" s="26"/>
      <c r="P930" s="26"/>
      <c r="Q930" s="25"/>
      <c r="R930" s="25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</row>
    <row r="931">
      <c r="A931" s="31"/>
      <c r="B931" s="32"/>
      <c r="C931" s="33"/>
      <c r="D931" s="33"/>
      <c r="E931" s="27"/>
      <c r="F931" s="29"/>
      <c r="G931" s="34"/>
      <c r="H931" s="34"/>
      <c r="I931" s="34"/>
      <c r="J931" s="21"/>
      <c r="K931" s="22"/>
      <c r="L931" s="23"/>
      <c r="M931" s="24"/>
      <c r="N931" s="25"/>
      <c r="O931" s="26"/>
      <c r="P931" s="26"/>
      <c r="Q931" s="25"/>
      <c r="R931" s="25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</row>
    <row r="932">
      <c r="A932" s="31"/>
      <c r="B932" s="32"/>
      <c r="C932" s="33"/>
      <c r="D932" s="33"/>
      <c r="E932" s="27"/>
      <c r="F932" s="29"/>
      <c r="G932" s="34"/>
      <c r="H932" s="34"/>
      <c r="I932" s="34"/>
      <c r="J932" s="21"/>
      <c r="K932" s="22"/>
      <c r="L932" s="23"/>
      <c r="M932" s="24"/>
      <c r="N932" s="25"/>
      <c r="O932" s="26"/>
      <c r="P932" s="26"/>
      <c r="Q932" s="25"/>
      <c r="R932" s="25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</row>
    <row r="933">
      <c r="A933" s="31"/>
      <c r="B933" s="32"/>
      <c r="C933" s="33"/>
      <c r="D933" s="33"/>
      <c r="E933" s="27"/>
      <c r="F933" s="29"/>
      <c r="G933" s="34"/>
      <c r="H933" s="34"/>
      <c r="I933" s="34"/>
      <c r="J933" s="21"/>
      <c r="K933" s="22"/>
      <c r="L933" s="23"/>
      <c r="M933" s="24"/>
      <c r="N933" s="25"/>
      <c r="O933" s="26"/>
      <c r="P933" s="26"/>
      <c r="Q933" s="25"/>
      <c r="R933" s="25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</row>
    <row r="934">
      <c r="A934" s="31"/>
      <c r="B934" s="32"/>
      <c r="C934" s="33"/>
      <c r="D934" s="33"/>
      <c r="E934" s="27"/>
      <c r="F934" s="29"/>
      <c r="G934" s="34"/>
      <c r="H934" s="34"/>
      <c r="I934" s="34"/>
      <c r="J934" s="21"/>
      <c r="K934" s="22"/>
      <c r="L934" s="23"/>
      <c r="M934" s="24"/>
      <c r="N934" s="25"/>
      <c r="O934" s="26"/>
      <c r="P934" s="26"/>
      <c r="Q934" s="25"/>
      <c r="R934" s="25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</row>
    <row r="935">
      <c r="A935" s="31"/>
      <c r="B935" s="32"/>
      <c r="C935" s="33"/>
      <c r="D935" s="33"/>
      <c r="E935" s="27"/>
      <c r="F935" s="29"/>
      <c r="G935" s="34"/>
      <c r="H935" s="34"/>
      <c r="I935" s="34"/>
      <c r="J935" s="21"/>
      <c r="K935" s="22"/>
      <c r="L935" s="23"/>
      <c r="M935" s="24"/>
      <c r="N935" s="25"/>
      <c r="O935" s="26"/>
      <c r="P935" s="26"/>
      <c r="Q935" s="25"/>
      <c r="R935" s="25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</row>
    <row r="936">
      <c r="A936" s="31"/>
      <c r="B936" s="32"/>
      <c r="C936" s="33"/>
      <c r="D936" s="33"/>
      <c r="E936" s="27"/>
      <c r="F936" s="29"/>
      <c r="G936" s="34"/>
      <c r="H936" s="34"/>
      <c r="I936" s="34"/>
      <c r="J936" s="21"/>
      <c r="K936" s="22"/>
      <c r="L936" s="23"/>
      <c r="M936" s="24"/>
      <c r="N936" s="25"/>
      <c r="O936" s="26"/>
      <c r="P936" s="26"/>
      <c r="Q936" s="25"/>
      <c r="R936" s="25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</row>
    <row r="937">
      <c r="A937" s="31"/>
      <c r="B937" s="32"/>
      <c r="C937" s="33"/>
      <c r="D937" s="33"/>
      <c r="E937" s="27"/>
      <c r="F937" s="29"/>
      <c r="G937" s="34"/>
      <c r="H937" s="34"/>
      <c r="I937" s="34"/>
      <c r="J937" s="21"/>
      <c r="K937" s="22"/>
      <c r="L937" s="23"/>
      <c r="M937" s="24"/>
      <c r="N937" s="25"/>
      <c r="O937" s="26"/>
      <c r="P937" s="26"/>
      <c r="Q937" s="25"/>
      <c r="R937" s="25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</row>
    <row r="938">
      <c r="A938" s="31"/>
      <c r="B938" s="32"/>
      <c r="C938" s="33"/>
      <c r="D938" s="33"/>
      <c r="E938" s="27"/>
      <c r="F938" s="29"/>
      <c r="G938" s="34"/>
      <c r="H938" s="34"/>
      <c r="I938" s="34"/>
      <c r="J938" s="21"/>
      <c r="K938" s="22"/>
      <c r="L938" s="23"/>
      <c r="M938" s="24"/>
      <c r="N938" s="25"/>
      <c r="O938" s="26"/>
      <c r="P938" s="26"/>
      <c r="Q938" s="25"/>
      <c r="R938" s="25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</row>
    <row r="939">
      <c r="A939" s="31"/>
      <c r="B939" s="32"/>
      <c r="C939" s="33"/>
      <c r="D939" s="33"/>
      <c r="E939" s="27"/>
      <c r="F939" s="29"/>
      <c r="G939" s="34"/>
      <c r="H939" s="34"/>
      <c r="I939" s="34"/>
      <c r="J939" s="21"/>
      <c r="K939" s="22"/>
      <c r="L939" s="23"/>
      <c r="M939" s="24"/>
      <c r="N939" s="25"/>
      <c r="O939" s="26"/>
      <c r="P939" s="26"/>
      <c r="Q939" s="25"/>
      <c r="R939" s="25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</row>
    <row r="940">
      <c r="A940" s="31"/>
      <c r="B940" s="32"/>
      <c r="C940" s="33"/>
      <c r="D940" s="33"/>
      <c r="E940" s="27"/>
      <c r="F940" s="29"/>
      <c r="G940" s="34"/>
      <c r="H940" s="34"/>
      <c r="I940" s="34"/>
      <c r="J940" s="21"/>
      <c r="K940" s="22"/>
      <c r="L940" s="23"/>
      <c r="M940" s="24"/>
      <c r="N940" s="25"/>
      <c r="O940" s="26"/>
      <c r="P940" s="26"/>
      <c r="Q940" s="25"/>
      <c r="R940" s="25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</row>
    <row r="941">
      <c r="A941" s="31"/>
      <c r="B941" s="32"/>
      <c r="C941" s="33"/>
      <c r="D941" s="33"/>
      <c r="E941" s="27"/>
      <c r="F941" s="29"/>
      <c r="G941" s="34"/>
      <c r="H941" s="34"/>
      <c r="I941" s="34"/>
      <c r="J941" s="21"/>
      <c r="K941" s="22"/>
      <c r="L941" s="23"/>
      <c r="M941" s="24"/>
      <c r="N941" s="25"/>
      <c r="O941" s="26"/>
      <c r="P941" s="26"/>
      <c r="Q941" s="25"/>
      <c r="R941" s="25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</row>
    <row r="942">
      <c r="A942" s="31"/>
      <c r="B942" s="32"/>
      <c r="C942" s="33"/>
      <c r="D942" s="33"/>
      <c r="E942" s="27"/>
      <c r="F942" s="29"/>
      <c r="G942" s="34"/>
      <c r="H942" s="34"/>
      <c r="I942" s="34"/>
      <c r="J942" s="21"/>
      <c r="K942" s="22"/>
      <c r="L942" s="23"/>
      <c r="M942" s="24"/>
      <c r="N942" s="25"/>
      <c r="O942" s="26"/>
      <c r="P942" s="26"/>
      <c r="Q942" s="25"/>
      <c r="R942" s="25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</row>
    <row r="943">
      <c r="A943" s="31"/>
      <c r="B943" s="32"/>
      <c r="C943" s="33"/>
      <c r="D943" s="33"/>
      <c r="E943" s="27"/>
      <c r="F943" s="29"/>
      <c r="G943" s="34"/>
      <c r="H943" s="34"/>
      <c r="I943" s="34"/>
      <c r="J943" s="21"/>
      <c r="K943" s="22"/>
      <c r="L943" s="23"/>
      <c r="M943" s="24"/>
      <c r="N943" s="25"/>
      <c r="O943" s="26"/>
      <c r="P943" s="26"/>
      <c r="Q943" s="25"/>
      <c r="R943" s="25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</row>
    <row r="944">
      <c r="A944" s="31"/>
      <c r="B944" s="32"/>
      <c r="C944" s="33"/>
      <c r="D944" s="33"/>
      <c r="E944" s="27"/>
      <c r="F944" s="29"/>
      <c r="G944" s="34"/>
      <c r="H944" s="34"/>
      <c r="I944" s="34"/>
      <c r="J944" s="21"/>
      <c r="K944" s="22"/>
      <c r="L944" s="23"/>
      <c r="M944" s="24"/>
      <c r="N944" s="25"/>
      <c r="O944" s="26"/>
      <c r="P944" s="26"/>
      <c r="Q944" s="25"/>
      <c r="R944" s="25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</row>
    <row r="945">
      <c r="A945" s="31"/>
      <c r="B945" s="32"/>
      <c r="C945" s="33"/>
      <c r="D945" s="33"/>
      <c r="E945" s="27"/>
      <c r="F945" s="29"/>
      <c r="G945" s="34"/>
      <c r="H945" s="34"/>
      <c r="I945" s="34"/>
      <c r="J945" s="21"/>
      <c r="K945" s="22"/>
      <c r="L945" s="23"/>
      <c r="M945" s="24"/>
      <c r="N945" s="25"/>
      <c r="O945" s="26"/>
      <c r="P945" s="26"/>
      <c r="Q945" s="25"/>
      <c r="R945" s="25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</row>
    <row r="946">
      <c r="A946" s="31"/>
      <c r="B946" s="32"/>
      <c r="C946" s="33"/>
      <c r="D946" s="33"/>
      <c r="E946" s="27"/>
      <c r="F946" s="29"/>
      <c r="G946" s="34"/>
      <c r="H946" s="34"/>
      <c r="I946" s="34"/>
      <c r="J946" s="21"/>
      <c r="K946" s="22"/>
      <c r="L946" s="23"/>
      <c r="M946" s="24"/>
      <c r="N946" s="25"/>
      <c r="O946" s="26"/>
      <c r="P946" s="26"/>
      <c r="Q946" s="25"/>
      <c r="R946" s="25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</row>
    <row r="947">
      <c r="A947" s="31"/>
      <c r="B947" s="32"/>
      <c r="C947" s="33"/>
      <c r="D947" s="33"/>
      <c r="E947" s="27"/>
      <c r="F947" s="29"/>
      <c r="G947" s="34"/>
      <c r="H947" s="34"/>
      <c r="I947" s="34"/>
      <c r="J947" s="21"/>
      <c r="K947" s="22"/>
      <c r="L947" s="23"/>
      <c r="M947" s="24"/>
      <c r="N947" s="25"/>
      <c r="O947" s="26"/>
      <c r="P947" s="26"/>
      <c r="Q947" s="25"/>
      <c r="R947" s="25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</row>
    <row r="948">
      <c r="A948" s="31"/>
      <c r="B948" s="32"/>
      <c r="C948" s="33"/>
      <c r="D948" s="33"/>
      <c r="E948" s="27"/>
      <c r="F948" s="29"/>
      <c r="G948" s="34"/>
      <c r="H948" s="34"/>
      <c r="I948" s="34"/>
      <c r="J948" s="21"/>
      <c r="K948" s="22"/>
      <c r="L948" s="23"/>
      <c r="M948" s="24"/>
      <c r="N948" s="25"/>
      <c r="O948" s="26"/>
      <c r="P948" s="26"/>
      <c r="Q948" s="25"/>
      <c r="R948" s="25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</row>
    <row r="949">
      <c r="A949" s="31"/>
      <c r="B949" s="32"/>
      <c r="C949" s="33"/>
      <c r="D949" s="33"/>
      <c r="E949" s="27"/>
      <c r="F949" s="29"/>
      <c r="G949" s="34"/>
      <c r="H949" s="34"/>
      <c r="I949" s="34"/>
      <c r="J949" s="21"/>
      <c r="K949" s="22"/>
      <c r="L949" s="23"/>
      <c r="M949" s="24"/>
      <c r="N949" s="25"/>
      <c r="O949" s="26"/>
      <c r="P949" s="26"/>
      <c r="Q949" s="25"/>
      <c r="R949" s="25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</row>
    <row r="950">
      <c r="A950" s="31"/>
      <c r="B950" s="32"/>
      <c r="C950" s="33"/>
      <c r="D950" s="33"/>
      <c r="E950" s="27"/>
      <c r="F950" s="29"/>
      <c r="G950" s="34"/>
      <c r="H950" s="34"/>
      <c r="I950" s="34"/>
      <c r="J950" s="21"/>
      <c r="K950" s="22"/>
      <c r="L950" s="23"/>
      <c r="M950" s="24"/>
      <c r="N950" s="25"/>
      <c r="O950" s="26"/>
      <c r="P950" s="26"/>
      <c r="Q950" s="25"/>
      <c r="R950" s="25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</row>
    <row r="951">
      <c r="A951" s="31"/>
      <c r="B951" s="32"/>
      <c r="C951" s="33"/>
      <c r="D951" s="33"/>
      <c r="E951" s="27"/>
      <c r="F951" s="29"/>
      <c r="G951" s="34"/>
      <c r="H951" s="34"/>
      <c r="I951" s="34"/>
      <c r="J951" s="21"/>
      <c r="K951" s="22"/>
      <c r="L951" s="23"/>
      <c r="M951" s="24"/>
      <c r="N951" s="25"/>
      <c r="O951" s="26"/>
      <c r="P951" s="26"/>
      <c r="Q951" s="25"/>
      <c r="R951" s="25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</row>
    <row r="952">
      <c r="A952" s="31"/>
      <c r="B952" s="32"/>
      <c r="C952" s="33"/>
      <c r="D952" s="33"/>
      <c r="E952" s="27"/>
      <c r="F952" s="29"/>
      <c r="G952" s="34"/>
      <c r="H952" s="34"/>
      <c r="I952" s="34"/>
      <c r="J952" s="21"/>
      <c r="K952" s="22"/>
      <c r="L952" s="23"/>
      <c r="M952" s="24"/>
      <c r="N952" s="25"/>
      <c r="O952" s="26"/>
      <c r="P952" s="26"/>
      <c r="Q952" s="25"/>
      <c r="R952" s="25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</row>
    <row r="953">
      <c r="A953" s="31"/>
      <c r="B953" s="32"/>
      <c r="C953" s="33"/>
      <c r="D953" s="33"/>
      <c r="E953" s="27"/>
      <c r="F953" s="29"/>
      <c r="G953" s="34"/>
      <c r="H953" s="34"/>
      <c r="I953" s="34"/>
      <c r="J953" s="21"/>
      <c r="K953" s="22"/>
      <c r="L953" s="23"/>
      <c r="M953" s="24"/>
      <c r="N953" s="25"/>
      <c r="O953" s="26"/>
      <c r="P953" s="26"/>
      <c r="Q953" s="25"/>
      <c r="R953" s="25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</row>
    <row r="954">
      <c r="A954" s="31"/>
      <c r="B954" s="32"/>
      <c r="C954" s="33"/>
      <c r="D954" s="33"/>
      <c r="E954" s="27"/>
      <c r="F954" s="29"/>
      <c r="G954" s="34"/>
      <c r="H954" s="34"/>
      <c r="I954" s="34"/>
      <c r="J954" s="21"/>
      <c r="K954" s="22"/>
      <c r="L954" s="23"/>
      <c r="M954" s="24"/>
      <c r="N954" s="25"/>
      <c r="O954" s="26"/>
      <c r="P954" s="26"/>
      <c r="Q954" s="25"/>
      <c r="R954" s="25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</row>
    <row r="955">
      <c r="A955" s="31"/>
      <c r="B955" s="32"/>
      <c r="C955" s="33"/>
      <c r="D955" s="33"/>
      <c r="E955" s="27"/>
      <c r="F955" s="29"/>
      <c r="G955" s="34"/>
      <c r="H955" s="34"/>
      <c r="I955" s="34"/>
      <c r="J955" s="21"/>
      <c r="K955" s="22"/>
      <c r="L955" s="23"/>
      <c r="M955" s="24"/>
      <c r="N955" s="25"/>
      <c r="O955" s="26"/>
      <c r="P955" s="26"/>
      <c r="Q955" s="25"/>
      <c r="R955" s="25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</row>
    <row r="956">
      <c r="A956" s="31"/>
      <c r="B956" s="32"/>
      <c r="C956" s="33"/>
      <c r="D956" s="33"/>
      <c r="E956" s="27"/>
      <c r="F956" s="29"/>
      <c r="G956" s="34"/>
      <c r="H956" s="34"/>
      <c r="I956" s="34"/>
      <c r="J956" s="21"/>
      <c r="K956" s="22"/>
      <c r="L956" s="23"/>
      <c r="M956" s="24"/>
      <c r="N956" s="25"/>
      <c r="O956" s="26"/>
      <c r="P956" s="26"/>
      <c r="Q956" s="25"/>
      <c r="R956" s="25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</row>
    <row r="957">
      <c r="A957" s="31"/>
      <c r="B957" s="32"/>
      <c r="C957" s="33"/>
      <c r="D957" s="33"/>
      <c r="E957" s="27"/>
      <c r="F957" s="29"/>
      <c r="G957" s="34"/>
      <c r="H957" s="34"/>
      <c r="I957" s="34"/>
      <c r="J957" s="21"/>
      <c r="K957" s="22"/>
      <c r="L957" s="23"/>
      <c r="M957" s="24"/>
      <c r="N957" s="25"/>
      <c r="O957" s="26"/>
      <c r="P957" s="26"/>
      <c r="Q957" s="25"/>
      <c r="R957" s="25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</row>
    <row r="958">
      <c r="A958" s="31"/>
      <c r="B958" s="32"/>
      <c r="C958" s="33"/>
      <c r="D958" s="33"/>
      <c r="E958" s="27"/>
      <c r="F958" s="29"/>
      <c r="G958" s="34"/>
      <c r="H958" s="34"/>
      <c r="I958" s="34"/>
      <c r="J958" s="21"/>
      <c r="K958" s="22"/>
      <c r="L958" s="23"/>
      <c r="M958" s="24"/>
      <c r="N958" s="25"/>
      <c r="O958" s="26"/>
      <c r="P958" s="26"/>
      <c r="Q958" s="25"/>
      <c r="R958" s="25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</row>
    <row r="959">
      <c r="A959" s="31"/>
      <c r="B959" s="32"/>
      <c r="C959" s="33"/>
      <c r="D959" s="33"/>
      <c r="E959" s="27"/>
      <c r="F959" s="29"/>
      <c r="G959" s="34"/>
      <c r="H959" s="34"/>
      <c r="I959" s="34"/>
      <c r="J959" s="21"/>
      <c r="K959" s="22"/>
      <c r="L959" s="23"/>
      <c r="M959" s="24"/>
      <c r="N959" s="25"/>
      <c r="O959" s="26"/>
      <c r="P959" s="26"/>
      <c r="Q959" s="25"/>
      <c r="R959" s="25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</row>
    <row r="960">
      <c r="A960" s="31"/>
      <c r="B960" s="32"/>
      <c r="C960" s="33"/>
      <c r="D960" s="33"/>
      <c r="E960" s="27"/>
      <c r="F960" s="29"/>
      <c r="G960" s="34"/>
      <c r="H960" s="34"/>
      <c r="I960" s="34"/>
      <c r="J960" s="21"/>
      <c r="K960" s="22"/>
      <c r="L960" s="23"/>
      <c r="M960" s="24"/>
      <c r="N960" s="25"/>
      <c r="O960" s="26"/>
      <c r="P960" s="26"/>
      <c r="Q960" s="25"/>
      <c r="R960" s="25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</row>
    <row r="961">
      <c r="A961" s="31"/>
      <c r="B961" s="32"/>
      <c r="C961" s="33"/>
      <c r="D961" s="33"/>
      <c r="E961" s="27"/>
      <c r="F961" s="29"/>
      <c r="G961" s="34"/>
      <c r="H961" s="34"/>
      <c r="I961" s="34"/>
      <c r="J961" s="21"/>
      <c r="K961" s="22"/>
      <c r="L961" s="23"/>
      <c r="M961" s="24"/>
      <c r="N961" s="25"/>
      <c r="O961" s="26"/>
      <c r="P961" s="26"/>
      <c r="Q961" s="25"/>
      <c r="R961" s="25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</row>
    <row r="962">
      <c r="A962" s="31"/>
      <c r="B962" s="32"/>
      <c r="C962" s="33"/>
      <c r="D962" s="33"/>
      <c r="E962" s="27"/>
      <c r="F962" s="29"/>
      <c r="G962" s="34"/>
      <c r="H962" s="34"/>
      <c r="I962" s="34"/>
      <c r="J962" s="21"/>
      <c r="K962" s="22"/>
      <c r="L962" s="23"/>
      <c r="M962" s="24"/>
      <c r="N962" s="25"/>
      <c r="O962" s="26"/>
      <c r="P962" s="26"/>
      <c r="Q962" s="25"/>
      <c r="R962" s="25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</row>
    <row r="963">
      <c r="A963" s="31"/>
      <c r="B963" s="32"/>
      <c r="C963" s="33"/>
      <c r="D963" s="33"/>
      <c r="E963" s="27"/>
      <c r="F963" s="29"/>
      <c r="G963" s="34"/>
      <c r="H963" s="34"/>
      <c r="I963" s="34"/>
      <c r="J963" s="21"/>
      <c r="K963" s="22"/>
      <c r="L963" s="23"/>
      <c r="M963" s="24"/>
      <c r="N963" s="25"/>
      <c r="O963" s="26"/>
      <c r="P963" s="26"/>
      <c r="Q963" s="25"/>
      <c r="R963" s="25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</row>
    <row r="964">
      <c r="A964" s="31"/>
      <c r="B964" s="32"/>
      <c r="C964" s="33"/>
      <c r="D964" s="33"/>
      <c r="E964" s="27"/>
      <c r="F964" s="29"/>
      <c r="G964" s="34"/>
      <c r="H964" s="34"/>
      <c r="I964" s="34"/>
      <c r="J964" s="21"/>
      <c r="K964" s="22"/>
      <c r="L964" s="23"/>
      <c r="M964" s="24"/>
      <c r="N964" s="25"/>
      <c r="O964" s="26"/>
      <c r="P964" s="26"/>
      <c r="Q964" s="25"/>
      <c r="R964" s="25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</row>
    <row r="965">
      <c r="A965" s="31"/>
      <c r="B965" s="32"/>
      <c r="C965" s="33"/>
      <c r="D965" s="33"/>
      <c r="E965" s="27"/>
      <c r="F965" s="29"/>
      <c r="G965" s="34"/>
      <c r="H965" s="34"/>
      <c r="I965" s="34"/>
      <c r="J965" s="21"/>
      <c r="K965" s="22"/>
      <c r="L965" s="23"/>
      <c r="M965" s="24"/>
      <c r="N965" s="25"/>
      <c r="O965" s="26"/>
      <c r="P965" s="26"/>
      <c r="Q965" s="25"/>
      <c r="R965" s="25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</row>
    <row r="966">
      <c r="A966" s="31"/>
      <c r="B966" s="32"/>
      <c r="C966" s="33"/>
      <c r="D966" s="33"/>
      <c r="E966" s="27"/>
      <c r="F966" s="29"/>
      <c r="G966" s="34"/>
      <c r="H966" s="34"/>
      <c r="I966" s="34"/>
      <c r="J966" s="21"/>
      <c r="K966" s="22"/>
      <c r="L966" s="23"/>
      <c r="M966" s="24"/>
      <c r="N966" s="25"/>
      <c r="O966" s="26"/>
      <c r="P966" s="26"/>
      <c r="Q966" s="25"/>
      <c r="R966" s="25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</row>
    <row r="967">
      <c r="A967" s="31"/>
      <c r="B967" s="32"/>
      <c r="C967" s="33"/>
      <c r="D967" s="33"/>
      <c r="E967" s="27"/>
      <c r="F967" s="29"/>
      <c r="G967" s="34"/>
      <c r="H967" s="34"/>
      <c r="I967" s="34"/>
      <c r="J967" s="21"/>
      <c r="K967" s="22"/>
      <c r="L967" s="23"/>
      <c r="M967" s="24"/>
      <c r="N967" s="25"/>
      <c r="O967" s="26"/>
      <c r="P967" s="26"/>
      <c r="Q967" s="25"/>
      <c r="R967" s="25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</row>
    <row r="968">
      <c r="A968" s="31"/>
      <c r="B968" s="32"/>
      <c r="C968" s="33"/>
      <c r="D968" s="33"/>
      <c r="E968" s="27"/>
      <c r="F968" s="29"/>
      <c r="G968" s="34"/>
      <c r="H968" s="34"/>
      <c r="I968" s="34"/>
      <c r="J968" s="21"/>
      <c r="K968" s="22"/>
      <c r="L968" s="23"/>
      <c r="M968" s="24"/>
      <c r="N968" s="25"/>
      <c r="O968" s="26"/>
      <c r="P968" s="26"/>
      <c r="Q968" s="25"/>
      <c r="R968" s="25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</row>
    <row r="969">
      <c r="A969" s="31"/>
      <c r="B969" s="32"/>
      <c r="C969" s="33"/>
      <c r="D969" s="33"/>
      <c r="E969" s="27"/>
      <c r="F969" s="29"/>
      <c r="G969" s="34"/>
      <c r="H969" s="34"/>
      <c r="I969" s="34"/>
      <c r="J969" s="21"/>
      <c r="K969" s="22"/>
      <c r="L969" s="23"/>
      <c r="M969" s="24"/>
      <c r="N969" s="25"/>
      <c r="O969" s="26"/>
      <c r="P969" s="26"/>
      <c r="Q969" s="25"/>
      <c r="R969" s="25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</row>
    <row r="970">
      <c r="A970" s="31"/>
      <c r="B970" s="32"/>
      <c r="C970" s="33"/>
      <c r="D970" s="33"/>
      <c r="E970" s="27"/>
      <c r="F970" s="29"/>
      <c r="G970" s="34"/>
      <c r="H970" s="34"/>
      <c r="I970" s="34"/>
      <c r="J970" s="21"/>
      <c r="K970" s="22"/>
      <c r="L970" s="23"/>
      <c r="M970" s="24"/>
      <c r="N970" s="25"/>
      <c r="O970" s="26"/>
      <c r="P970" s="26"/>
      <c r="Q970" s="25"/>
      <c r="R970" s="25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</row>
    <row r="971">
      <c r="A971" s="31"/>
      <c r="B971" s="32"/>
      <c r="C971" s="33"/>
      <c r="D971" s="33"/>
      <c r="E971" s="27"/>
      <c r="F971" s="29"/>
      <c r="G971" s="34"/>
      <c r="H971" s="34"/>
      <c r="I971" s="34"/>
      <c r="J971" s="21"/>
      <c r="K971" s="22"/>
      <c r="L971" s="23"/>
      <c r="M971" s="24"/>
      <c r="N971" s="25"/>
      <c r="O971" s="26"/>
      <c r="P971" s="26"/>
      <c r="Q971" s="25"/>
      <c r="R971" s="25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</row>
    <row r="972">
      <c r="A972" s="31"/>
      <c r="B972" s="32"/>
      <c r="C972" s="33"/>
      <c r="D972" s="33"/>
      <c r="E972" s="27"/>
      <c r="F972" s="29"/>
      <c r="G972" s="34"/>
      <c r="H972" s="34"/>
      <c r="I972" s="34"/>
      <c r="J972" s="21"/>
      <c r="K972" s="22"/>
      <c r="L972" s="23"/>
      <c r="M972" s="24"/>
      <c r="N972" s="25"/>
      <c r="O972" s="26"/>
      <c r="P972" s="26"/>
      <c r="Q972" s="25"/>
      <c r="R972" s="25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</row>
    <row r="973">
      <c r="A973" s="31"/>
      <c r="B973" s="32"/>
      <c r="C973" s="33"/>
      <c r="D973" s="33"/>
      <c r="E973" s="27"/>
      <c r="F973" s="29"/>
      <c r="G973" s="34"/>
      <c r="H973" s="34"/>
      <c r="I973" s="34"/>
      <c r="J973" s="21"/>
      <c r="K973" s="22"/>
      <c r="L973" s="23"/>
      <c r="M973" s="24"/>
      <c r="N973" s="25"/>
      <c r="O973" s="26"/>
      <c r="P973" s="26"/>
      <c r="Q973" s="25"/>
      <c r="R973" s="25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</row>
    <row r="974">
      <c r="A974" s="31"/>
      <c r="B974" s="32"/>
      <c r="C974" s="33"/>
      <c r="D974" s="33"/>
      <c r="E974" s="27"/>
      <c r="F974" s="29"/>
      <c r="G974" s="34"/>
      <c r="H974" s="34"/>
      <c r="I974" s="34"/>
      <c r="J974" s="21"/>
      <c r="K974" s="22"/>
      <c r="L974" s="23"/>
      <c r="M974" s="24"/>
      <c r="N974" s="25"/>
      <c r="O974" s="26"/>
      <c r="P974" s="26"/>
      <c r="Q974" s="25"/>
      <c r="R974" s="25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</row>
    <row r="975">
      <c r="A975" s="31"/>
      <c r="B975" s="32"/>
      <c r="C975" s="33"/>
      <c r="D975" s="33"/>
      <c r="E975" s="27"/>
      <c r="F975" s="29"/>
      <c r="G975" s="34"/>
      <c r="H975" s="34"/>
      <c r="I975" s="34"/>
      <c r="J975" s="21"/>
      <c r="K975" s="22"/>
      <c r="L975" s="23"/>
      <c r="M975" s="24"/>
      <c r="N975" s="25"/>
      <c r="O975" s="26"/>
      <c r="P975" s="26"/>
      <c r="Q975" s="25"/>
      <c r="R975" s="25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</row>
    <row r="976">
      <c r="A976" s="31"/>
      <c r="B976" s="32"/>
      <c r="C976" s="33"/>
      <c r="D976" s="33"/>
      <c r="E976" s="27"/>
      <c r="F976" s="29"/>
      <c r="G976" s="34"/>
      <c r="H976" s="34"/>
      <c r="I976" s="34"/>
      <c r="J976" s="21"/>
      <c r="K976" s="22"/>
      <c r="L976" s="23"/>
      <c r="M976" s="24"/>
      <c r="N976" s="25"/>
      <c r="O976" s="26"/>
      <c r="P976" s="26"/>
      <c r="Q976" s="25"/>
      <c r="R976" s="25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</row>
    <row r="977">
      <c r="A977" s="31"/>
      <c r="B977" s="32"/>
      <c r="C977" s="33"/>
      <c r="D977" s="33"/>
      <c r="E977" s="27"/>
      <c r="F977" s="29"/>
      <c r="G977" s="34"/>
      <c r="H977" s="34"/>
      <c r="I977" s="34"/>
      <c r="J977" s="21"/>
      <c r="K977" s="22"/>
      <c r="L977" s="23"/>
      <c r="M977" s="24"/>
      <c r="N977" s="25"/>
      <c r="O977" s="26"/>
      <c r="P977" s="26"/>
      <c r="Q977" s="25"/>
      <c r="R977" s="25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</row>
    <row r="978">
      <c r="A978" s="31"/>
      <c r="B978" s="32"/>
      <c r="C978" s="33"/>
      <c r="D978" s="33"/>
      <c r="E978" s="27"/>
      <c r="F978" s="29"/>
      <c r="G978" s="34"/>
      <c r="H978" s="34"/>
      <c r="I978" s="34"/>
      <c r="J978" s="21"/>
      <c r="K978" s="22"/>
      <c r="L978" s="23"/>
      <c r="M978" s="24"/>
      <c r="N978" s="25"/>
      <c r="O978" s="26"/>
      <c r="P978" s="26"/>
      <c r="Q978" s="25"/>
      <c r="R978" s="25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</row>
    <row r="979">
      <c r="A979" s="31"/>
      <c r="B979" s="32"/>
      <c r="C979" s="33"/>
      <c r="D979" s="33"/>
      <c r="E979" s="27"/>
      <c r="F979" s="29"/>
      <c r="G979" s="34"/>
      <c r="H979" s="34"/>
      <c r="I979" s="34"/>
      <c r="J979" s="21"/>
      <c r="K979" s="22"/>
      <c r="L979" s="23"/>
      <c r="M979" s="24"/>
      <c r="N979" s="25"/>
      <c r="O979" s="26"/>
      <c r="P979" s="26"/>
      <c r="Q979" s="25"/>
      <c r="R979" s="25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</row>
    <row r="980">
      <c r="A980" s="31"/>
      <c r="B980" s="32"/>
      <c r="C980" s="33"/>
      <c r="D980" s="33"/>
      <c r="E980" s="27"/>
      <c r="F980" s="29"/>
      <c r="G980" s="34"/>
      <c r="H980" s="34"/>
      <c r="I980" s="34"/>
      <c r="J980" s="21"/>
      <c r="K980" s="22"/>
      <c r="L980" s="23"/>
      <c r="M980" s="24"/>
      <c r="N980" s="25"/>
      <c r="O980" s="26"/>
      <c r="P980" s="26"/>
      <c r="Q980" s="25"/>
      <c r="R980" s="25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</row>
    <row r="981">
      <c r="A981" s="31"/>
      <c r="B981" s="32"/>
      <c r="C981" s="33"/>
      <c r="D981" s="33"/>
      <c r="E981" s="27"/>
      <c r="F981" s="29"/>
      <c r="G981" s="34"/>
      <c r="H981" s="34"/>
      <c r="I981" s="34"/>
      <c r="J981" s="21"/>
      <c r="K981" s="22"/>
      <c r="L981" s="23"/>
      <c r="M981" s="24"/>
      <c r="N981" s="25"/>
      <c r="O981" s="26"/>
      <c r="P981" s="26"/>
      <c r="Q981" s="25"/>
      <c r="R981" s="25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</row>
    <row r="982">
      <c r="A982" s="31"/>
      <c r="B982" s="32"/>
      <c r="C982" s="33"/>
      <c r="D982" s="33"/>
      <c r="E982" s="27"/>
      <c r="F982" s="29"/>
      <c r="G982" s="34"/>
      <c r="H982" s="34"/>
      <c r="I982" s="34"/>
      <c r="J982" s="21"/>
      <c r="K982" s="22"/>
      <c r="L982" s="23"/>
      <c r="M982" s="24"/>
      <c r="N982" s="25"/>
      <c r="O982" s="26"/>
      <c r="P982" s="26"/>
      <c r="Q982" s="25"/>
      <c r="R982" s="25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</row>
    <row r="983">
      <c r="A983" s="31"/>
      <c r="B983" s="32"/>
      <c r="C983" s="33"/>
      <c r="D983" s="33"/>
      <c r="E983" s="27"/>
      <c r="F983" s="29"/>
      <c r="G983" s="34"/>
      <c r="H983" s="34"/>
      <c r="I983" s="34"/>
      <c r="J983" s="21"/>
      <c r="K983" s="22"/>
      <c r="L983" s="23"/>
      <c r="M983" s="24"/>
      <c r="N983" s="25"/>
      <c r="O983" s="26"/>
      <c r="P983" s="26"/>
      <c r="Q983" s="25"/>
      <c r="R983" s="25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</row>
    <row r="984">
      <c r="A984" s="31"/>
      <c r="B984" s="32"/>
      <c r="C984" s="33"/>
      <c r="D984" s="33"/>
      <c r="E984" s="27"/>
      <c r="F984" s="29"/>
      <c r="G984" s="34"/>
      <c r="H984" s="34"/>
      <c r="I984" s="34"/>
      <c r="J984" s="21"/>
      <c r="K984" s="22"/>
      <c r="L984" s="23"/>
      <c r="M984" s="24"/>
      <c r="N984" s="25"/>
      <c r="O984" s="26"/>
      <c r="P984" s="26"/>
      <c r="Q984" s="25"/>
      <c r="R984" s="25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</row>
    <row r="985">
      <c r="A985" s="31"/>
      <c r="B985" s="32"/>
      <c r="C985" s="33"/>
      <c r="D985" s="33"/>
      <c r="E985" s="27"/>
      <c r="F985" s="29"/>
      <c r="G985" s="34"/>
      <c r="H985" s="34"/>
      <c r="I985" s="34"/>
      <c r="J985" s="21"/>
      <c r="K985" s="22"/>
      <c r="L985" s="23"/>
      <c r="M985" s="24"/>
      <c r="N985" s="25"/>
      <c r="O985" s="26"/>
      <c r="P985" s="26"/>
      <c r="Q985" s="25"/>
      <c r="R985" s="25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</row>
    <row r="986">
      <c r="A986" s="31"/>
      <c r="B986" s="32"/>
      <c r="C986" s="33"/>
      <c r="D986" s="33"/>
      <c r="E986" s="27"/>
      <c r="F986" s="29"/>
      <c r="G986" s="34"/>
      <c r="H986" s="34"/>
      <c r="I986" s="34"/>
      <c r="J986" s="21"/>
      <c r="K986" s="22"/>
      <c r="L986" s="23"/>
      <c r="M986" s="24"/>
      <c r="N986" s="25"/>
      <c r="O986" s="26"/>
      <c r="P986" s="26"/>
      <c r="Q986" s="25"/>
      <c r="R986" s="25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</row>
    <row r="987">
      <c r="A987" s="31"/>
      <c r="B987" s="32"/>
      <c r="C987" s="33"/>
      <c r="D987" s="33"/>
      <c r="E987" s="27"/>
      <c r="F987" s="29"/>
      <c r="G987" s="34"/>
      <c r="H987" s="34"/>
      <c r="I987" s="34"/>
      <c r="J987" s="21"/>
      <c r="K987" s="22"/>
      <c r="L987" s="23"/>
      <c r="M987" s="24"/>
      <c r="N987" s="25"/>
      <c r="O987" s="26"/>
      <c r="P987" s="26"/>
      <c r="Q987" s="25"/>
      <c r="R987" s="25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</row>
    <row r="988">
      <c r="A988" s="31"/>
      <c r="B988" s="32"/>
      <c r="C988" s="33"/>
      <c r="D988" s="33"/>
      <c r="E988" s="27"/>
      <c r="F988" s="29"/>
      <c r="G988" s="34"/>
      <c r="H988" s="34"/>
      <c r="I988" s="34"/>
      <c r="J988" s="21"/>
      <c r="K988" s="22"/>
      <c r="L988" s="23"/>
      <c r="M988" s="24"/>
      <c r="N988" s="25"/>
      <c r="O988" s="26"/>
      <c r="P988" s="26"/>
      <c r="Q988" s="25"/>
      <c r="R988" s="25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</row>
    <row r="989">
      <c r="A989" s="31"/>
      <c r="B989" s="32"/>
      <c r="C989" s="33"/>
      <c r="D989" s="33"/>
      <c r="E989" s="27"/>
      <c r="F989" s="29"/>
      <c r="G989" s="34"/>
      <c r="H989" s="34"/>
      <c r="I989" s="34"/>
      <c r="J989" s="21"/>
      <c r="K989" s="22"/>
      <c r="L989" s="23"/>
      <c r="M989" s="24"/>
      <c r="N989" s="25"/>
      <c r="O989" s="26"/>
      <c r="P989" s="26"/>
      <c r="Q989" s="25"/>
      <c r="R989" s="25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</row>
    <row r="990">
      <c r="A990" s="31"/>
      <c r="B990" s="32"/>
      <c r="C990" s="33"/>
      <c r="D990" s="33"/>
      <c r="E990" s="27"/>
      <c r="F990" s="29"/>
      <c r="G990" s="34"/>
      <c r="H990" s="34"/>
      <c r="I990" s="34"/>
      <c r="J990" s="21"/>
      <c r="K990" s="22"/>
      <c r="L990" s="23"/>
      <c r="M990" s="24"/>
      <c r="N990" s="25"/>
      <c r="O990" s="26"/>
      <c r="P990" s="26"/>
      <c r="Q990" s="25"/>
      <c r="R990" s="25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</row>
    <row r="991">
      <c r="A991" s="31"/>
      <c r="B991" s="32"/>
      <c r="C991" s="33"/>
      <c r="D991" s="33"/>
      <c r="E991" s="27"/>
      <c r="F991" s="29"/>
      <c r="G991" s="34"/>
      <c r="H991" s="34"/>
      <c r="I991" s="34"/>
      <c r="J991" s="21"/>
      <c r="K991" s="22"/>
      <c r="L991" s="23"/>
      <c r="M991" s="24"/>
      <c r="N991" s="25"/>
      <c r="O991" s="26"/>
      <c r="P991" s="26"/>
      <c r="Q991" s="25"/>
      <c r="R991" s="25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</row>
    <row r="992">
      <c r="A992" s="31"/>
      <c r="B992" s="32"/>
      <c r="C992" s="33"/>
      <c r="D992" s="33"/>
      <c r="E992" s="27"/>
      <c r="F992" s="29"/>
      <c r="G992" s="34"/>
      <c r="H992" s="34"/>
      <c r="I992" s="34"/>
      <c r="J992" s="21"/>
      <c r="K992" s="22"/>
      <c r="L992" s="23"/>
      <c r="M992" s="24"/>
      <c r="N992" s="25"/>
      <c r="O992" s="26"/>
      <c r="P992" s="26"/>
      <c r="Q992" s="25"/>
      <c r="R992" s="25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</row>
    <row r="993">
      <c r="A993" s="31"/>
      <c r="B993" s="32"/>
      <c r="C993" s="33"/>
      <c r="D993" s="33"/>
      <c r="E993" s="27"/>
      <c r="F993" s="29"/>
      <c r="G993" s="34"/>
      <c r="H993" s="34"/>
      <c r="I993" s="34"/>
      <c r="J993" s="21"/>
      <c r="K993" s="22"/>
      <c r="L993" s="23"/>
      <c r="M993" s="24"/>
      <c r="N993" s="25"/>
      <c r="O993" s="26"/>
      <c r="P993" s="26"/>
      <c r="Q993" s="25"/>
      <c r="R993" s="25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</row>
    <row r="994">
      <c r="A994" s="31"/>
      <c r="B994" s="32"/>
      <c r="C994" s="33"/>
      <c r="D994" s="33"/>
      <c r="E994" s="27"/>
      <c r="F994" s="29"/>
      <c r="G994" s="34"/>
      <c r="H994" s="34"/>
      <c r="I994" s="34"/>
      <c r="J994" s="21"/>
      <c r="K994" s="22"/>
      <c r="L994" s="23"/>
      <c r="M994" s="24"/>
      <c r="N994" s="25"/>
      <c r="O994" s="26"/>
      <c r="P994" s="26"/>
      <c r="Q994" s="25"/>
      <c r="R994" s="25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</row>
    <row r="995">
      <c r="A995" s="31"/>
      <c r="B995" s="32"/>
      <c r="C995" s="33"/>
      <c r="D995" s="33"/>
      <c r="E995" s="27"/>
      <c r="F995" s="29"/>
      <c r="G995" s="34"/>
      <c r="H995" s="34"/>
      <c r="I995" s="34"/>
      <c r="J995" s="21"/>
      <c r="K995" s="22"/>
      <c r="L995" s="23"/>
      <c r="M995" s="24"/>
      <c r="N995" s="25"/>
      <c r="O995" s="26"/>
      <c r="P995" s="26"/>
      <c r="Q995" s="25"/>
      <c r="R995" s="25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</row>
    <row r="996">
      <c r="A996" s="31"/>
      <c r="B996" s="32"/>
      <c r="C996" s="33"/>
      <c r="D996" s="33"/>
      <c r="E996" s="27"/>
      <c r="F996" s="29"/>
      <c r="G996" s="34"/>
      <c r="H996" s="34"/>
      <c r="I996" s="34"/>
      <c r="J996" s="21"/>
      <c r="K996" s="22"/>
      <c r="L996" s="23"/>
      <c r="M996" s="24"/>
      <c r="N996" s="25"/>
      <c r="O996" s="26"/>
      <c r="P996" s="26"/>
      <c r="Q996" s="25"/>
      <c r="R996" s="25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</row>
    <row r="997">
      <c r="A997" s="31"/>
      <c r="B997" s="32"/>
      <c r="C997" s="33"/>
      <c r="D997" s="33"/>
      <c r="E997" s="27"/>
      <c r="F997" s="29"/>
      <c r="G997" s="34"/>
      <c r="H997" s="34"/>
      <c r="I997" s="34"/>
      <c r="J997" s="21"/>
      <c r="K997" s="22"/>
      <c r="L997" s="23"/>
      <c r="M997" s="24"/>
      <c r="N997" s="25"/>
      <c r="O997" s="26"/>
      <c r="P997" s="26"/>
      <c r="Q997" s="25"/>
      <c r="R997" s="25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</row>
    <row r="998">
      <c r="A998" s="31"/>
      <c r="B998" s="32"/>
      <c r="C998" s="33"/>
      <c r="D998" s="33"/>
      <c r="E998" s="27"/>
      <c r="F998" s="29"/>
      <c r="G998" s="34"/>
      <c r="H998" s="34"/>
      <c r="I998" s="34"/>
      <c r="J998" s="21"/>
      <c r="K998" s="22"/>
      <c r="L998" s="23"/>
      <c r="M998" s="24"/>
      <c r="N998" s="25"/>
      <c r="O998" s="26"/>
      <c r="P998" s="26"/>
      <c r="Q998" s="25"/>
      <c r="R998" s="25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</row>
    <row r="999">
      <c r="A999" s="31"/>
      <c r="B999" s="32"/>
      <c r="C999" s="33"/>
      <c r="D999" s="33"/>
      <c r="E999" s="27"/>
      <c r="F999" s="29"/>
      <c r="G999" s="34"/>
      <c r="H999" s="34"/>
      <c r="I999" s="34"/>
      <c r="J999" s="21"/>
      <c r="K999" s="22"/>
      <c r="L999" s="23"/>
      <c r="M999" s="24"/>
      <c r="N999" s="25"/>
      <c r="O999" s="26"/>
      <c r="P999" s="26"/>
      <c r="Q999" s="25"/>
      <c r="R999" s="25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</row>
    <row r="1000">
      <c r="A1000" s="31"/>
      <c r="B1000" s="32"/>
      <c r="C1000" s="33"/>
      <c r="D1000" s="33"/>
      <c r="E1000" s="27"/>
      <c r="F1000" s="29"/>
      <c r="G1000" s="34"/>
      <c r="H1000" s="34"/>
      <c r="I1000" s="34"/>
      <c r="J1000" s="21"/>
      <c r="K1000" s="22"/>
      <c r="L1000" s="23"/>
      <c r="M1000" s="24"/>
      <c r="N1000" s="25"/>
      <c r="O1000" s="26"/>
      <c r="P1000" s="26"/>
      <c r="Q1000" s="25"/>
      <c r="R1000" s="25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</row>
    <row r="1001">
      <c r="A1001" s="31"/>
      <c r="B1001" s="32"/>
      <c r="C1001" s="33"/>
      <c r="D1001" s="33"/>
      <c r="E1001" s="27"/>
      <c r="F1001" s="29"/>
      <c r="G1001" s="34"/>
      <c r="H1001" s="34"/>
      <c r="I1001" s="34"/>
      <c r="J1001" s="21"/>
      <c r="K1001" s="22"/>
      <c r="L1001" s="23"/>
      <c r="M1001" s="24"/>
      <c r="N1001" s="25"/>
      <c r="O1001" s="26"/>
      <c r="P1001" s="26"/>
      <c r="Q1001" s="25"/>
      <c r="R1001" s="25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  <c r="AE1001" s="26"/>
      <c r="AF1001" s="26"/>
      <c r="AG1001" s="26"/>
      <c r="AH1001" s="26"/>
      <c r="AI1001" s="26"/>
      <c r="AJ1001" s="26"/>
      <c r="AK1001" s="26"/>
      <c r="AL1001" s="26"/>
      <c r="AM1001" s="26"/>
      <c r="AN1001" s="26"/>
    </row>
    <row r="1002">
      <c r="A1002" s="31"/>
      <c r="B1002" s="32"/>
      <c r="C1002" s="33"/>
      <c r="D1002" s="33"/>
      <c r="E1002" s="27"/>
      <c r="F1002" s="29"/>
      <c r="G1002" s="34"/>
      <c r="H1002" s="34"/>
      <c r="I1002" s="34"/>
      <c r="J1002" s="21"/>
      <c r="K1002" s="22"/>
      <c r="L1002" s="23"/>
      <c r="M1002" s="24"/>
      <c r="N1002" s="25"/>
      <c r="O1002" s="26"/>
      <c r="P1002" s="26"/>
      <c r="Q1002" s="25"/>
      <c r="R1002" s="25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  <c r="AD1002" s="26"/>
      <c r="AE1002" s="26"/>
      <c r="AF1002" s="26"/>
      <c r="AG1002" s="26"/>
      <c r="AH1002" s="26"/>
      <c r="AI1002" s="26"/>
      <c r="AJ1002" s="26"/>
      <c r="AK1002" s="26"/>
      <c r="AL1002" s="26"/>
      <c r="AM1002" s="26"/>
      <c r="AN1002" s="26"/>
    </row>
    <row r="1003">
      <c r="A1003" s="31"/>
      <c r="B1003" s="32"/>
      <c r="C1003" s="33"/>
      <c r="D1003" s="33"/>
      <c r="E1003" s="27"/>
      <c r="F1003" s="29"/>
      <c r="G1003" s="34"/>
      <c r="H1003" s="34"/>
      <c r="I1003" s="34"/>
      <c r="J1003" s="21"/>
      <c r="K1003" s="22"/>
      <c r="L1003" s="23"/>
      <c r="M1003" s="24"/>
      <c r="N1003" s="25"/>
      <c r="O1003" s="26"/>
      <c r="P1003" s="26"/>
      <c r="Q1003" s="25"/>
      <c r="R1003" s="25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  <c r="AD1003" s="26"/>
      <c r="AE1003" s="26"/>
      <c r="AF1003" s="26"/>
      <c r="AG1003" s="26"/>
      <c r="AH1003" s="26"/>
      <c r="AI1003" s="26"/>
      <c r="AJ1003" s="26"/>
      <c r="AK1003" s="26"/>
      <c r="AL1003" s="26"/>
      <c r="AM1003" s="26"/>
      <c r="AN1003" s="26"/>
    </row>
    <row r="1004">
      <c r="A1004" s="31"/>
      <c r="B1004" s="32"/>
      <c r="C1004" s="33"/>
      <c r="D1004" s="33"/>
      <c r="E1004" s="27"/>
      <c r="F1004" s="29"/>
      <c r="G1004" s="34"/>
      <c r="H1004" s="34"/>
      <c r="I1004" s="34"/>
      <c r="J1004" s="21"/>
      <c r="K1004" s="22"/>
      <c r="L1004" s="23"/>
      <c r="M1004" s="24"/>
      <c r="N1004" s="25"/>
      <c r="O1004" s="26"/>
      <c r="P1004" s="26"/>
      <c r="Q1004" s="25"/>
      <c r="R1004" s="25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  <c r="AD1004" s="26"/>
      <c r="AE1004" s="26"/>
      <c r="AF1004" s="26"/>
      <c r="AG1004" s="26"/>
      <c r="AH1004" s="26"/>
      <c r="AI1004" s="26"/>
      <c r="AJ1004" s="26"/>
      <c r="AK1004" s="26"/>
      <c r="AL1004" s="26"/>
      <c r="AM1004" s="26"/>
      <c r="AN1004" s="26"/>
    </row>
    <row r="1005">
      <c r="A1005" s="31"/>
      <c r="B1005" s="32"/>
      <c r="C1005" s="33"/>
      <c r="D1005" s="33"/>
      <c r="E1005" s="27"/>
      <c r="F1005" s="29"/>
      <c r="G1005" s="34"/>
      <c r="H1005" s="34"/>
      <c r="I1005" s="34"/>
      <c r="J1005" s="21"/>
      <c r="K1005" s="22"/>
      <c r="L1005" s="23"/>
      <c r="M1005" s="24"/>
      <c r="N1005" s="25"/>
      <c r="O1005" s="26"/>
      <c r="P1005" s="26"/>
      <c r="Q1005" s="25"/>
      <c r="R1005" s="25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  <c r="AD1005" s="26"/>
      <c r="AE1005" s="26"/>
      <c r="AF1005" s="26"/>
      <c r="AG1005" s="26"/>
      <c r="AH1005" s="26"/>
      <c r="AI1005" s="26"/>
      <c r="AJ1005" s="26"/>
      <c r="AK1005" s="26"/>
      <c r="AL1005" s="26"/>
      <c r="AM1005" s="26"/>
      <c r="AN1005" s="26"/>
    </row>
    <row r="1006">
      <c r="A1006" s="31"/>
      <c r="B1006" s="32"/>
      <c r="C1006" s="33"/>
      <c r="D1006" s="33"/>
      <c r="E1006" s="27"/>
      <c r="F1006" s="29"/>
      <c r="G1006" s="34"/>
      <c r="H1006" s="34"/>
      <c r="I1006" s="34"/>
      <c r="J1006" s="21"/>
      <c r="K1006" s="22"/>
      <c r="L1006" s="23"/>
      <c r="M1006" s="24"/>
      <c r="N1006" s="25"/>
      <c r="O1006" s="26"/>
      <c r="P1006" s="26"/>
      <c r="Q1006" s="25"/>
      <c r="R1006" s="25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  <c r="AD1006" s="26"/>
      <c r="AE1006" s="26"/>
      <c r="AF1006" s="26"/>
      <c r="AG1006" s="26"/>
      <c r="AH1006" s="26"/>
      <c r="AI1006" s="26"/>
      <c r="AJ1006" s="26"/>
      <c r="AK1006" s="26"/>
      <c r="AL1006" s="26"/>
      <c r="AM1006" s="26"/>
      <c r="AN1006" s="26"/>
    </row>
    <row r="1007">
      <c r="A1007" s="31"/>
      <c r="B1007" s="32"/>
      <c r="C1007" s="33"/>
      <c r="D1007" s="33"/>
      <c r="E1007" s="27"/>
      <c r="F1007" s="29"/>
      <c r="G1007" s="34"/>
      <c r="H1007" s="34"/>
      <c r="I1007" s="34"/>
      <c r="J1007" s="21"/>
      <c r="K1007" s="22"/>
      <c r="L1007" s="23"/>
      <c r="M1007" s="24"/>
      <c r="N1007" s="25"/>
      <c r="O1007" s="26"/>
      <c r="P1007" s="26"/>
      <c r="Q1007" s="25"/>
      <c r="R1007" s="25"/>
      <c r="S1007" s="26"/>
      <c r="T1007" s="26"/>
      <c r="U1007" s="26"/>
      <c r="V1007" s="26"/>
      <c r="W1007" s="26"/>
      <c r="X1007" s="26"/>
      <c r="Y1007" s="26"/>
      <c r="Z1007" s="26"/>
      <c r="AA1007" s="26"/>
      <c r="AB1007" s="26"/>
      <c r="AC1007" s="26"/>
      <c r="AD1007" s="26"/>
      <c r="AE1007" s="26"/>
      <c r="AF1007" s="26"/>
      <c r="AG1007" s="26"/>
      <c r="AH1007" s="26"/>
      <c r="AI1007" s="26"/>
      <c r="AJ1007" s="26"/>
      <c r="AK1007" s="26"/>
      <c r="AL1007" s="26"/>
      <c r="AM1007" s="26"/>
      <c r="AN1007" s="26"/>
    </row>
    <row r="1008">
      <c r="A1008" s="31"/>
      <c r="B1008" s="32"/>
      <c r="C1008" s="33"/>
      <c r="D1008" s="33"/>
      <c r="E1008" s="27"/>
      <c r="F1008" s="29"/>
      <c r="G1008" s="34"/>
      <c r="H1008" s="34"/>
      <c r="I1008" s="34"/>
      <c r="J1008" s="21"/>
      <c r="K1008" s="22"/>
      <c r="L1008" s="23"/>
      <c r="M1008" s="24"/>
      <c r="N1008" s="25"/>
      <c r="O1008" s="26"/>
      <c r="P1008" s="26"/>
      <c r="Q1008" s="25"/>
      <c r="R1008" s="25"/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  <c r="AC1008" s="26"/>
      <c r="AD1008" s="26"/>
      <c r="AE1008" s="26"/>
      <c r="AF1008" s="26"/>
      <c r="AG1008" s="26"/>
      <c r="AH1008" s="26"/>
      <c r="AI1008" s="26"/>
      <c r="AJ1008" s="26"/>
      <c r="AK1008" s="26"/>
      <c r="AL1008" s="26"/>
      <c r="AM1008" s="26"/>
      <c r="AN1008" s="26"/>
    </row>
    <row r="1009">
      <c r="A1009" s="31"/>
      <c r="B1009" s="32"/>
      <c r="C1009" s="33"/>
      <c r="D1009" s="33"/>
      <c r="E1009" s="27"/>
      <c r="F1009" s="29"/>
      <c r="G1009" s="34"/>
      <c r="H1009" s="34"/>
      <c r="I1009" s="34"/>
      <c r="J1009" s="21"/>
      <c r="K1009" s="22"/>
      <c r="L1009" s="23"/>
      <c r="M1009" s="24"/>
      <c r="N1009" s="25"/>
      <c r="O1009" s="26"/>
      <c r="P1009" s="26"/>
      <c r="Q1009" s="25"/>
      <c r="R1009" s="25"/>
      <c r="S1009" s="26"/>
      <c r="T1009" s="26"/>
      <c r="U1009" s="26"/>
      <c r="V1009" s="26"/>
      <c r="W1009" s="26"/>
      <c r="X1009" s="26"/>
      <c r="Y1009" s="26"/>
      <c r="Z1009" s="26"/>
      <c r="AA1009" s="26"/>
      <c r="AB1009" s="26"/>
      <c r="AC1009" s="26"/>
      <c r="AD1009" s="26"/>
      <c r="AE1009" s="26"/>
      <c r="AF1009" s="26"/>
      <c r="AG1009" s="26"/>
      <c r="AH1009" s="26"/>
      <c r="AI1009" s="26"/>
      <c r="AJ1009" s="26"/>
      <c r="AK1009" s="26"/>
      <c r="AL1009" s="26"/>
      <c r="AM1009" s="26"/>
      <c r="AN1009" s="26"/>
    </row>
    <row r="1010">
      <c r="A1010" s="31"/>
      <c r="B1010" s="32"/>
      <c r="C1010" s="33"/>
      <c r="D1010" s="33"/>
      <c r="E1010" s="27"/>
      <c r="F1010" s="29"/>
      <c r="G1010" s="34"/>
      <c r="H1010" s="34"/>
      <c r="I1010" s="34"/>
      <c r="J1010" s="21"/>
      <c r="K1010" s="22"/>
      <c r="L1010" s="23"/>
      <c r="M1010" s="24"/>
      <c r="N1010" s="25"/>
      <c r="O1010" s="26"/>
      <c r="P1010" s="26"/>
      <c r="Q1010" s="25"/>
      <c r="R1010" s="25"/>
      <c r="S1010" s="26"/>
      <c r="T1010" s="26"/>
      <c r="U1010" s="26"/>
      <c r="V1010" s="26"/>
      <c r="W1010" s="26"/>
      <c r="X1010" s="26"/>
      <c r="Y1010" s="26"/>
      <c r="Z1010" s="26"/>
      <c r="AA1010" s="26"/>
      <c r="AB1010" s="26"/>
      <c r="AC1010" s="26"/>
      <c r="AD1010" s="26"/>
      <c r="AE1010" s="26"/>
      <c r="AF1010" s="26"/>
      <c r="AG1010" s="26"/>
      <c r="AH1010" s="26"/>
      <c r="AI1010" s="26"/>
      <c r="AJ1010" s="26"/>
      <c r="AK1010" s="26"/>
      <c r="AL1010" s="26"/>
      <c r="AM1010" s="26"/>
      <c r="AN1010" s="26"/>
    </row>
    <row r="1011">
      <c r="A1011" s="31"/>
      <c r="B1011" s="32"/>
      <c r="C1011" s="33"/>
      <c r="D1011" s="33"/>
      <c r="E1011" s="27"/>
      <c r="F1011" s="29"/>
      <c r="G1011" s="34"/>
      <c r="H1011" s="34"/>
      <c r="I1011" s="34"/>
      <c r="J1011" s="21"/>
      <c r="K1011" s="22"/>
      <c r="L1011" s="23"/>
      <c r="M1011" s="24"/>
      <c r="N1011" s="25"/>
      <c r="O1011" s="26"/>
      <c r="P1011" s="26"/>
      <c r="Q1011" s="25"/>
      <c r="R1011" s="25"/>
      <c r="S1011" s="26"/>
      <c r="T1011" s="26"/>
      <c r="U1011" s="26"/>
      <c r="V1011" s="26"/>
      <c r="W1011" s="26"/>
      <c r="X1011" s="26"/>
      <c r="Y1011" s="26"/>
      <c r="Z1011" s="26"/>
      <c r="AA1011" s="26"/>
      <c r="AB1011" s="26"/>
      <c r="AC1011" s="26"/>
      <c r="AD1011" s="26"/>
      <c r="AE1011" s="26"/>
      <c r="AF1011" s="26"/>
      <c r="AG1011" s="26"/>
      <c r="AH1011" s="26"/>
      <c r="AI1011" s="26"/>
      <c r="AJ1011" s="26"/>
      <c r="AK1011" s="26"/>
      <c r="AL1011" s="26"/>
      <c r="AM1011" s="26"/>
      <c r="AN1011" s="26"/>
    </row>
    <row r="1012">
      <c r="A1012" s="31"/>
      <c r="B1012" s="32"/>
      <c r="C1012" s="33"/>
      <c r="D1012" s="33"/>
      <c r="E1012" s="27"/>
      <c r="F1012" s="29"/>
      <c r="G1012" s="34"/>
      <c r="H1012" s="34"/>
      <c r="I1012" s="34"/>
      <c r="J1012" s="21"/>
      <c r="K1012" s="22"/>
      <c r="L1012" s="23"/>
      <c r="M1012" s="24"/>
      <c r="N1012" s="25"/>
      <c r="O1012" s="26"/>
      <c r="P1012" s="26"/>
      <c r="Q1012" s="25"/>
      <c r="R1012" s="25"/>
      <c r="S1012" s="26"/>
      <c r="T1012" s="26"/>
      <c r="U1012" s="26"/>
      <c r="V1012" s="26"/>
      <c r="W1012" s="26"/>
      <c r="X1012" s="26"/>
      <c r="Y1012" s="26"/>
      <c r="Z1012" s="26"/>
      <c r="AA1012" s="26"/>
      <c r="AB1012" s="26"/>
      <c r="AC1012" s="26"/>
      <c r="AD1012" s="26"/>
      <c r="AE1012" s="26"/>
      <c r="AF1012" s="26"/>
      <c r="AG1012" s="26"/>
      <c r="AH1012" s="26"/>
      <c r="AI1012" s="26"/>
      <c r="AJ1012" s="26"/>
      <c r="AK1012" s="26"/>
      <c r="AL1012" s="26"/>
      <c r="AM1012" s="26"/>
      <c r="AN1012" s="26"/>
    </row>
    <row r="1013">
      <c r="A1013" s="31"/>
      <c r="B1013" s="32"/>
      <c r="C1013" s="33"/>
      <c r="D1013" s="33"/>
      <c r="E1013" s="27"/>
      <c r="F1013" s="29"/>
      <c r="G1013" s="34"/>
      <c r="H1013" s="34"/>
      <c r="I1013" s="34"/>
      <c r="J1013" s="21"/>
      <c r="K1013" s="22"/>
      <c r="L1013" s="23"/>
      <c r="M1013" s="24"/>
      <c r="N1013" s="25"/>
      <c r="O1013" s="26"/>
      <c r="P1013" s="26"/>
      <c r="Q1013" s="25"/>
      <c r="R1013" s="25"/>
      <c r="S1013" s="26"/>
      <c r="T1013" s="26"/>
      <c r="U1013" s="26"/>
      <c r="V1013" s="26"/>
      <c r="W1013" s="26"/>
      <c r="X1013" s="26"/>
      <c r="Y1013" s="26"/>
      <c r="Z1013" s="26"/>
      <c r="AA1013" s="26"/>
      <c r="AB1013" s="26"/>
      <c r="AC1013" s="26"/>
      <c r="AD1013" s="26"/>
      <c r="AE1013" s="26"/>
      <c r="AF1013" s="26"/>
      <c r="AG1013" s="26"/>
      <c r="AH1013" s="26"/>
      <c r="AI1013" s="26"/>
      <c r="AJ1013" s="26"/>
      <c r="AK1013" s="26"/>
      <c r="AL1013" s="26"/>
      <c r="AM1013" s="26"/>
      <c r="AN1013" s="26"/>
    </row>
    <row r="1014">
      <c r="A1014" s="31"/>
      <c r="B1014" s="32"/>
      <c r="C1014" s="33"/>
      <c r="D1014" s="33"/>
      <c r="E1014" s="27"/>
      <c r="F1014" s="29"/>
      <c r="G1014" s="34"/>
      <c r="H1014" s="34"/>
      <c r="I1014" s="34"/>
      <c r="J1014" s="21"/>
      <c r="K1014" s="22"/>
      <c r="L1014" s="23"/>
      <c r="M1014" s="24"/>
      <c r="N1014" s="25"/>
      <c r="O1014" s="26"/>
      <c r="P1014" s="26"/>
      <c r="Q1014" s="25"/>
      <c r="R1014" s="25"/>
      <c r="S1014" s="26"/>
      <c r="T1014" s="26"/>
      <c r="U1014" s="26"/>
      <c r="V1014" s="26"/>
      <c r="W1014" s="26"/>
      <c r="X1014" s="26"/>
      <c r="Y1014" s="26"/>
      <c r="Z1014" s="26"/>
      <c r="AA1014" s="26"/>
      <c r="AB1014" s="26"/>
      <c r="AC1014" s="26"/>
      <c r="AD1014" s="26"/>
      <c r="AE1014" s="26"/>
      <c r="AF1014" s="26"/>
      <c r="AG1014" s="26"/>
      <c r="AH1014" s="26"/>
      <c r="AI1014" s="26"/>
      <c r="AJ1014" s="26"/>
      <c r="AK1014" s="26"/>
      <c r="AL1014" s="26"/>
      <c r="AM1014" s="26"/>
      <c r="AN1014" s="26"/>
    </row>
    <row r="1015">
      <c r="A1015" s="31"/>
      <c r="B1015" s="32"/>
      <c r="C1015" s="33"/>
      <c r="D1015" s="33"/>
      <c r="E1015" s="27"/>
      <c r="F1015" s="29"/>
      <c r="G1015" s="34"/>
      <c r="H1015" s="34"/>
      <c r="I1015" s="34"/>
      <c r="J1015" s="21"/>
      <c r="K1015" s="22"/>
      <c r="L1015" s="23"/>
      <c r="M1015" s="24"/>
      <c r="N1015" s="25"/>
      <c r="O1015" s="26"/>
      <c r="P1015" s="26"/>
      <c r="Q1015" s="25"/>
      <c r="R1015" s="25"/>
      <c r="S1015" s="26"/>
      <c r="T1015" s="26"/>
      <c r="U1015" s="26"/>
      <c r="V1015" s="26"/>
      <c r="W1015" s="26"/>
      <c r="X1015" s="26"/>
      <c r="Y1015" s="26"/>
      <c r="Z1015" s="26"/>
      <c r="AA1015" s="26"/>
      <c r="AB1015" s="26"/>
      <c r="AC1015" s="26"/>
      <c r="AD1015" s="26"/>
      <c r="AE1015" s="26"/>
      <c r="AF1015" s="26"/>
      <c r="AG1015" s="26"/>
      <c r="AH1015" s="26"/>
      <c r="AI1015" s="26"/>
      <c r="AJ1015" s="26"/>
      <c r="AK1015" s="26"/>
      <c r="AL1015" s="26"/>
      <c r="AM1015" s="26"/>
      <c r="AN1015" s="26"/>
    </row>
    <row r="1016">
      <c r="A1016" s="31"/>
      <c r="B1016" s="32"/>
      <c r="C1016" s="33"/>
      <c r="D1016" s="33"/>
      <c r="E1016" s="27"/>
      <c r="F1016" s="29"/>
      <c r="G1016" s="34"/>
      <c r="H1016" s="34"/>
      <c r="I1016" s="34"/>
      <c r="J1016" s="21"/>
      <c r="K1016" s="22"/>
      <c r="L1016" s="23"/>
      <c r="M1016" s="24"/>
      <c r="N1016" s="25"/>
      <c r="O1016" s="26"/>
      <c r="P1016" s="26"/>
      <c r="Q1016" s="25"/>
      <c r="R1016" s="25"/>
      <c r="S1016" s="26"/>
      <c r="T1016" s="26"/>
      <c r="U1016" s="26"/>
      <c r="V1016" s="26"/>
      <c r="W1016" s="26"/>
      <c r="X1016" s="26"/>
      <c r="Y1016" s="26"/>
      <c r="Z1016" s="26"/>
      <c r="AA1016" s="26"/>
      <c r="AB1016" s="26"/>
      <c r="AC1016" s="26"/>
      <c r="AD1016" s="26"/>
      <c r="AE1016" s="26"/>
      <c r="AF1016" s="26"/>
      <c r="AG1016" s="26"/>
      <c r="AH1016" s="26"/>
      <c r="AI1016" s="26"/>
      <c r="AJ1016" s="26"/>
      <c r="AK1016" s="26"/>
      <c r="AL1016" s="26"/>
      <c r="AM1016" s="26"/>
      <c r="AN1016" s="26"/>
    </row>
    <row r="1017">
      <c r="A1017" s="31"/>
      <c r="B1017" s="32"/>
      <c r="C1017" s="33"/>
      <c r="D1017" s="33"/>
      <c r="E1017" s="27"/>
      <c r="F1017" s="29"/>
      <c r="G1017" s="34"/>
      <c r="H1017" s="34"/>
      <c r="I1017" s="34"/>
      <c r="J1017" s="21"/>
      <c r="K1017" s="22"/>
      <c r="L1017" s="23"/>
      <c r="M1017" s="24"/>
      <c r="N1017" s="25"/>
      <c r="O1017" s="26"/>
      <c r="P1017" s="26"/>
      <c r="Q1017" s="25"/>
      <c r="R1017" s="25"/>
      <c r="S1017" s="26"/>
      <c r="T1017" s="26"/>
      <c r="U1017" s="26"/>
      <c r="V1017" s="26"/>
      <c r="W1017" s="26"/>
      <c r="X1017" s="26"/>
      <c r="Y1017" s="26"/>
      <c r="Z1017" s="26"/>
      <c r="AA1017" s="26"/>
      <c r="AB1017" s="26"/>
      <c r="AC1017" s="26"/>
      <c r="AD1017" s="26"/>
      <c r="AE1017" s="26"/>
      <c r="AF1017" s="26"/>
      <c r="AG1017" s="26"/>
      <c r="AH1017" s="26"/>
      <c r="AI1017" s="26"/>
      <c r="AJ1017" s="26"/>
      <c r="AK1017" s="26"/>
      <c r="AL1017" s="26"/>
      <c r="AM1017" s="26"/>
      <c r="AN1017" s="26"/>
    </row>
    <row r="1018">
      <c r="A1018" s="31"/>
      <c r="B1018" s="32"/>
      <c r="C1018" s="33"/>
      <c r="D1018" s="33"/>
      <c r="E1018" s="27"/>
      <c r="F1018" s="29"/>
      <c r="G1018" s="34"/>
      <c r="H1018" s="34"/>
      <c r="I1018" s="34"/>
      <c r="J1018" s="21"/>
      <c r="K1018" s="22"/>
      <c r="L1018" s="23"/>
      <c r="M1018" s="24"/>
      <c r="N1018" s="25"/>
      <c r="O1018" s="26"/>
      <c r="P1018" s="26"/>
      <c r="Q1018" s="25"/>
      <c r="R1018" s="25"/>
      <c r="S1018" s="26"/>
      <c r="T1018" s="26"/>
      <c r="U1018" s="26"/>
      <c r="V1018" s="26"/>
      <c r="W1018" s="26"/>
      <c r="X1018" s="26"/>
      <c r="Y1018" s="26"/>
      <c r="Z1018" s="26"/>
      <c r="AA1018" s="26"/>
      <c r="AB1018" s="26"/>
      <c r="AC1018" s="26"/>
      <c r="AD1018" s="26"/>
      <c r="AE1018" s="26"/>
      <c r="AF1018" s="26"/>
      <c r="AG1018" s="26"/>
      <c r="AH1018" s="26"/>
      <c r="AI1018" s="26"/>
      <c r="AJ1018" s="26"/>
      <c r="AK1018" s="26"/>
      <c r="AL1018" s="26"/>
      <c r="AM1018" s="26"/>
      <c r="AN1018" s="26"/>
    </row>
    <row r="1019">
      <c r="A1019" s="31"/>
      <c r="B1019" s="32"/>
      <c r="C1019" s="33"/>
      <c r="D1019" s="33"/>
      <c r="E1019" s="27"/>
      <c r="F1019" s="29"/>
      <c r="G1019" s="34"/>
      <c r="H1019" s="34"/>
      <c r="I1019" s="34"/>
      <c r="J1019" s="21"/>
      <c r="K1019" s="22"/>
      <c r="L1019" s="23"/>
      <c r="M1019" s="24"/>
      <c r="N1019" s="25"/>
      <c r="O1019" s="26"/>
      <c r="P1019" s="26"/>
      <c r="Q1019" s="25"/>
      <c r="R1019" s="25"/>
      <c r="S1019" s="26"/>
      <c r="T1019" s="26"/>
      <c r="U1019" s="26"/>
      <c r="V1019" s="26"/>
      <c r="W1019" s="26"/>
      <c r="X1019" s="26"/>
      <c r="Y1019" s="26"/>
      <c r="Z1019" s="26"/>
      <c r="AA1019" s="26"/>
      <c r="AB1019" s="26"/>
      <c r="AC1019" s="26"/>
      <c r="AD1019" s="26"/>
      <c r="AE1019" s="26"/>
      <c r="AF1019" s="26"/>
      <c r="AG1019" s="26"/>
      <c r="AH1019" s="26"/>
      <c r="AI1019" s="26"/>
      <c r="AJ1019" s="26"/>
      <c r="AK1019" s="26"/>
      <c r="AL1019" s="26"/>
      <c r="AM1019" s="26"/>
      <c r="AN1019" s="26"/>
    </row>
    <row r="1020">
      <c r="A1020" s="31"/>
      <c r="B1020" s="32"/>
      <c r="C1020" s="33"/>
      <c r="D1020" s="33"/>
      <c r="E1020" s="27"/>
      <c r="F1020" s="29"/>
      <c r="G1020" s="34"/>
      <c r="H1020" s="34"/>
      <c r="I1020" s="34"/>
      <c r="J1020" s="21"/>
      <c r="K1020" s="22"/>
      <c r="L1020" s="23"/>
      <c r="M1020" s="24"/>
      <c r="N1020" s="25"/>
      <c r="O1020" s="26"/>
      <c r="P1020" s="26"/>
      <c r="Q1020" s="25"/>
      <c r="R1020" s="25"/>
      <c r="S1020" s="26"/>
      <c r="T1020" s="26"/>
      <c r="U1020" s="26"/>
      <c r="V1020" s="26"/>
      <c r="W1020" s="26"/>
      <c r="X1020" s="26"/>
      <c r="Y1020" s="26"/>
      <c r="Z1020" s="26"/>
      <c r="AA1020" s="26"/>
      <c r="AB1020" s="26"/>
      <c r="AC1020" s="26"/>
      <c r="AD1020" s="26"/>
      <c r="AE1020" s="26"/>
      <c r="AF1020" s="26"/>
      <c r="AG1020" s="26"/>
      <c r="AH1020" s="26"/>
      <c r="AI1020" s="26"/>
      <c r="AJ1020" s="26"/>
      <c r="AK1020" s="26"/>
      <c r="AL1020" s="26"/>
      <c r="AM1020" s="26"/>
      <c r="AN1020" s="26"/>
    </row>
    <row r="1021">
      <c r="A1021" s="31"/>
      <c r="B1021" s="32"/>
      <c r="C1021" s="33"/>
      <c r="D1021" s="33"/>
      <c r="E1021" s="27"/>
      <c r="F1021" s="29"/>
      <c r="G1021" s="34"/>
      <c r="H1021" s="34"/>
      <c r="I1021" s="34"/>
      <c r="J1021" s="21"/>
      <c r="K1021" s="22"/>
      <c r="L1021" s="23"/>
      <c r="M1021" s="24"/>
      <c r="N1021" s="25"/>
      <c r="O1021" s="26"/>
      <c r="P1021" s="26"/>
      <c r="Q1021" s="25"/>
      <c r="R1021" s="25"/>
      <c r="S1021" s="26"/>
      <c r="T1021" s="26"/>
      <c r="U1021" s="26"/>
      <c r="V1021" s="26"/>
      <c r="W1021" s="26"/>
      <c r="X1021" s="26"/>
      <c r="Y1021" s="26"/>
      <c r="Z1021" s="26"/>
      <c r="AA1021" s="26"/>
      <c r="AB1021" s="26"/>
      <c r="AC1021" s="26"/>
      <c r="AD1021" s="26"/>
      <c r="AE1021" s="26"/>
      <c r="AF1021" s="26"/>
      <c r="AG1021" s="26"/>
      <c r="AH1021" s="26"/>
      <c r="AI1021" s="26"/>
      <c r="AJ1021" s="26"/>
      <c r="AK1021" s="26"/>
      <c r="AL1021" s="26"/>
      <c r="AM1021" s="26"/>
      <c r="AN1021" s="26"/>
    </row>
    <row r="1022">
      <c r="A1022" s="31"/>
      <c r="B1022" s="32"/>
      <c r="C1022" s="33"/>
      <c r="D1022" s="33"/>
      <c r="E1022" s="27"/>
      <c r="F1022" s="29"/>
      <c r="G1022" s="34"/>
      <c r="H1022" s="34"/>
      <c r="I1022" s="34"/>
      <c r="J1022" s="21"/>
      <c r="K1022" s="22"/>
      <c r="L1022" s="23"/>
      <c r="M1022" s="24"/>
      <c r="N1022" s="25"/>
      <c r="O1022" s="26"/>
      <c r="P1022" s="26"/>
      <c r="Q1022" s="25"/>
      <c r="R1022" s="25"/>
      <c r="S1022" s="26"/>
      <c r="T1022" s="26"/>
      <c r="U1022" s="26"/>
      <c r="V1022" s="26"/>
      <c r="W1022" s="26"/>
      <c r="X1022" s="26"/>
      <c r="Y1022" s="26"/>
      <c r="Z1022" s="26"/>
      <c r="AA1022" s="26"/>
      <c r="AB1022" s="26"/>
      <c r="AC1022" s="26"/>
      <c r="AD1022" s="26"/>
      <c r="AE1022" s="26"/>
      <c r="AF1022" s="26"/>
      <c r="AG1022" s="26"/>
      <c r="AH1022" s="26"/>
      <c r="AI1022" s="26"/>
      <c r="AJ1022" s="26"/>
      <c r="AK1022" s="26"/>
      <c r="AL1022" s="26"/>
      <c r="AM1022" s="26"/>
      <c r="AN1022" s="26"/>
    </row>
    <row r="1023">
      <c r="A1023" s="31"/>
      <c r="B1023" s="32"/>
      <c r="C1023" s="33"/>
      <c r="D1023" s="33"/>
      <c r="E1023" s="27"/>
      <c r="F1023" s="29"/>
      <c r="G1023" s="34"/>
      <c r="H1023" s="34"/>
      <c r="I1023" s="34"/>
      <c r="J1023" s="21"/>
      <c r="K1023" s="22"/>
      <c r="L1023" s="23"/>
      <c r="M1023" s="24"/>
      <c r="N1023" s="25"/>
      <c r="O1023" s="26"/>
      <c r="P1023" s="26"/>
      <c r="Q1023" s="25"/>
      <c r="R1023" s="25"/>
      <c r="S1023" s="26"/>
      <c r="T1023" s="26"/>
      <c r="U1023" s="26"/>
      <c r="V1023" s="26"/>
      <c r="W1023" s="26"/>
      <c r="X1023" s="26"/>
      <c r="Y1023" s="26"/>
      <c r="Z1023" s="26"/>
      <c r="AA1023" s="26"/>
      <c r="AB1023" s="26"/>
      <c r="AC1023" s="26"/>
      <c r="AD1023" s="26"/>
      <c r="AE1023" s="26"/>
      <c r="AF1023" s="26"/>
      <c r="AG1023" s="26"/>
      <c r="AH1023" s="26"/>
      <c r="AI1023" s="26"/>
      <c r="AJ1023" s="26"/>
      <c r="AK1023" s="26"/>
      <c r="AL1023" s="26"/>
      <c r="AM1023" s="26"/>
      <c r="AN1023" s="26"/>
    </row>
    <row r="1024">
      <c r="A1024" s="31"/>
      <c r="B1024" s="32"/>
      <c r="C1024" s="33"/>
      <c r="D1024" s="33"/>
      <c r="E1024" s="27"/>
      <c r="F1024" s="29"/>
      <c r="G1024" s="34"/>
      <c r="H1024" s="34"/>
      <c r="I1024" s="34"/>
      <c r="J1024" s="21"/>
      <c r="K1024" s="22"/>
      <c r="L1024" s="23"/>
      <c r="M1024" s="24"/>
      <c r="N1024" s="25"/>
      <c r="O1024" s="26"/>
      <c r="P1024" s="26"/>
      <c r="Q1024" s="25"/>
      <c r="R1024" s="25"/>
      <c r="S1024" s="26"/>
      <c r="T1024" s="26"/>
      <c r="U1024" s="26"/>
      <c r="V1024" s="26"/>
      <c r="W1024" s="26"/>
      <c r="X1024" s="26"/>
      <c r="Y1024" s="26"/>
      <c r="Z1024" s="26"/>
      <c r="AA1024" s="26"/>
      <c r="AB1024" s="26"/>
      <c r="AC1024" s="26"/>
      <c r="AD1024" s="26"/>
      <c r="AE1024" s="26"/>
      <c r="AF1024" s="26"/>
      <c r="AG1024" s="26"/>
      <c r="AH1024" s="26"/>
      <c r="AI1024" s="26"/>
      <c r="AJ1024" s="26"/>
      <c r="AK1024" s="26"/>
      <c r="AL1024" s="26"/>
      <c r="AM1024" s="26"/>
      <c r="AN1024" s="26"/>
    </row>
    <row r="1025">
      <c r="A1025" s="31"/>
      <c r="B1025" s="32"/>
      <c r="C1025" s="33"/>
      <c r="D1025" s="33"/>
      <c r="E1025" s="27"/>
      <c r="F1025" s="29"/>
      <c r="G1025" s="34"/>
      <c r="H1025" s="34"/>
      <c r="I1025" s="34"/>
      <c r="J1025" s="21"/>
      <c r="K1025" s="22"/>
      <c r="L1025" s="23"/>
      <c r="M1025" s="24"/>
      <c r="N1025" s="25"/>
      <c r="O1025" s="26"/>
      <c r="P1025" s="26"/>
      <c r="Q1025" s="25"/>
      <c r="R1025" s="25"/>
      <c r="S1025" s="26"/>
      <c r="T1025" s="26"/>
      <c r="U1025" s="26"/>
      <c r="V1025" s="26"/>
      <c r="W1025" s="26"/>
      <c r="X1025" s="26"/>
      <c r="Y1025" s="26"/>
      <c r="Z1025" s="26"/>
      <c r="AA1025" s="26"/>
      <c r="AB1025" s="26"/>
      <c r="AC1025" s="26"/>
      <c r="AD1025" s="26"/>
      <c r="AE1025" s="26"/>
      <c r="AF1025" s="26"/>
      <c r="AG1025" s="26"/>
      <c r="AH1025" s="26"/>
      <c r="AI1025" s="26"/>
      <c r="AJ1025" s="26"/>
      <c r="AK1025" s="26"/>
      <c r="AL1025" s="26"/>
      <c r="AM1025" s="26"/>
      <c r="AN1025" s="26"/>
    </row>
    <row r="1026">
      <c r="A1026" s="31"/>
      <c r="B1026" s="32"/>
      <c r="C1026" s="33"/>
      <c r="D1026" s="33"/>
      <c r="E1026" s="27"/>
      <c r="F1026" s="29"/>
      <c r="G1026" s="34"/>
      <c r="H1026" s="34"/>
      <c r="I1026" s="34"/>
      <c r="J1026" s="21"/>
      <c r="K1026" s="22"/>
      <c r="L1026" s="23"/>
      <c r="M1026" s="24"/>
      <c r="N1026" s="25"/>
      <c r="O1026" s="26"/>
      <c r="P1026" s="26"/>
      <c r="Q1026" s="25"/>
      <c r="R1026" s="25"/>
      <c r="S1026" s="26"/>
      <c r="T1026" s="26"/>
      <c r="U1026" s="26"/>
      <c r="V1026" s="26"/>
      <c r="W1026" s="26"/>
      <c r="X1026" s="26"/>
      <c r="Y1026" s="26"/>
      <c r="Z1026" s="26"/>
      <c r="AA1026" s="26"/>
      <c r="AB1026" s="26"/>
      <c r="AC1026" s="26"/>
      <c r="AD1026" s="26"/>
      <c r="AE1026" s="26"/>
      <c r="AF1026" s="26"/>
      <c r="AG1026" s="26"/>
      <c r="AH1026" s="26"/>
      <c r="AI1026" s="26"/>
      <c r="AJ1026" s="26"/>
      <c r="AK1026" s="26"/>
      <c r="AL1026" s="26"/>
      <c r="AM1026" s="26"/>
      <c r="AN1026" s="26"/>
    </row>
    <row r="1027">
      <c r="A1027" s="31"/>
      <c r="B1027" s="32"/>
      <c r="C1027" s="33"/>
      <c r="D1027" s="33"/>
      <c r="E1027" s="27"/>
      <c r="F1027" s="29"/>
      <c r="G1027" s="34"/>
      <c r="H1027" s="34"/>
      <c r="I1027" s="34"/>
      <c r="J1027" s="21"/>
      <c r="K1027" s="22"/>
      <c r="L1027" s="23"/>
      <c r="M1027" s="24"/>
      <c r="N1027" s="25"/>
      <c r="O1027" s="26"/>
      <c r="P1027" s="26"/>
      <c r="Q1027" s="25"/>
      <c r="R1027" s="25"/>
      <c r="S1027" s="26"/>
      <c r="T1027" s="26"/>
      <c r="U1027" s="26"/>
      <c r="V1027" s="26"/>
      <c r="W1027" s="26"/>
      <c r="X1027" s="26"/>
      <c r="Y1027" s="26"/>
      <c r="Z1027" s="26"/>
      <c r="AA1027" s="26"/>
      <c r="AB1027" s="26"/>
      <c r="AC1027" s="26"/>
      <c r="AD1027" s="26"/>
      <c r="AE1027" s="26"/>
      <c r="AF1027" s="26"/>
      <c r="AG1027" s="26"/>
      <c r="AH1027" s="26"/>
      <c r="AI1027" s="26"/>
      <c r="AJ1027" s="26"/>
      <c r="AK1027" s="26"/>
      <c r="AL1027" s="26"/>
      <c r="AM1027" s="26"/>
      <c r="AN1027" s="26"/>
    </row>
    <row r="1028">
      <c r="A1028" s="31"/>
      <c r="B1028" s="32"/>
      <c r="C1028" s="33"/>
      <c r="D1028" s="33"/>
      <c r="E1028" s="27"/>
      <c r="F1028" s="29"/>
      <c r="G1028" s="34"/>
      <c r="H1028" s="34"/>
      <c r="I1028" s="34"/>
      <c r="J1028" s="21"/>
      <c r="K1028" s="22"/>
      <c r="L1028" s="23"/>
      <c r="M1028" s="24"/>
      <c r="N1028" s="25"/>
      <c r="O1028" s="26"/>
      <c r="P1028" s="26"/>
      <c r="Q1028" s="25"/>
      <c r="R1028" s="25"/>
      <c r="S1028" s="26"/>
      <c r="T1028" s="26"/>
      <c r="U1028" s="26"/>
      <c r="V1028" s="26"/>
      <c r="W1028" s="26"/>
      <c r="X1028" s="26"/>
      <c r="Y1028" s="26"/>
      <c r="Z1028" s="26"/>
      <c r="AA1028" s="26"/>
      <c r="AB1028" s="26"/>
      <c r="AC1028" s="26"/>
      <c r="AD1028" s="26"/>
      <c r="AE1028" s="26"/>
      <c r="AF1028" s="26"/>
      <c r="AG1028" s="26"/>
      <c r="AH1028" s="26"/>
      <c r="AI1028" s="26"/>
      <c r="AJ1028" s="26"/>
      <c r="AK1028" s="26"/>
      <c r="AL1028" s="26"/>
      <c r="AM1028" s="26"/>
      <c r="AN1028" s="26"/>
    </row>
    <row r="1029">
      <c r="A1029" s="31"/>
      <c r="B1029" s="32"/>
      <c r="C1029" s="33"/>
      <c r="D1029" s="33"/>
      <c r="E1029" s="27"/>
      <c r="F1029" s="29"/>
      <c r="G1029" s="34"/>
      <c r="H1029" s="34"/>
      <c r="I1029" s="34"/>
      <c r="J1029" s="21"/>
      <c r="K1029" s="22"/>
      <c r="L1029" s="23"/>
      <c r="M1029" s="24"/>
      <c r="N1029" s="25"/>
      <c r="O1029" s="26"/>
      <c r="P1029" s="26"/>
      <c r="Q1029" s="25"/>
      <c r="R1029" s="25"/>
      <c r="S1029" s="26"/>
      <c r="T1029" s="26"/>
      <c r="U1029" s="26"/>
      <c r="V1029" s="26"/>
      <c r="W1029" s="26"/>
      <c r="X1029" s="26"/>
      <c r="Y1029" s="26"/>
      <c r="Z1029" s="26"/>
      <c r="AA1029" s="26"/>
      <c r="AB1029" s="26"/>
      <c r="AC1029" s="26"/>
      <c r="AD1029" s="26"/>
      <c r="AE1029" s="26"/>
      <c r="AF1029" s="26"/>
      <c r="AG1029" s="26"/>
      <c r="AH1029" s="26"/>
      <c r="AI1029" s="26"/>
      <c r="AJ1029" s="26"/>
      <c r="AK1029" s="26"/>
      <c r="AL1029" s="26"/>
      <c r="AM1029" s="26"/>
      <c r="AN1029" s="26"/>
    </row>
    <row r="1030">
      <c r="A1030" s="31"/>
      <c r="B1030" s="32"/>
      <c r="C1030" s="33"/>
      <c r="D1030" s="33"/>
      <c r="E1030" s="27"/>
      <c r="F1030" s="29"/>
      <c r="G1030" s="34"/>
      <c r="H1030" s="34"/>
      <c r="I1030" s="34"/>
      <c r="J1030" s="21"/>
      <c r="K1030" s="22"/>
      <c r="L1030" s="23"/>
      <c r="M1030" s="24"/>
      <c r="N1030" s="25"/>
      <c r="O1030" s="26"/>
      <c r="P1030" s="26"/>
      <c r="Q1030" s="25"/>
      <c r="R1030" s="25"/>
      <c r="S1030" s="26"/>
      <c r="T1030" s="26"/>
      <c r="U1030" s="26"/>
      <c r="V1030" s="26"/>
      <c r="W1030" s="26"/>
      <c r="X1030" s="26"/>
      <c r="Y1030" s="26"/>
      <c r="Z1030" s="26"/>
      <c r="AA1030" s="26"/>
      <c r="AB1030" s="26"/>
      <c r="AC1030" s="26"/>
      <c r="AD1030" s="26"/>
      <c r="AE1030" s="26"/>
      <c r="AF1030" s="26"/>
      <c r="AG1030" s="26"/>
      <c r="AH1030" s="26"/>
      <c r="AI1030" s="26"/>
      <c r="AJ1030" s="26"/>
      <c r="AK1030" s="26"/>
      <c r="AL1030" s="26"/>
      <c r="AM1030" s="26"/>
      <c r="AN1030" s="26"/>
    </row>
    <row r="1031">
      <c r="A1031" s="31"/>
      <c r="B1031" s="32"/>
      <c r="C1031" s="33"/>
      <c r="D1031" s="33"/>
      <c r="E1031" s="27"/>
      <c r="F1031" s="29"/>
      <c r="G1031" s="34"/>
      <c r="H1031" s="34"/>
      <c r="I1031" s="34"/>
      <c r="J1031" s="21"/>
      <c r="K1031" s="22"/>
      <c r="L1031" s="23"/>
      <c r="M1031" s="24"/>
      <c r="N1031" s="25"/>
      <c r="O1031" s="26"/>
      <c r="P1031" s="26"/>
      <c r="Q1031" s="25"/>
      <c r="R1031" s="25"/>
      <c r="S1031" s="26"/>
      <c r="T1031" s="26"/>
      <c r="U1031" s="26"/>
      <c r="V1031" s="26"/>
      <c r="W1031" s="26"/>
      <c r="X1031" s="26"/>
      <c r="Y1031" s="26"/>
      <c r="Z1031" s="26"/>
      <c r="AA1031" s="26"/>
      <c r="AB1031" s="26"/>
      <c r="AC1031" s="26"/>
      <c r="AD1031" s="26"/>
      <c r="AE1031" s="26"/>
      <c r="AF1031" s="26"/>
      <c r="AG1031" s="26"/>
      <c r="AH1031" s="26"/>
      <c r="AI1031" s="26"/>
      <c r="AJ1031" s="26"/>
      <c r="AK1031" s="26"/>
      <c r="AL1031" s="26"/>
      <c r="AM1031" s="26"/>
      <c r="AN1031" s="26"/>
    </row>
    <row r="1032">
      <c r="A1032" s="31"/>
      <c r="B1032" s="32"/>
      <c r="C1032" s="33"/>
      <c r="D1032" s="33"/>
      <c r="E1032" s="27"/>
      <c r="F1032" s="29"/>
      <c r="G1032" s="34"/>
      <c r="H1032" s="34"/>
      <c r="I1032" s="34"/>
      <c r="J1032" s="21"/>
      <c r="K1032" s="22"/>
      <c r="L1032" s="23"/>
      <c r="M1032" s="24"/>
      <c r="N1032" s="25"/>
      <c r="O1032" s="26"/>
      <c r="P1032" s="26"/>
      <c r="Q1032" s="25"/>
      <c r="R1032" s="25"/>
      <c r="S1032" s="26"/>
      <c r="T1032" s="26"/>
      <c r="U1032" s="26"/>
      <c r="V1032" s="26"/>
      <c r="W1032" s="26"/>
      <c r="X1032" s="26"/>
      <c r="Y1032" s="26"/>
      <c r="Z1032" s="26"/>
      <c r="AA1032" s="26"/>
      <c r="AB1032" s="26"/>
      <c r="AC1032" s="26"/>
      <c r="AD1032" s="26"/>
      <c r="AE1032" s="26"/>
      <c r="AF1032" s="26"/>
      <c r="AG1032" s="26"/>
      <c r="AH1032" s="26"/>
      <c r="AI1032" s="26"/>
      <c r="AJ1032" s="26"/>
      <c r="AK1032" s="26"/>
      <c r="AL1032" s="26"/>
      <c r="AM1032" s="26"/>
      <c r="AN1032" s="26"/>
    </row>
    <row r="1033">
      <c r="A1033" s="31"/>
      <c r="B1033" s="32"/>
      <c r="C1033" s="33"/>
      <c r="D1033" s="33"/>
      <c r="E1033" s="27"/>
      <c r="F1033" s="29"/>
      <c r="G1033" s="34"/>
      <c r="H1033" s="34"/>
      <c r="I1033" s="34"/>
      <c r="J1033" s="21"/>
      <c r="K1033" s="22"/>
      <c r="L1033" s="23"/>
      <c r="M1033" s="24"/>
      <c r="N1033" s="25"/>
      <c r="O1033" s="26"/>
      <c r="P1033" s="26"/>
      <c r="Q1033" s="25"/>
      <c r="R1033" s="25"/>
      <c r="S1033" s="26"/>
      <c r="T1033" s="26"/>
      <c r="U1033" s="26"/>
      <c r="V1033" s="26"/>
      <c r="W1033" s="26"/>
      <c r="X1033" s="26"/>
      <c r="Y1033" s="26"/>
      <c r="Z1033" s="26"/>
      <c r="AA1033" s="26"/>
      <c r="AB1033" s="26"/>
      <c r="AC1033" s="26"/>
      <c r="AD1033" s="26"/>
      <c r="AE1033" s="26"/>
      <c r="AF1033" s="26"/>
      <c r="AG1033" s="26"/>
      <c r="AH1033" s="26"/>
      <c r="AI1033" s="26"/>
      <c r="AJ1033" s="26"/>
      <c r="AK1033" s="26"/>
      <c r="AL1033" s="26"/>
      <c r="AM1033" s="26"/>
      <c r="AN1033" s="26"/>
    </row>
    <row r="1034">
      <c r="A1034" s="31"/>
      <c r="B1034" s="32"/>
      <c r="C1034" s="33"/>
      <c r="D1034" s="33"/>
      <c r="E1034" s="27"/>
      <c r="F1034" s="29"/>
      <c r="G1034" s="34"/>
      <c r="H1034" s="34"/>
      <c r="I1034" s="34"/>
      <c r="J1034" s="21"/>
      <c r="K1034" s="22"/>
      <c r="L1034" s="23"/>
      <c r="M1034" s="24"/>
      <c r="N1034" s="25"/>
      <c r="O1034" s="26"/>
      <c r="P1034" s="26"/>
      <c r="Q1034" s="25"/>
      <c r="R1034" s="25"/>
      <c r="S1034" s="26"/>
      <c r="T1034" s="26"/>
      <c r="U1034" s="26"/>
      <c r="V1034" s="26"/>
      <c r="W1034" s="26"/>
      <c r="X1034" s="26"/>
      <c r="Y1034" s="26"/>
      <c r="Z1034" s="26"/>
      <c r="AA1034" s="26"/>
      <c r="AB1034" s="26"/>
      <c r="AC1034" s="26"/>
      <c r="AD1034" s="26"/>
      <c r="AE1034" s="26"/>
      <c r="AF1034" s="26"/>
      <c r="AG1034" s="26"/>
      <c r="AH1034" s="26"/>
      <c r="AI1034" s="26"/>
      <c r="AJ1034" s="26"/>
      <c r="AK1034" s="26"/>
      <c r="AL1034" s="26"/>
      <c r="AM1034" s="26"/>
      <c r="AN1034" s="26"/>
    </row>
    <row r="1035">
      <c r="A1035" s="31"/>
      <c r="B1035" s="32"/>
      <c r="C1035" s="33"/>
      <c r="D1035" s="33"/>
      <c r="E1035" s="27"/>
      <c r="F1035" s="29"/>
      <c r="G1035" s="34"/>
      <c r="H1035" s="34"/>
      <c r="I1035" s="34"/>
      <c r="J1035" s="21"/>
      <c r="K1035" s="22"/>
      <c r="L1035" s="23"/>
      <c r="M1035" s="24"/>
      <c r="N1035" s="25"/>
      <c r="O1035" s="26"/>
      <c r="P1035" s="26"/>
      <c r="Q1035" s="25"/>
      <c r="R1035" s="25"/>
      <c r="S1035" s="26"/>
      <c r="T1035" s="26"/>
      <c r="U1035" s="26"/>
      <c r="V1035" s="26"/>
      <c r="W1035" s="26"/>
      <c r="X1035" s="26"/>
      <c r="Y1035" s="26"/>
      <c r="Z1035" s="26"/>
      <c r="AA1035" s="26"/>
      <c r="AB1035" s="26"/>
      <c r="AC1035" s="26"/>
      <c r="AD1035" s="26"/>
      <c r="AE1035" s="26"/>
      <c r="AF1035" s="26"/>
      <c r="AG1035" s="26"/>
      <c r="AH1035" s="26"/>
      <c r="AI1035" s="26"/>
      <c r="AJ1035" s="26"/>
      <c r="AK1035" s="26"/>
      <c r="AL1035" s="26"/>
      <c r="AM1035" s="26"/>
      <c r="AN1035" s="26"/>
    </row>
    <row r="1036">
      <c r="A1036" s="31"/>
      <c r="B1036" s="32"/>
      <c r="C1036" s="33"/>
      <c r="D1036" s="33"/>
      <c r="E1036" s="27"/>
      <c r="F1036" s="29"/>
      <c r="G1036" s="34"/>
      <c r="H1036" s="34"/>
      <c r="I1036" s="34"/>
      <c r="J1036" s="21"/>
      <c r="K1036" s="22"/>
      <c r="L1036" s="23"/>
      <c r="M1036" s="24"/>
      <c r="N1036" s="25"/>
      <c r="O1036" s="26"/>
      <c r="P1036" s="26"/>
      <c r="Q1036" s="25"/>
      <c r="R1036" s="25"/>
      <c r="S1036" s="26"/>
      <c r="T1036" s="26"/>
      <c r="U1036" s="26"/>
      <c r="V1036" s="26"/>
      <c r="W1036" s="26"/>
      <c r="X1036" s="26"/>
      <c r="Y1036" s="26"/>
      <c r="Z1036" s="26"/>
      <c r="AA1036" s="26"/>
      <c r="AB1036" s="26"/>
      <c r="AC1036" s="26"/>
      <c r="AD1036" s="26"/>
      <c r="AE1036" s="26"/>
      <c r="AF1036" s="26"/>
      <c r="AG1036" s="26"/>
      <c r="AH1036" s="26"/>
      <c r="AI1036" s="26"/>
      <c r="AJ1036" s="26"/>
      <c r="AK1036" s="26"/>
      <c r="AL1036" s="26"/>
      <c r="AM1036" s="26"/>
      <c r="AN1036" s="26"/>
    </row>
    <row r="1037">
      <c r="A1037" s="31"/>
      <c r="B1037" s="32"/>
      <c r="C1037" s="33"/>
      <c r="D1037" s="33"/>
      <c r="E1037" s="27"/>
      <c r="F1037" s="29"/>
      <c r="G1037" s="34"/>
      <c r="H1037" s="34"/>
      <c r="I1037" s="34"/>
      <c r="J1037" s="21"/>
      <c r="K1037" s="22"/>
      <c r="L1037" s="23"/>
      <c r="M1037" s="24"/>
      <c r="N1037" s="25"/>
      <c r="O1037" s="26"/>
      <c r="P1037" s="26"/>
      <c r="Q1037" s="25"/>
      <c r="R1037" s="25"/>
      <c r="S1037" s="26"/>
      <c r="T1037" s="26"/>
      <c r="U1037" s="26"/>
      <c r="V1037" s="26"/>
      <c r="W1037" s="26"/>
      <c r="X1037" s="26"/>
      <c r="Y1037" s="26"/>
      <c r="Z1037" s="26"/>
      <c r="AA1037" s="26"/>
      <c r="AB1037" s="26"/>
      <c r="AC1037" s="26"/>
      <c r="AD1037" s="26"/>
      <c r="AE1037" s="26"/>
      <c r="AF1037" s="26"/>
      <c r="AG1037" s="26"/>
      <c r="AH1037" s="26"/>
      <c r="AI1037" s="26"/>
      <c r="AJ1037" s="26"/>
      <c r="AK1037" s="26"/>
      <c r="AL1037" s="26"/>
      <c r="AM1037" s="26"/>
      <c r="AN1037" s="26"/>
    </row>
    <row r="1038">
      <c r="A1038" s="31"/>
      <c r="B1038" s="32"/>
      <c r="C1038" s="33"/>
      <c r="D1038" s="33"/>
      <c r="E1038" s="27"/>
      <c r="F1038" s="29"/>
      <c r="G1038" s="34"/>
      <c r="H1038" s="34"/>
      <c r="I1038" s="34"/>
      <c r="J1038" s="21"/>
      <c r="K1038" s="22"/>
      <c r="L1038" s="23"/>
      <c r="M1038" s="24"/>
      <c r="N1038" s="25"/>
      <c r="O1038" s="26"/>
      <c r="P1038" s="26"/>
      <c r="Q1038" s="25"/>
      <c r="R1038" s="25"/>
      <c r="S1038" s="26"/>
      <c r="T1038" s="26"/>
      <c r="U1038" s="26"/>
      <c r="V1038" s="26"/>
      <c r="W1038" s="26"/>
      <c r="X1038" s="26"/>
      <c r="Y1038" s="26"/>
      <c r="Z1038" s="26"/>
      <c r="AA1038" s="26"/>
      <c r="AB1038" s="26"/>
      <c r="AC1038" s="26"/>
      <c r="AD1038" s="26"/>
      <c r="AE1038" s="26"/>
      <c r="AF1038" s="26"/>
      <c r="AG1038" s="26"/>
      <c r="AH1038" s="26"/>
      <c r="AI1038" s="26"/>
      <c r="AJ1038" s="26"/>
      <c r="AK1038" s="26"/>
      <c r="AL1038" s="26"/>
      <c r="AM1038" s="26"/>
      <c r="AN1038" s="26"/>
    </row>
    <row r="1039">
      <c r="A1039" s="31"/>
      <c r="B1039" s="32"/>
      <c r="C1039" s="33"/>
      <c r="D1039" s="33"/>
      <c r="E1039" s="27"/>
      <c r="F1039" s="29"/>
      <c r="G1039" s="34"/>
      <c r="H1039" s="34"/>
      <c r="I1039" s="34"/>
      <c r="J1039" s="21"/>
      <c r="K1039" s="22"/>
      <c r="L1039" s="23"/>
      <c r="M1039" s="24"/>
      <c r="N1039" s="25"/>
      <c r="O1039" s="26"/>
      <c r="P1039" s="26"/>
      <c r="Q1039" s="25"/>
      <c r="R1039" s="25"/>
      <c r="S1039" s="26"/>
      <c r="T1039" s="26"/>
      <c r="U1039" s="26"/>
      <c r="V1039" s="26"/>
      <c r="W1039" s="26"/>
      <c r="X1039" s="26"/>
      <c r="Y1039" s="26"/>
      <c r="Z1039" s="26"/>
      <c r="AA1039" s="26"/>
      <c r="AB1039" s="26"/>
      <c r="AC1039" s="26"/>
      <c r="AD1039" s="26"/>
      <c r="AE1039" s="26"/>
      <c r="AF1039" s="26"/>
      <c r="AG1039" s="26"/>
      <c r="AH1039" s="26"/>
      <c r="AI1039" s="26"/>
      <c r="AJ1039" s="26"/>
      <c r="AK1039" s="26"/>
      <c r="AL1039" s="26"/>
      <c r="AM1039" s="26"/>
      <c r="AN1039" s="26"/>
    </row>
    <row r="1040">
      <c r="A1040" s="31"/>
      <c r="B1040" s="32"/>
      <c r="C1040" s="33"/>
      <c r="D1040" s="33"/>
      <c r="E1040" s="27"/>
      <c r="F1040" s="29"/>
      <c r="G1040" s="34"/>
      <c r="H1040" s="34"/>
      <c r="I1040" s="34"/>
      <c r="J1040" s="21"/>
      <c r="K1040" s="22"/>
      <c r="L1040" s="23"/>
      <c r="M1040" s="24"/>
      <c r="N1040" s="25"/>
      <c r="O1040" s="26"/>
      <c r="P1040" s="26"/>
      <c r="Q1040" s="25"/>
      <c r="R1040" s="25"/>
      <c r="S1040" s="26"/>
      <c r="T1040" s="26"/>
      <c r="U1040" s="26"/>
      <c r="V1040" s="26"/>
      <c r="W1040" s="26"/>
      <c r="X1040" s="26"/>
      <c r="Y1040" s="26"/>
      <c r="Z1040" s="26"/>
      <c r="AA1040" s="26"/>
      <c r="AB1040" s="26"/>
      <c r="AC1040" s="26"/>
      <c r="AD1040" s="26"/>
      <c r="AE1040" s="26"/>
      <c r="AF1040" s="26"/>
      <c r="AG1040" s="26"/>
      <c r="AH1040" s="26"/>
      <c r="AI1040" s="26"/>
      <c r="AJ1040" s="26"/>
      <c r="AK1040" s="26"/>
      <c r="AL1040" s="26"/>
      <c r="AM1040" s="26"/>
      <c r="AN1040" s="26"/>
    </row>
    <row r="1041">
      <c r="A1041" s="31"/>
      <c r="B1041" s="32"/>
      <c r="C1041" s="33"/>
      <c r="D1041" s="33"/>
      <c r="E1041" s="27"/>
      <c r="F1041" s="29"/>
      <c r="G1041" s="34"/>
      <c r="H1041" s="34"/>
      <c r="I1041" s="34"/>
      <c r="J1041" s="21"/>
      <c r="K1041" s="22"/>
      <c r="L1041" s="23"/>
      <c r="M1041" s="24"/>
      <c r="N1041" s="25"/>
      <c r="O1041" s="26"/>
      <c r="P1041" s="26"/>
      <c r="Q1041" s="25"/>
      <c r="R1041" s="25"/>
      <c r="S1041" s="26"/>
      <c r="T1041" s="26"/>
      <c r="U1041" s="26"/>
      <c r="V1041" s="26"/>
      <c r="W1041" s="26"/>
      <c r="X1041" s="26"/>
      <c r="Y1041" s="26"/>
      <c r="Z1041" s="26"/>
      <c r="AA1041" s="26"/>
      <c r="AB1041" s="26"/>
      <c r="AC1041" s="26"/>
      <c r="AD1041" s="26"/>
      <c r="AE1041" s="26"/>
      <c r="AF1041" s="26"/>
      <c r="AG1041" s="26"/>
      <c r="AH1041" s="26"/>
      <c r="AI1041" s="26"/>
      <c r="AJ1041" s="26"/>
      <c r="AK1041" s="26"/>
      <c r="AL1041" s="26"/>
      <c r="AM1041" s="26"/>
      <c r="AN1041" s="26"/>
    </row>
    <row r="1042">
      <c r="A1042" s="31"/>
      <c r="B1042" s="32"/>
      <c r="C1042" s="33"/>
      <c r="D1042" s="33"/>
      <c r="E1042" s="27"/>
      <c r="F1042" s="29"/>
      <c r="G1042" s="34"/>
      <c r="H1042" s="34"/>
      <c r="I1042" s="34"/>
      <c r="J1042" s="21"/>
      <c r="K1042" s="22"/>
      <c r="L1042" s="23"/>
      <c r="M1042" s="24"/>
      <c r="N1042" s="25"/>
      <c r="O1042" s="26"/>
      <c r="P1042" s="26"/>
      <c r="Q1042" s="25"/>
      <c r="R1042" s="25"/>
      <c r="S1042" s="26"/>
      <c r="T1042" s="26"/>
      <c r="U1042" s="26"/>
      <c r="V1042" s="26"/>
      <c r="W1042" s="26"/>
      <c r="X1042" s="26"/>
      <c r="Y1042" s="26"/>
      <c r="Z1042" s="26"/>
      <c r="AA1042" s="26"/>
      <c r="AB1042" s="26"/>
      <c r="AC1042" s="26"/>
      <c r="AD1042" s="26"/>
      <c r="AE1042" s="26"/>
      <c r="AF1042" s="26"/>
      <c r="AG1042" s="26"/>
      <c r="AH1042" s="26"/>
      <c r="AI1042" s="26"/>
      <c r="AJ1042" s="26"/>
      <c r="AK1042" s="26"/>
      <c r="AL1042" s="26"/>
      <c r="AM1042" s="26"/>
      <c r="AN1042" s="26"/>
    </row>
    <row r="1043">
      <c r="A1043" s="31"/>
      <c r="B1043" s="32"/>
      <c r="C1043" s="33"/>
      <c r="D1043" s="33"/>
      <c r="E1043" s="27"/>
      <c r="F1043" s="29"/>
      <c r="G1043" s="34"/>
      <c r="H1043" s="34"/>
      <c r="I1043" s="34"/>
      <c r="J1043" s="21"/>
      <c r="K1043" s="22"/>
      <c r="L1043" s="23"/>
      <c r="M1043" s="24"/>
      <c r="N1043" s="25"/>
      <c r="O1043" s="26"/>
      <c r="P1043" s="26"/>
      <c r="Q1043" s="25"/>
      <c r="R1043" s="25"/>
      <c r="S1043" s="26"/>
      <c r="T1043" s="26"/>
      <c r="U1043" s="26"/>
      <c r="V1043" s="26"/>
      <c r="W1043" s="26"/>
      <c r="X1043" s="26"/>
      <c r="Y1043" s="26"/>
      <c r="Z1043" s="26"/>
      <c r="AA1043" s="26"/>
      <c r="AB1043" s="26"/>
      <c r="AC1043" s="26"/>
      <c r="AD1043" s="26"/>
      <c r="AE1043" s="26"/>
      <c r="AF1043" s="26"/>
      <c r="AG1043" s="26"/>
      <c r="AH1043" s="26"/>
      <c r="AI1043" s="26"/>
      <c r="AJ1043" s="26"/>
      <c r="AK1043" s="26"/>
      <c r="AL1043" s="26"/>
      <c r="AM1043" s="26"/>
      <c r="AN1043" s="26"/>
    </row>
    <row r="1044">
      <c r="A1044" s="31"/>
      <c r="B1044" s="32"/>
      <c r="C1044" s="33"/>
      <c r="D1044" s="33"/>
      <c r="E1044" s="27"/>
      <c r="F1044" s="29"/>
      <c r="G1044" s="34"/>
      <c r="H1044" s="34"/>
      <c r="I1044" s="34"/>
      <c r="J1044" s="21"/>
      <c r="K1044" s="22"/>
      <c r="L1044" s="23"/>
      <c r="M1044" s="24"/>
      <c r="N1044" s="25"/>
      <c r="O1044" s="26"/>
      <c r="P1044" s="26"/>
      <c r="Q1044" s="25"/>
      <c r="R1044" s="25"/>
      <c r="S1044" s="26"/>
      <c r="T1044" s="26"/>
      <c r="U1044" s="26"/>
      <c r="V1044" s="26"/>
      <c r="W1044" s="26"/>
      <c r="X1044" s="26"/>
      <c r="Y1044" s="26"/>
      <c r="Z1044" s="26"/>
      <c r="AA1044" s="26"/>
      <c r="AB1044" s="26"/>
      <c r="AC1044" s="26"/>
      <c r="AD1044" s="26"/>
      <c r="AE1044" s="26"/>
      <c r="AF1044" s="26"/>
      <c r="AG1044" s="26"/>
      <c r="AH1044" s="26"/>
      <c r="AI1044" s="26"/>
      <c r="AJ1044" s="26"/>
      <c r="AK1044" s="26"/>
      <c r="AL1044" s="26"/>
      <c r="AM1044" s="26"/>
      <c r="AN1044" s="26"/>
    </row>
    <row r="1045">
      <c r="A1045" s="31"/>
      <c r="B1045" s="32"/>
      <c r="C1045" s="33"/>
      <c r="D1045" s="33"/>
      <c r="E1045" s="27"/>
      <c r="F1045" s="29"/>
      <c r="G1045" s="34"/>
      <c r="H1045" s="34"/>
      <c r="I1045" s="34"/>
      <c r="J1045" s="21"/>
      <c r="K1045" s="22"/>
      <c r="L1045" s="23"/>
      <c r="M1045" s="24"/>
      <c r="N1045" s="25"/>
      <c r="O1045" s="26"/>
      <c r="P1045" s="26"/>
      <c r="Q1045" s="25"/>
      <c r="R1045" s="25"/>
      <c r="S1045" s="26"/>
      <c r="T1045" s="26"/>
      <c r="U1045" s="26"/>
      <c r="V1045" s="26"/>
      <c r="W1045" s="26"/>
      <c r="X1045" s="26"/>
      <c r="Y1045" s="26"/>
      <c r="Z1045" s="26"/>
      <c r="AA1045" s="26"/>
      <c r="AB1045" s="26"/>
      <c r="AC1045" s="26"/>
      <c r="AD1045" s="26"/>
      <c r="AE1045" s="26"/>
      <c r="AF1045" s="26"/>
      <c r="AG1045" s="26"/>
      <c r="AH1045" s="26"/>
      <c r="AI1045" s="26"/>
      <c r="AJ1045" s="26"/>
      <c r="AK1045" s="26"/>
      <c r="AL1045" s="26"/>
      <c r="AM1045" s="26"/>
      <c r="AN1045" s="26"/>
    </row>
    <row r="1046">
      <c r="A1046" s="31"/>
      <c r="B1046" s="32"/>
      <c r="C1046" s="33"/>
      <c r="D1046" s="33"/>
      <c r="E1046" s="27"/>
      <c r="F1046" s="29"/>
      <c r="G1046" s="34"/>
      <c r="H1046" s="34"/>
      <c r="I1046" s="34"/>
      <c r="J1046" s="21"/>
      <c r="K1046" s="22"/>
      <c r="L1046" s="23"/>
      <c r="M1046" s="24"/>
      <c r="N1046" s="25"/>
      <c r="O1046" s="26"/>
      <c r="P1046" s="26"/>
      <c r="Q1046" s="25"/>
      <c r="R1046" s="25"/>
      <c r="S1046" s="26"/>
      <c r="T1046" s="26"/>
      <c r="U1046" s="26"/>
      <c r="V1046" s="26"/>
      <c r="W1046" s="26"/>
      <c r="X1046" s="26"/>
      <c r="Y1046" s="26"/>
      <c r="Z1046" s="26"/>
      <c r="AA1046" s="26"/>
      <c r="AB1046" s="26"/>
      <c r="AC1046" s="26"/>
      <c r="AD1046" s="26"/>
      <c r="AE1046" s="26"/>
      <c r="AF1046" s="26"/>
      <c r="AG1046" s="26"/>
      <c r="AH1046" s="26"/>
      <c r="AI1046" s="26"/>
      <c r="AJ1046" s="26"/>
      <c r="AK1046" s="26"/>
      <c r="AL1046" s="26"/>
      <c r="AM1046" s="26"/>
      <c r="AN1046" s="26"/>
    </row>
    <row r="1047">
      <c r="A1047" s="31"/>
      <c r="B1047" s="32"/>
      <c r="C1047" s="33"/>
      <c r="D1047" s="33"/>
      <c r="E1047" s="27"/>
      <c r="F1047" s="29"/>
      <c r="G1047" s="34"/>
      <c r="H1047" s="34"/>
      <c r="I1047" s="34"/>
      <c r="J1047" s="21"/>
      <c r="K1047" s="22"/>
      <c r="L1047" s="23"/>
      <c r="M1047" s="24"/>
      <c r="N1047" s="25"/>
      <c r="O1047" s="26"/>
      <c r="P1047" s="26"/>
      <c r="Q1047" s="25"/>
      <c r="R1047" s="25"/>
      <c r="S1047" s="26"/>
      <c r="T1047" s="26"/>
      <c r="U1047" s="26"/>
      <c r="V1047" s="26"/>
      <c r="W1047" s="26"/>
      <c r="X1047" s="26"/>
      <c r="Y1047" s="26"/>
      <c r="Z1047" s="26"/>
      <c r="AA1047" s="26"/>
      <c r="AB1047" s="26"/>
      <c r="AC1047" s="26"/>
      <c r="AD1047" s="26"/>
      <c r="AE1047" s="26"/>
      <c r="AF1047" s="26"/>
      <c r="AG1047" s="26"/>
      <c r="AH1047" s="26"/>
      <c r="AI1047" s="26"/>
      <c r="AJ1047" s="26"/>
      <c r="AK1047" s="26"/>
      <c r="AL1047" s="26"/>
      <c r="AM1047" s="26"/>
      <c r="AN1047" s="26"/>
    </row>
    <row r="1048">
      <c r="A1048" s="31"/>
      <c r="B1048" s="32"/>
      <c r="C1048" s="33"/>
      <c r="D1048" s="33"/>
      <c r="E1048" s="27"/>
      <c r="F1048" s="29"/>
      <c r="G1048" s="34"/>
      <c r="H1048" s="34"/>
      <c r="I1048" s="34"/>
      <c r="J1048" s="21"/>
      <c r="K1048" s="22"/>
      <c r="L1048" s="23"/>
      <c r="M1048" s="24"/>
      <c r="N1048" s="25"/>
      <c r="O1048" s="26"/>
      <c r="P1048" s="26"/>
      <c r="Q1048" s="25"/>
      <c r="R1048" s="25"/>
      <c r="S1048" s="26"/>
      <c r="T1048" s="26"/>
      <c r="U1048" s="26"/>
      <c r="V1048" s="26"/>
      <c r="W1048" s="26"/>
      <c r="X1048" s="26"/>
      <c r="Y1048" s="26"/>
      <c r="Z1048" s="26"/>
      <c r="AA1048" s="26"/>
      <c r="AB1048" s="26"/>
      <c r="AC1048" s="26"/>
      <c r="AD1048" s="26"/>
      <c r="AE1048" s="26"/>
      <c r="AF1048" s="26"/>
      <c r="AG1048" s="26"/>
      <c r="AH1048" s="26"/>
      <c r="AI1048" s="26"/>
      <c r="AJ1048" s="26"/>
      <c r="AK1048" s="26"/>
      <c r="AL1048" s="26"/>
      <c r="AM1048" s="26"/>
      <c r="AN1048" s="26"/>
    </row>
    <row r="1049">
      <c r="A1049" s="31"/>
      <c r="B1049" s="32"/>
      <c r="C1049" s="33"/>
      <c r="D1049" s="33"/>
      <c r="E1049" s="27"/>
      <c r="F1049" s="29"/>
      <c r="G1049" s="34"/>
      <c r="H1049" s="34"/>
      <c r="I1049" s="34"/>
      <c r="J1049" s="21"/>
      <c r="K1049" s="22"/>
      <c r="L1049" s="23"/>
      <c r="M1049" s="24"/>
      <c r="N1049" s="25"/>
      <c r="O1049" s="26"/>
      <c r="P1049" s="26"/>
      <c r="Q1049" s="25"/>
      <c r="R1049" s="25"/>
      <c r="S1049" s="26"/>
      <c r="T1049" s="26"/>
      <c r="U1049" s="26"/>
      <c r="V1049" s="26"/>
      <c r="W1049" s="26"/>
      <c r="X1049" s="26"/>
      <c r="Y1049" s="26"/>
      <c r="Z1049" s="26"/>
      <c r="AA1049" s="26"/>
      <c r="AB1049" s="26"/>
      <c r="AC1049" s="26"/>
      <c r="AD1049" s="26"/>
      <c r="AE1049" s="26"/>
      <c r="AF1049" s="26"/>
      <c r="AG1049" s="26"/>
      <c r="AH1049" s="26"/>
      <c r="AI1049" s="26"/>
      <c r="AJ1049" s="26"/>
      <c r="AK1049" s="26"/>
      <c r="AL1049" s="26"/>
      <c r="AM1049" s="26"/>
      <c r="AN1049" s="26"/>
    </row>
    <row r="1050">
      <c r="A1050" s="31"/>
      <c r="B1050" s="32"/>
      <c r="C1050" s="33"/>
      <c r="D1050" s="33"/>
      <c r="E1050" s="27"/>
      <c r="F1050" s="29"/>
      <c r="G1050" s="34"/>
      <c r="H1050" s="34"/>
      <c r="I1050" s="34"/>
      <c r="J1050" s="21"/>
      <c r="K1050" s="22"/>
      <c r="L1050" s="23"/>
      <c r="M1050" s="24"/>
      <c r="N1050" s="25"/>
      <c r="O1050" s="26"/>
      <c r="P1050" s="26"/>
      <c r="Q1050" s="25"/>
      <c r="R1050" s="25"/>
      <c r="S1050" s="26"/>
      <c r="T1050" s="26"/>
      <c r="U1050" s="26"/>
      <c r="V1050" s="26"/>
      <c r="W1050" s="26"/>
      <c r="X1050" s="26"/>
      <c r="Y1050" s="26"/>
      <c r="Z1050" s="26"/>
      <c r="AA1050" s="26"/>
      <c r="AB1050" s="26"/>
      <c r="AC1050" s="26"/>
      <c r="AD1050" s="26"/>
      <c r="AE1050" s="26"/>
      <c r="AF1050" s="26"/>
      <c r="AG1050" s="26"/>
      <c r="AH1050" s="26"/>
      <c r="AI1050" s="26"/>
      <c r="AJ1050" s="26"/>
      <c r="AK1050" s="26"/>
      <c r="AL1050" s="26"/>
      <c r="AM1050" s="26"/>
      <c r="AN1050" s="26"/>
    </row>
    <row r="1051">
      <c r="A1051" s="31"/>
      <c r="B1051" s="32"/>
      <c r="C1051" s="33"/>
      <c r="D1051" s="33"/>
      <c r="E1051" s="27"/>
      <c r="F1051" s="29"/>
      <c r="G1051" s="34"/>
      <c r="H1051" s="34"/>
      <c r="I1051" s="34"/>
      <c r="J1051" s="21"/>
      <c r="K1051" s="22"/>
      <c r="L1051" s="23"/>
      <c r="M1051" s="24"/>
      <c r="N1051" s="25"/>
      <c r="O1051" s="26"/>
      <c r="P1051" s="26"/>
      <c r="Q1051" s="25"/>
      <c r="R1051" s="25"/>
      <c r="S1051" s="26"/>
      <c r="T1051" s="26"/>
      <c r="U1051" s="26"/>
      <c r="V1051" s="26"/>
      <c r="W1051" s="26"/>
      <c r="X1051" s="26"/>
      <c r="Y1051" s="26"/>
      <c r="Z1051" s="26"/>
      <c r="AA1051" s="26"/>
      <c r="AB1051" s="26"/>
      <c r="AC1051" s="26"/>
      <c r="AD1051" s="26"/>
      <c r="AE1051" s="26"/>
      <c r="AF1051" s="26"/>
      <c r="AG1051" s="26"/>
      <c r="AH1051" s="26"/>
      <c r="AI1051" s="26"/>
      <c r="AJ1051" s="26"/>
      <c r="AK1051" s="26"/>
      <c r="AL1051" s="26"/>
      <c r="AM1051" s="26"/>
      <c r="AN1051" s="26"/>
    </row>
    <row r="1052">
      <c r="A1052" s="31"/>
      <c r="B1052" s="32"/>
      <c r="C1052" s="33"/>
      <c r="D1052" s="33"/>
      <c r="E1052" s="27"/>
      <c r="F1052" s="29"/>
      <c r="G1052" s="34"/>
      <c r="H1052" s="34"/>
      <c r="I1052" s="34"/>
      <c r="J1052" s="21"/>
      <c r="K1052" s="22"/>
      <c r="L1052" s="23"/>
      <c r="M1052" s="24"/>
      <c r="N1052" s="25"/>
      <c r="O1052" s="26"/>
      <c r="P1052" s="26"/>
      <c r="Q1052" s="25"/>
      <c r="R1052" s="25"/>
      <c r="S1052" s="26"/>
      <c r="T1052" s="26"/>
      <c r="U1052" s="26"/>
      <c r="V1052" s="26"/>
      <c r="W1052" s="26"/>
      <c r="X1052" s="26"/>
      <c r="Y1052" s="26"/>
      <c r="Z1052" s="26"/>
      <c r="AA1052" s="26"/>
      <c r="AB1052" s="26"/>
      <c r="AC1052" s="26"/>
      <c r="AD1052" s="26"/>
      <c r="AE1052" s="26"/>
      <c r="AF1052" s="26"/>
      <c r="AG1052" s="26"/>
      <c r="AH1052" s="26"/>
      <c r="AI1052" s="26"/>
      <c r="AJ1052" s="26"/>
      <c r="AK1052" s="26"/>
      <c r="AL1052" s="26"/>
      <c r="AM1052" s="26"/>
      <c r="AN1052" s="26"/>
    </row>
    <row r="1053">
      <c r="A1053" s="31"/>
      <c r="B1053" s="32"/>
      <c r="C1053" s="33"/>
      <c r="D1053" s="33"/>
      <c r="E1053" s="27"/>
      <c r="F1053" s="29"/>
      <c r="G1053" s="34"/>
      <c r="H1053" s="34"/>
      <c r="I1053" s="34"/>
      <c r="J1053" s="21"/>
      <c r="K1053" s="22"/>
      <c r="L1053" s="23"/>
      <c r="M1053" s="24"/>
      <c r="N1053" s="25"/>
      <c r="O1053" s="26"/>
      <c r="P1053" s="26"/>
      <c r="Q1053" s="25"/>
      <c r="R1053" s="25"/>
      <c r="S1053" s="26"/>
      <c r="T1053" s="26"/>
      <c r="U1053" s="26"/>
      <c r="V1053" s="26"/>
      <c r="W1053" s="26"/>
      <c r="X1053" s="26"/>
      <c r="Y1053" s="26"/>
      <c r="Z1053" s="26"/>
      <c r="AA1053" s="26"/>
      <c r="AB1053" s="26"/>
      <c r="AC1053" s="26"/>
      <c r="AD1053" s="26"/>
      <c r="AE1053" s="26"/>
      <c r="AF1053" s="26"/>
      <c r="AG1053" s="26"/>
      <c r="AH1053" s="26"/>
      <c r="AI1053" s="26"/>
      <c r="AJ1053" s="26"/>
      <c r="AK1053" s="26"/>
      <c r="AL1053" s="26"/>
      <c r="AM1053" s="26"/>
      <c r="AN1053" s="26"/>
    </row>
    <row r="1054">
      <c r="A1054" s="31"/>
      <c r="B1054" s="32"/>
      <c r="C1054" s="33"/>
      <c r="D1054" s="33"/>
      <c r="E1054" s="27"/>
      <c r="F1054" s="29"/>
      <c r="G1054" s="34"/>
      <c r="H1054" s="34"/>
      <c r="I1054" s="34"/>
      <c r="J1054" s="21"/>
      <c r="K1054" s="22"/>
      <c r="L1054" s="23"/>
      <c r="M1054" s="24"/>
      <c r="N1054" s="25"/>
      <c r="O1054" s="26"/>
      <c r="P1054" s="26"/>
      <c r="Q1054" s="25"/>
      <c r="R1054" s="25"/>
      <c r="S1054" s="26"/>
      <c r="T1054" s="26"/>
      <c r="U1054" s="26"/>
      <c r="V1054" s="26"/>
      <c r="W1054" s="26"/>
      <c r="X1054" s="26"/>
      <c r="Y1054" s="26"/>
      <c r="Z1054" s="26"/>
      <c r="AA1054" s="26"/>
      <c r="AB1054" s="26"/>
      <c r="AC1054" s="26"/>
      <c r="AD1054" s="26"/>
      <c r="AE1054" s="26"/>
      <c r="AF1054" s="26"/>
      <c r="AG1054" s="26"/>
      <c r="AH1054" s="26"/>
      <c r="AI1054" s="26"/>
      <c r="AJ1054" s="26"/>
      <c r="AK1054" s="26"/>
      <c r="AL1054" s="26"/>
      <c r="AM1054" s="26"/>
      <c r="AN1054" s="26"/>
    </row>
    <row r="1055">
      <c r="A1055" s="31"/>
      <c r="B1055" s="32"/>
      <c r="C1055" s="33"/>
      <c r="D1055" s="33"/>
      <c r="E1055" s="27"/>
      <c r="F1055" s="29"/>
      <c r="G1055" s="34"/>
      <c r="H1055" s="34"/>
      <c r="I1055" s="34"/>
      <c r="J1055" s="21"/>
      <c r="K1055" s="22"/>
      <c r="L1055" s="23"/>
      <c r="M1055" s="24"/>
      <c r="N1055" s="25"/>
      <c r="O1055" s="26"/>
      <c r="P1055" s="26"/>
      <c r="Q1055" s="25"/>
      <c r="R1055" s="25"/>
      <c r="S1055" s="26"/>
      <c r="T1055" s="26"/>
      <c r="U1055" s="26"/>
      <c r="V1055" s="26"/>
      <c r="W1055" s="26"/>
      <c r="X1055" s="26"/>
      <c r="Y1055" s="26"/>
      <c r="Z1055" s="26"/>
      <c r="AA1055" s="26"/>
      <c r="AB1055" s="26"/>
      <c r="AC1055" s="26"/>
      <c r="AD1055" s="26"/>
      <c r="AE1055" s="26"/>
      <c r="AF1055" s="26"/>
      <c r="AG1055" s="26"/>
      <c r="AH1055" s="26"/>
      <c r="AI1055" s="26"/>
      <c r="AJ1055" s="26"/>
      <c r="AK1055" s="26"/>
      <c r="AL1055" s="26"/>
      <c r="AM1055" s="26"/>
      <c r="AN1055" s="26"/>
    </row>
    <row r="1056">
      <c r="A1056" s="31"/>
      <c r="B1056" s="32"/>
      <c r="C1056" s="33"/>
      <c r="D1056" s="33"/>
      <c r="E1056" s="27"/>
      <c r="F1056" s="29"/>
      <c r="G1056" s="34"/>
      <c r="H1056" s="34"/>
      <c r="I1056" s="34"/>
      <c r="J1056" s="21"/>
      <c r="K1056" s="22"/>
      <c r="L1056" s="23"/>
      <c r="M1056" s="24"/>
      <c r="N1056" s="25"/>
      <c r="O1056" s="26"/>
      <c r="P1056" s="26"/>
      <c r="Q1056" s="25"/>
      <c r="R1056" s="25"/>
      <c r="S1056" s="26"/>
      <c r="T1056" s="26"/>
      <c r="U1056" s="26"/>
      <c r="V1056" s="26"/>
      <c r="W1056" s="26"/>
      <c r="X1056" s="26"/>
      <c r="Y1056" s="26"/>
      <c r="Z1056" s="26"/>
      <c r="AA1056" s="26"/>
      <c r="AB1056" s="26"/>
      <c r="AC1056" s="26"/>
      <c r="AD1056" s="26"/>
      <c r="AE1056" s="26"/>
      <c r="AF1056" s="26"/>
      <c r="AG1056" s="26"/>
      <c r="AH1056" s="26"/>
      <c r="AI1056" s="26"/>
      <c r="AJ1056" s="26"/>
      <c r="AK1056" s="26"/>
      <c r="AL1056" s="26"/>
      <c r="AM1056" s="26"/>
      <c r="AN1056" s="26"/>
    </row>
    <row r="1057">
      <c r="A1057" s="31"/>
      <c r="B1057" s="32"/>
      <c r="C1057" s="33"/>
      <c r="D1057" s="33"/>
      <c r="E1057" s="27"/>
      <c r="F1057" s="29"/>
      <c r="G1057" s="34"/>
      <c r="H1057" s="34"/>
      <c r="I1057" s="34"/>
      <c r="J1057" s="21"/>
      <c r="K1057" s="22"/>
      <c r="L1057" s="23"/>
      <c r="M1057" s="24"/>
      <c r="N1057" s="25"/>
      <c r="O1057" s="26"/>
      <c r="P1057" s="26"/>
      <c r="Q1057" s="25"/>
      <c r="R1057" s="25"/>
      <c r="S1057" s="26"/>
      <c r="T1057" s="26"/>
      <c r="U1057" s="26"/>
      <c r="V1057" s="26"/>
      <c r="W1057" s="26"/>
      <c r="X1057" s="26"/>
      <c r="Y1057" s="26"/>
      <c r="Z1057" s="26"/>
      <c r="AA1057" s="26"/>
      <c r="AB1057" s="26"/>
      <c r="AC1057" s="26"/>
      <c r="AD1057" s="26"/>
      <c r="AE1057" s="26"/>
      <c r="AF1057" s="26"/>
      <c r="AG1057" s="26"/>
      <c r="AH1057" s="26"/>
      <c r="AI1057" s="26"/>
      <c r="AJ1057" s="26"/>
      <c r="AK1057" s="26"/>
      <c r="AL1057" s="26"/>
      <c r="AM1057" s="26"/>
      <c r="AN1057" s="26"/>
    </row>
    <row r="1058">
      <c r="A1058" s="31"/>
      <c r="B1058" s="32"/>
      <c r="C1058" s="33"/>
      <c r="D1058" s="33"/>
      <c r="E1058" s="27"/>
      <c r="F1058" s="29"/>
      <c r="G1058" s="34"/>
      <c r="H1058" s="34"/>
      <c r="I1058" s="34"/>
      <c r="J1058" s="21"/>
      <c r="K1058" s="22"/>
      <c r="L1058" s="23"/>
      <c r="M1058" s="24"/>
      <c r="N1058" s="25"/>
      <c r="O1058" s="26"/>
      <c r="P1058" s="26"/>
      <c r="Q1058" s="25"/>
      <c r="R1058" s="25"/>
      <c r="S1058" s="26"/>
      <c r="T1058" s="26"/>
      <c r="U1058" s="26"/>
      <c r="V1058" s="26"/>
      <c r="W1058" s="26"/>
      <c r="X1058" s="26"/>
      <c r="Y1058" s="26"/>
      <c r="Z1058" s="26"/>
      <c r="AA1058" s="26"/>
      <c r="AB1058" s="26"/>
      <c r="AC1058" s="26"/>
      <c r="AD1058" s="26"/>
      <c r="AE1058" s="26"/>
      <c r="AF1058" s="26"/>
      <c r="AG1058" s="26"/>
      <c r="AH1058" s="26"/>
      <c r="AI1058" s="26"/>
      <c r="AJ1058" s="26"/>
      <c r="AK1058" s="26"/>
      <c r="AL1058" s="26"/>
      <c r="AM1058" s="26"/>
      <c r="AN1058" s="26"/>
    </row>
    <row r="1059">
      <c r="A1059" s="31"/>
      <c r="B1059" s="32"/>
      <c r="C1059" s="33"/>
      <c r="D1059" s="33"/>
      <c r="E1059" s="27"/>
      <c r="F1059" s="29"/>
      <c r="G1059" s="34"/>
      <c r="H1059" s="34"/>
      <c r="I1059" s="34"/>
      <c r="J1059" s="21"/>
      <c r="K1059" s="22"/>
      <c r="L1059" s="23"/>
      <c r="M1059" s="24"/>
      <c r="N1059" s="25"/>
      <c r="O1059" s="26"/>
      <c r="P1059" s="26"/>
      <c r="Q1059" s="25"/>
      <c r="R1059" s="25"/>
      <c r="S1059" s="26"/>
      <c r="T1059" s="26"/>
      <c r="U1059" s="26"/>
      <c r="V1059" s="26"/>
      <c r="W1059" s="26"/>
      <c r="X1059" s="26"/>
      <c r="Y1059" s="26"/>
      <c r="Z1059" s="26"/>
      <c r="AA1059" s="26"/>
      <c r="AB1059" s="26"/>
      <c r="AC1059" s="26"/>
      <c r="AD1059" s="26"/>
      <c r="AE1059" s="26"/>
      <c r="AF1059" s="26"/>
      <c r="AG1059" s="26"/>
      <c r="AH1059" s="26"/>
      <c r="AI1059" s="26"/>
      <c r="AJ1059" s="26"/>
      <c r="AK1059" s="26"/>
      <c r="AL1059" s="26"/>
      <c r="AM1059" s="26"/>
      <c r="AN1059" s="26"/>
    </row>
    <row r="1060">
      <c r="A1060" s="31"/>
      <c r="B1060" s="32"/>
      <c r="C1060" s="33"/>
      <c r="D1060" s="33"/>
      <c r="E1060" s="27"/>
      <c r="F1060" s="29"/>
      <c r="G1060" s="34"/>
      <c r="H1060" s="34"/>
      <c r="I1060" s="34"/>
      <c r="J1060" s="21"/>
      <c r="K1060" s="22"/>
      <c r="L1060" s="23"/>
      <c r="M1060" s="24"/>
      <c r="N1060" s="25"/>
      <c r="O1060" s="26"/>
      <c r="P1060" s="26"/>
      <c r="Q1060" s="25"/>
      <c r="R1060" s="25"/>
      <c r="S1060" s="26"/>
      <c r="T1060" s="26"/>
      <c r="U1060" s="26"/>
      <c r="V1060" s="26"/>
      <c r="W1060" s="26"/>
      <c r="X1060" s="26"/>
      <c r="Y1060" s="26"/>
      <c r="Z1060" s="26"/>
      <c r="AA1060" s="26"/>
      <c r="AB1060" s="26"/>
      <c r="AC1060" s="26"/>
      <c r="AD1060" s="26"/>
      <c r="AE1060" s="26"/>
      <c r="AF1060" s="26"/>
      <c r="AG1060" s="26"/>
      <c r="AH1060" s="26"/>
      <c r="AI1060" s="26"/>
      <c r="AJ1060" s="26"/>
      <c r="AK1060" s="26"/>
      <c r="AL1060" s="26"/>
      <c r="AM1060" s="26"/>
      <c r="AN1060" s="26"/>
    </row>
    <row r="1061">
      <c r="A1061" s="31"/>
      <c r="B1061" s="32"/>
      <c r="C1061" s="33"/>
      <c r="D1061" s="33"/>
      <c r="E1061" s="27"/>
      <c r="F1061" s="29"/>
      <c r="G1061" s="34"/>
      <c r="H1061" s="34"/>
      <c r="I1061" s="34"/>
      <c r="J1061" s="21"/>
      <c r="K1061" s="22"/>
      <c r="L1061" s="23"/>
      <c r="M1061" s="24"/>
      <c r="N1061" s="25"/>
      <c r="O1061" s="26"/>
      <c r="P1061" s="26"/>
      <c r="Q1061" s="25"/>
      <c r="R1061" s="25"/>
      <c r="S1061" s="26"/>
      <c r="T1061" s="26"/>
      <c r="U1061" s="26"/>
      <c r="V1061" s="26"/>
      <c r="W1061" s="26"/>
      <c r="X1061" s="26"/>
      <c r="Y1061" s="26"/>
      <c r="Z1061" s="26"/>
      <c r="AA1061" s="26"/>
      <c r="AB1061" s="26"/>
      <c r="AC1061" s="26"/>
      <c r="AD1061" s="26"/>
      <c r="AE1061" s="26"/>
      <c r="AF1061" s="26"/>
      <c r="AG1061" s="26"/>
      <c r="AH1061" s="26"/>
      <c r="AI1061" s="26"/>
      <c r="AJ1061" s="26"/>
      <c r="AK1061" s="26"/>
      <c r="AL1061" s="26"/>
      <c r="AM1061" s="26"/>
      <c r="AN1061" s="26"/>
    </row>
    <row r="1062">
      <c r="A1062" s="31"/>
      <c r="B1062" s="32"/>
      <c r="C1062" s="33"/>
      <c r="D1062" s="33"/>
      <c r="E1062" s="27"/>
      <c r="F1062" s="29"/>
      <c r="G1062" s="34"/>
      <c r="H1062" s="34"/>
      <c r="I1062" s="34"/>
      <c r="J1062" s="21"/>
      <c r="K1062" s="22"/>
      <c r="L1062" s="23"/>
      <c r="M1062" s="24"/>
      <c r="N1062" s="25"/>
      <c r="O1062" s="26"/>
      <c r="P1062" s="26"/>
      <c r="Q1062" s="25"/>
      <c r="R1062" s="25"/>
      <c r="S1062" s="26"/>
      <c r="T1062" s="26"/>
      <c r="U1062" s="26"/>
      <c r="V1062" s="26"/>
      <c r="W1062" s="26"/>
      <c r="X1062" s="26"/>
      <c r="Y1062" s="26"/>
      <c r="Z1062" s="26"/>
      <c r="AA1062" s="26"/>
      <c r="AB1062" s="26"/>
      <c r="AC1062" s="26"/>
      <c r="AD1062" s="26"/>
      <c r="AE1062" s="26"/>
      <c r="AF1062" s="26"/>
      <c r="AG1062" s="26"/>
      <c r="AH1062" s="26"/>
      <c r="AI1062" s="26"/>
      <c r="AJ1062" s="26"/>
      <c r="AK1062" s="26"/>
      <c r="AL1062" s="26"/>
      <c r="AM1062" s="26"/>
      <c r="AN1062" s="26"/>
    </row>
    <row r="1063">
      <c r="A1063" s="31"/>
      <c r="B1063" s="32"/>
      <c r="C1063" s="33"/>
      <c r="D1063" s="33"/>
      <c r="E1063" s="27"/>
      <c r="F1063" s="29"/>
      <c r="G1063" s="34"/>
      <c r="H1063" s="34"/>
      <c r="I1063" s="34"/>
      <c r="J1063" s="21"/>
      <c r="K1063" s="22"/>
      <c r="L1063" s="23"/>
      <c r="M1063" s="24"/>
      <c r="N1063" s="25"/>
      <c r="O1063" s="26"/>
      <c r="P1063" s="26"/>
      <c r="Q1063" s="25"/>
      <c r="R1063" s="25"/>
      <c r="S1063" s="26"/>
      <c r="T1063" s="26"/>
      <c r="U1063" s="26"/>
      <c r="V1063" s="26"/>
      <c r="W1063" s="26"/>
      <c r="X1063" s="26"/>
      <c r="Y1063" s="26"/>
      <c r="Z1063" s="26"/>
      <c r="AA1063" s="26"/>
      <c r="AB1063" s="26"/>
      <c r="AC1063" s="26"/>
      <c r="AD1063" s="26"/>
      <c r="AE1063" s="26"/>
      <c r="AF1063" s="26"/>
      <c r="AG1063" s="26"/>
      <c r="AH1063" s="26"/>
      <c r="AI1063" s="26"/>
      <c r="AJ1063" s="26"/>
      <c r="AK1063" s="26"/>
      <c r="AL1063" s="26"/>
      <c r="AM1063" s="26"/>
      <c r="AN1063" s="26"/>
    </row>
    <row r="1064">
      <c r="A1064" s="31"/>
      <c r="B1064" s="32"/>
      <c r="C1064" s="33"/>
      <c r="D1064" s="33"/>
      <c r="E1064" s="27"/>
      <c r="F1064" s="29"/>
      <c r="G1064" s="34"/>
      <c r="H1064" s="34"/>
      <c r="I1064" s="34"/>
      <c r="J1064" s="21"/>
      <c r="K1064" s="22"/>
      <c r="L1064" s="23"/>
      <c r="M1064" s="24"/>
      <c r="N1064" s="25"/>
      <c r="O1064" s="26"/>
      <c r="P1064" s="26"/>
      <c r="Q1064" s="25"/>
      <c r="R1064" s="25"/>
      <c r="S1064" s="26"/>
      <c r="T1064" s="26"/>
      <c r="U1064" s="26"/>
      <c r="V1064" s="26"/>
      <c r="W1064" s="26"/>
      <c r="X1064" s="26"/>
      <c r="Y1064" s="26"/>
      <c r="Z1064" s="26"/>
      <c r="AA1064" s="26"/>
      <c r="AB1064" s="26"/>
      <c r="AC1064" s="26"/>
      <c r="AD1064" s="26"/>
      <c r="AE1064" s="26"/>
      <c r="AF1064" s="26"/>
      <c r="AG1064" s="26"/>
      <c r="AH1064" s="26"/>
      <c r="AI1064" s="26"/>
      <c r="AJ1064" s="26"/>
      <c r="AK1064" s="26"/>
      <c r="AL1064" s="26"/>
      <c r="AM1064" s="26"/>
      <c r="AN1064" s="26"/>
    </row>
    <row r="1065">
      <c r="A1065" s="31"/>
      <c r="B1065" s="32"/>
      <c r="C1065" s="33"/>
      <c r="D1065" s="33"/>
      <c r="E1065" s="27"/>
      <c r="F1065" s="29"/>
      <c r="G1065" s="34"/>
      <c r="H1065" s="34"/>
      <c r="I1065" s="34"/>
      <c r="J1065" s="21"/>
      <c r="K1065" s="22"/>
      <c r="L1065" s="23"/>
      <c r="M1065" s="24"/>
      <c r="N1065" s="25"/>
      <c r="O1065" s="26"/>
      <c r="P1065" s="26"/>
      <c r="Q1065" s="25"/>
      <c r="R1065" s="25"/>
      <c r="S1065" s="26"/>
      <c r="T1065" s="26"/>
      <c r="U1065" s="26"/>
      <c r="V1065" s="26"/>
      <c r="W1065" s="26"/>
      <c r="X1065" s="26"/>
      <c r="Y1065" s="26"/>
      <c r="Z1065" s="26"/>
      <c r="AA1065" s="26"/>
      <c r="AB1065" s="26"/>
      <c r="AC1065" s="26"/>
      <c r="AD1065" s="26"/>
      <c r="AE1065" s="26"/>
      <c r="AF1065" s="26"/>
      <c r="AG1065" s="26"/>
      <c r="AH1065" s="26"/>
      <c r="AI1065" s="26"/>
      <c r="AJ1065" s="26"/>
      <c r="AK1065" s="26"/>
      <c r="AL1065" s="26"/>
      <c r="AM1065" s="26"/>
      <c r="AN1065" s="26"/>
    </row>
    <row r="1066">
      <c r="A1066" s="31"/>
      <c r="B1066" s="32"/>
      <c r="C1066" s="33"/>
      <c r="D1066" s="33"/>
      <c r="E1066" s="27"/>
      <c r="F1066" s="29"/>
      <c r="G1066" s="34"/>
      <c r="H1066" s="34"/>
      <c r="I1066" s="34"/>
      <c r="J1066" s="21"/>
      <c r="K1066" s="22"/>
      <c r="L1066" s="23"/>
      <c r="M1066" s="24"/>
      <c r="N1066" s="25"/>
      <c r="O1066" s="26"/>
      <c r="P1066" s="26"/>
      <c r="Q1066" s="25"/>
      <c r="R1066" s="25"/>
      <c r="S1066" s="26"/>
      <c r="T1066" s="26"/>
      <c r="U1066" s="26"/>
      <c r="V1066" s="26"/>
      <c r="W1066" s="26"/>
      <c r="X1066" s="26"/>
      <c r="Y1066" s="26"/>
      <c r="Z1066" s="26"/>
      <c r="AA1066" s="26"/>
      <c r="AB1066" s="26"/>
      <c r="AC1066" s="26"/>
      <c r="AD1066" s="26"/>
      <c r="AE1066" s="26"/>
      <c r="AF1066" s="26"/>
      <c r="AG1066" s="26"/>
      <c r="AH1066" s="26"/>
      <c r="AI1066" s="26"/>
      <c r="AJ1066" s="26"/>
      <c r="AK1066" s="26"/>
      <c r="AL1066" s="26"/>
      <c r="AM1066" s="26"/>
      <c r="AN1066" s="26"/>
    </row>
    <row r="1067">
      <c r="A1067" s="31"/>
      <c r="B1067" s="32"/>
      <c r="C1067" s="33"/>
      <c r="D1067" s="33"/>
      <c r="E1067" s="27"/>
      <c r="F1067" s="29"/>
      <c r="G1067" s="34"/>
      <c r="H1067" s="34"/>
      <c r="I1067" s="34"/>
      <c r="J1067" s="21"/>
      <c r="K1067" s="22"/>
      <c r="L1067" s="23"/>
      <c r="M1067" s="24"/>
      <c r="N1067" s="25"/>
      <c r="O1067" s="26"/>
      <c r="P1067" s="26"/>
      <c r="Q1067" s="25"/>
      <c r="R1067" s="25"/>
      <c r="S1067" s="26"/>
      <c r="T1067" s="26"/>
      <c r="U1067" s="26"/>
      <c r="V1067" s="26"/>
      <c r="W1067" s="26"/>
      <c r="X1067" s="26"/>
      <c r="Y1067" s="26"/>
      <c r="Z1067" s="26"/>
      <c r="AA1067" s="26"/>
      <c r="AB1067" s="26"/>
      <c r="AC1067" s="26"/>
      <c r="AD1067" s="26"/>
      <c r="AE1067" s="26"/>
      <c r="AF1067" s="26"/>
      <c r="AG1067" s="26"/>
      <c r="AH1067" s="26"/>
      <c r="AI1067" s="26"/>
      <c r="AJ1067" s="26"/>
      <c r="AK1067" s="26"/>
      <c r="AL1067" s="26"/>
      <c r="AM1067" s="26"/>
      <c r="AN1067" s="26"/>
    </row>
    <row r="1068">
      <c r="A1068" s="31"/>
      <c r="B1068" s="32"/>
      <c r="C1068" s="33"/>
      <c r="D1068" s="33"/>
      <c r="E1068" s="27"/>
      <c r="F1068" s="29"/>
      <c r="G1068" s="34"/>
      <c r="H1068" s="34"/>
      <c r="I1068" s="34"/>
      <c r="J1068" s="21"/>
      <c r="K1068" s="22"/>
      <c r="L1068" s="23"/>
      <c r="M1068" s="24"/>
      <c r="N1068" s="25"/>
      <c r="O1068" s="26"/>
      <c r="P1068" s="26"/>
      <c r="Q1068" s="25"/>
      <c r="R1068" s="25"/>
      <c r="S1068" s="26"/>
      <c r="T1068" s="26"/>
      <c r="U1068" s="26"/>
      <c r="V1068" s="26"/>
      <c r="W1068" s="26"/>
      <c r="X1068" s="26"/>
      <c r="Y1068" s="26"/>
      <c r="Z1068" s="26"/>
      <c r="AA1068" s="26"/>
      <c r="AB1068" s="26"/>
      <c r="AC1068" s="26"/>
      <c r="AD1068" s="26"/>
      <c r="AE1068" s="26"/>
      <c r="AF1068" s="26"/>
      <c r="AG1068" s="26"/>
      <c r="AH1068" s="26"/>
      <c r="AI1068" s="26"/>
      <c r="AJ1068" s="26"/>
      <c r="AK1068" s="26"/>
      <c r="AL1068" s="26"/>
      <c r="AM1068" s="26"/>
      <c r="AN1068" s="26"/>
    </row>
    <row r="1069">
      <c r="A1069" s="31"/>
      <c r="B1069" s="32"/>
      <c r="C1069" s="33"/>
      <c r="D1069" s="33"/>
      <c r="E1069" s="27"/>
      <c r="F1069" s="29"/>
      <c r="G1069" s="34"/>
      <c r="H1069" s="34"/>
      <c r="I1069" s="34"/>
      <c r="J1069" s="21"/>
      <c r="K1069" s="22"/>
      <c r="L1069" s="23"/>
      <c r="M1069" s="24"/>
      <c r="N1069" s="25"/>
      <c r="O1069" s="26"/>
      <c r="P1069" s="26"/>
      <c r="Q1069" s="25"/>
      <c r="R1069" s="25"/>
      <c r="S1069" s="26"/>
      <c r="T1069" s="26"/>
      <c r="U1069" s="26"/>
      <c r="V1069" s="26"/>
      <c r="W1069" s="26"/>
      <c r="X1069" s="26"/>
      <c r="Y1069" s="26"/>
      <c r="Z1069" s="26"/>
      <c r="AA1069" s="26"/>
      <c r="AB1069" s="26"/>
      <c r="AC1069" s="26"/>
      <c r="AD1069" s="26"/>
      <c r="AE1069" s="26"/>
      <c r="AF1069" s="26"/>
      <c r="AG1069" s="26"/>
      <c r="AH1069" s="26"/>
      <c r="AI1069" s="26"/>
      <c r="AJ1069" s="26"/>
      <c r="AK1069" s="26"/>
      <c r="AL1069" s="26"/>
      <c r="AM1069" s="26"/>
      <c r="AN1069" s="26"/>
    </row>
    <row r="1070">
      <c r="A1070" s="31"/>
      <c r="B1070" s="32"/>
      <c r="C1070" s="33"/>
      <c r="D1070" s="33"/>
      <c r="E1070" s="27"/>
      <c r="F1070" s="29"/>
      <c r="G1070" s="34"/>
      <c r="H1070" s="34"/>
      <c r="I1070" s="34"/>
      <c r="J1070" s="21"/>
      <c r="K1070" s="22"/>
      <c r="L1070" s="23"/>
      <c r="M1070" s="24"/>
      <c r="N1070" s="25"/>
      <c r="O1070" s="26"/>
      <c r="P1070" s="26"/>
      <c r="Q1070" s="25"/>
      <c r="R1070" s="25"/>
      <c r="S1070" s="26"/>
      <c r="T1070" s="26"/>
      <c r="U1070" s="26"/>
      <c r="V1070" s="26"/>
      <c r="W1070" s="26"/>
      <c r="X1070" s="26"/>
      <c r="Y1070" s="26"/>
      <c r="Z1070" s="26"/>
      <c r="AA1070" s="26"/>
      <c r="AB1070" s="26"/>
      <c r="AC1070" s="26"/>
      <c r="AD1070" s="26"/>
      <c r="AE1070" s="26"/>
      <c r="AF1070" s="26"/>
      <c r="AG1070" s="26"/>
      <c r="AH1070" s="26"/>
      <c r="AI1070" s="26"/>
      <c r="AJ1070" s="26"/>
      <c r="AK1070" s="26"/>
      <c r="AL1070" s="26"/>
      <c r="AM1070" s="26"/>
      <c r="AN1070" s="26"/>
    </row>
    <row r="1071">
      <c r="A1071" s="31"/>
      <c r="B1071" s="32"/>
      <c r="C1071" s="33"/>
      <c r="D1071" s="33"/>
      <c r="E1071" s="27"/>
      <c r="F1071" s="29"/>
      <c r="G1071" s="34"/>
      <c r="H1071" s="34"/>
      <c r="I1071" s="34"/>
      <c r="J1071" s="21"/>
      <c r="K1071" s="22"/>
      <c r="L1071" s="23"/>
      <c r="M1071" s="24"/>
      <c r="N1071" s="25"/>
      <c r="O1071" s="26"/>
      <c r="P1071" s="26"/>
      <c r="Q1071" s="25"/>
      <c r="R1071" s="25"/>
      <c r="S1071" s="26"/>
      <c r="T1071" s="26"/>
      <c r="U1071" s="26"/>
      <c r="V1071" s="26"/>
      <c r="W1071" s="26"/>
      <c r="X1071" s="26"/>
      <c r="Y1071" s="26"/>
      <c r="Z1071" s="26"/>
      <c r="AA1071" s="26"/>
      <c r="AB1071" s="26"/>
      <c r="AC1071" s="26"/>
      <c r="AD1071" s="26"/>
      <c r="AE1071" s="26"/>
      <c r="AF1071" s="26"/>
      <c r="AG1071" s="26"/>
      <c r="AH1071" s="26"/>
      <c r="AI1071" s="26"/>
      <c r="AJ1071" s="26"/>
      <c r="AK1071" s="26"/>
      <c r="AL1071" s="26"/>
      <c r="AM1071" s="26"/>
      <c r="AN1071" s="26"/>
    </row>
    <row r="1072">
      <c r="A1072" s="31"/>
      <c r="B1072" s="32"/>
      <c r="C1072" s="33"/>
      <c r="D1072" s="33"/>
      <c r="E1072" s="27"/>
      <c r="F1072" s="29"/>
      <c r="G1072" s="34"/>
      <c r="H1072" s="34"/>
      <c r="I1072" s="34"/>
      <c r="J1072" s="21"/>
      <c r="K1072" s="22"/>
      <c r="L1072" s="23"/>
      <c r="M1072" s="24"/>
      <c r="N1072" s="25"/>
      <c r="O1072" s="26"/>
      <c r="P1072" s="26"/>
      <c r="Q1072" s="25"/>
      <c r="R1072" s="25"/>
      <c r="S1072" s="26"/>
      <c r="T1072" s="26"/>
      <c r="U1072" s="26"/>
      <c r="V1072" s="26"/>
      <c r="W1072" s="26"/>
      <c r="X1072" s="26"/>
      <c r="Y1072" s="26"/>
      <c r="Z1072" s="26"/>
      <c r="AA1072" s="26"/>
      <c r="AB1072" s="26"/>
      <c r="AC1072" s="26"/>
      <c r="AD1072" s="26"/>
      <c r="AE1072" s="26"/>
      <c r="AF1072" s="26"/>
      <c r="AG1072" s="26"/>
      <c r="AH1072" s="26"/>
      <c r="AI1072" s="26"/>
      <c r="AJ1072" s="26"/>
      <c r="AK1072" s="26"/>
      <c r="AL1072" s="26"/>
      <c r="AM1072" s="26"/>
      <c r="AN1072" s="26"/>
    </row>
    <row r="1073">
      <c r="A1073" s="31"/>
      <c r="B1073" s="32"/>
      <c r="C1073" s="33"/>
      <c r="D1073" s="33"/>
      <c r="E1073" s="27"/>
      <c r="F1073" s="29"/>
      <c r="G1073" s="34"/>
      <c r="H1073" s="34"/>
      <c r="I1073" s="34"/>
      <c r="J1073" s="21"/>
      <c r="K1073" s="22"/>
      <c r="L1073" s="23"/>
      <c r="M1073" s="24"/>
      <c r="N1073" s="25"/>
      <c r="O1073" s="26"/>
      <c r="P1073" s="26"/>
      <c r="Q1073" s="25"/>
      <c r="R1073" s="25"/>
      <c r="S1073" s="26"/>
      <c r="T1073" s="26"/>
      <c r="U1073" s="26"/>
      <c r="V1073" s="26"/>
      <c r="W1073" s="26"/>
      <c r="X1073" s="26"/>
      <c r="Y1073" s="26"/>
      <c r="Z1073" s="26"/>
      <c r="AA1073" s="26"/>
      <c r="AB1073" s="26"/>
      <c r="AC1073" s="26"/>
      <c r="AD1073" s="26"/>
      <c r="AE1073" s="26"/>
      <c r="AF1073" s="26"/>
      <c r="AG1073" s="26"/>
      <c r="AH1073" s="26"/>
      <c r="AI1073" s="26"/>
      <c r="AJ1073" s="26"/>
      <c r="AK1073" s="26"/>
      <c r="AL1073" s="26"/>
      <c r="AM1073" s="26"/>
      <c r="AN1073" s="26"/>
    </row>
    <row r="1074">
      <c r="A1074" s="31"/>
      <c r="B1074" s="32"/>
      <c r="C1074" s="33"/>
      <c r="D1074" s="33"/>
      <c r="E1074" s="27"/>
      <c r="F1074" s="29"/>
      <c r="G1074" s="34"/>
      <c r="H1074" s="34"/>
      <c r="I1074" s="34"/>
      <c r="J1074" s="21"/>
      <c r="K1074" s="22"/>
      <c r="L1074" s="23"/>
      <c r="M1074" s="24"/>
      <c r="N1074" s="25"/>
      <c r="O1074" s="26"/>
      <c r="P1074" s="26"/>
      <c r="Q1074" s="25"/>
      <c r="R1074" s="25"/>
      <c r="S1074" s="26"/>
      <c r="T1074" s="26"/>
      <c r="U1074" s="26"/>
      <c r="V1074" s="26"/>
      <c r="W1074" s="26"/>
      <c r="X1074" s="26"/>
      <c r="Y1074" s="26"/>
      <c r="Z1074" s="26"/>
      <c r="AA1074" s="26"/>
      <c r="AB1074" s="26"/>
      <c r="AC1074" s="26"/>
      <c r="AD1074" s="26"/>
      <c r="AE1074" s="26"/>
      <c r="AF1074" s="26"/>
      <c r="AG1074" s="26"/>
      <c r="AH1074" s="26"/>
      <c r="AI1074" s="26"/>
      <c r="AJ1074" s="26"/>
      <c r="AK1074" s="26"/>
      <c r="AL1074" s="26"/>
      <c r="AM1074" s="26"/>
      <c r="AN1074" s="26"/>
    </row>
    <row r="1075">
      <c r="A1075" s="31"/>
      <c r="B1075" s="32"/>
      <c r="C1075" s="33"/>
      <c r="D1075" s="33"/>
      <c r="E1075" s="27"/>
      <c r="F1075" s="29"/>
      <c r="G1075" s="34"/>
      <c r="H1075" s="34"/>
      <c r="I1075" s="34"/>
      <c r="J1075" s="21"/>
      <c r="K1075" s="22"/>
      <c r="L1075" s="23"/>
      <c r="M1075" s="24"/>
      <c r="N1075" s="25"/>
      <c r="O1075" s="26"/>
      <c r="P1075" s="26"/>
      <c r="Q1075" s="25"/>
      <c r="R1075" s="25"/>
      <c r="S1075" s="26"/>
      <c r="T1075" s="26"/>
      <c r="U1075" s="26"/>
      <c r="V1075" s="26"/>
      <c r="W1075" s="26"/>
      <c r="X1075" s="26"/>
      <c r="Y1075" s="26"/>
      <c r="Z1075" s="26"/>
      <c r="AA1075" s="26"/>
      <c r="AB1075" s="26"/>
      <c r="AC1075" s="26"/>
      <c r="AD1075" s="26"/>
      <c r="AE1075" s="26"/>
      <c r="AF1075" s="26"/>
      <c r="AG1075" s="26"/>
      <c r="AH1075" s="26"/>
      <c r="AI1075" s="26"/>
      <c r="AJ1075" s="26"/>
      <c r="AK1075" s="26"/>
      <c r="AL1075" s="26"/>
      <c r="AM1075" s="26"/>
      <c r="AN1075" s="26"/>
    </row>
    <row r="1076">
      <c r="A1076" s="31"/>
      <c r="B1076" s="32"/>
      <c r="C1076" s="33"/>
      <c r="D1076" s="33"/>
      <c r="E1076" s="27"/>
      <c r="F1076" s="29"/>
      <c r="G1076" s="34"/>
      <c r="H1076" s="34"/>
      <c r="I1076" s="34"/>
      <c r="J1076" s="21"/>
      <c r="K1076" s="22"/>
      <c r="L1076" s="23"/>
      <c r="M1076" s="24"/>
      <c r="N1076" s="25"/>
      <c r="O1076" s="26"/>
      <c r="P1076" s="26"/>
      <c r="Q1076" s="25"/>
      <c r="R1076" s="25"/>
      <c r="S1076" s="26"/>
      <c r="T1076" s="26"/>
      <c r="U1076" s="26"/>
      <c r="V1076" s="26"/>
      <c r="W1076" s="26"/>
      <c r="X1076" s="26"/>
      <c r="Y1076" s="26"/>
      <c r="Z1076" s="26"/>
      <c r="AA1076" s="26"/>
      <c r="AB1076" s="26"/>
      <c r="AC1076" s="26"/>
      <c r="AD1076" s="26"/>
      <c r="AE1076" s="26"/>
      <c r="AF1076" s="26"/>
      <c r="AG1076" s="26"/>
      <c r="AH1076" s="26"/>
      <c r="AI1076" s="26"/>
      <c r="AJ1076" s="26"/>
      <c r="AK1076" s="26"/>
      <c r="AL1076" s="26"/>
      <c r="AM1076" s="26"/>
      <c r="AN1076" s="26"/>
    </row>
    <row r="1077">
      <c r="A1077" s="31"/>
      <c r="B1077" s="32"/>
      <c r="C1077" s="33"/>
      <c r="D1077" s="33"/>
      <c r="E1077" s="27"/>
      <c r="F1077" s="29"/>
      <c r="G1077" s="34"/>
      <c r="H1077" s="34"/>
      <c r="I1077" s="34"/>
      <c r="J1077" s="21"/>
      <c r="K1077" s="22"/>
      <c r="L1077" s="23"/>
      <c r="M1077" s="24"/>
      <c r="N1077" s="25"/>
      <c r="O1077" s="26"/>
      <c r="P1077" s="26"/>
      <c r="Q1077" s="25"/>
      <c r="R1077" s="25"/>
      <c r="S1077" s="26"/>
      <c r="T1077" s="26"/>
      <c r="U1077" s="26"/>
      <c r="V1077" s="26"/>
      <c r="W1077" s="26"/>
      <c r="X1077" s="26"/>
      <c r="Y1077" s="26"/>
      <c r="Z1077" s="26"/>
      <c r="AA1077" s="26"/>
      <c r="AB1077" s="26"/>
      <c r="AC1077" s="26"/>
      <c r="AD1077" s="26"/>
      <c r="AE1077" s="26"/>
      <c r="AF1077" s="26"/>
      <c r="AG1077" s="26"/>
      <c r="AH1077" s="26"/>
      <c r="AI1077" s="26"/>
      <c r="AJ1077" s="26"/>
      <c r="AK1077" s="26"/>
      <c r="AL1077" s="26"/>
      <c r="AM1077" s="26"/>
      <c r="AN1077" s="26"/>
    </row>
    <row r="1078">
      <c r="A1078" s="31"/>
      <c r="B1078" s="32"/>
      <c r="C1078" s="33"/>
      <c r="D1078" s="33"/>
      <c r="E1078" s="27"/>
      <c r="F1078" s="29"/>
      <c r="G1078" s="34"/>
      <c r="H1078" s="34"/>
      <c r="I1078" s="34"/>
      <c r="J1078" s="21"/>
      <c r="K1078" s="22"/>
      <c r="L1078" s="23"/>
      <c r="M1078" s="24"/>
      <c r="N1078" s="25"/>
      <c r="O1078" s="26"/>
      <c r="P1078" s="26"/>
      <c r="Q1078" s="25"/>
      <c r="R1078" s="25"/>
      <c r="S1078" s="26"/>
      <c r="T1078" s="26"/>
      <c r="U1078" s="26"/>
      <c r="V1078" s="26"/>
      <c r="W1078" s="26"/>
      <c r="X1078" s="26"/>
      <c r="Y1078" s="26"/>
      <c r="Z1078" s="26"/>
      <c r="AA1078" s="26"/>
      <c r="AB1078" s="26"/>
      <c r="AC1078" s="26"/>
      <c r="AD1078" s="26"/>
      <c r="AE1078" s="26"/>
      <c r="AF1078" s="26"/>
      <c r="AG1078" s="26"/>
      <c r="AH1078" s="26"/>
      <c r="AI1078" s="26"/>
      <c r="AJ1078" s="26"/>
      <c r="AK1078" s="26"/>
      <c r="AL1078" s="26"/>
      <c r="AM1078" s="26"/>
      <c r="AN1078" s="26"/>
    </row>
    <row r="1079">
      <c r="A1079" s="31"/>
      <c r="B1079" s="32"/>
      <c r="C1079" s="33"/>
      <c r="D1079" s="33"/>
      <c r="E1079" s="27"/>
      <c r="F1079" s="29"/>
      <c r="G1079" s="34"/>
      <c r="H1079" s="34"/>
      <c r="I1079" s="34"/>
      <c r="J1079" s="21"/>
      <c r="K1079" s="22"/>
      <c r="L1079" s="23"/>
      <c r="M1079" s="24"/>
      <c r="N1079" s="25"/>
      <c r="O1079" s="26"/>
      <c r="P1079" s="26"/>
      <c r="Q1079" s="25"/>
      <c r="R1079" s="25"/>
      <c r="S1079" s="26"/>
      <c r="T1079" s="26"/>
      <c r="U1079" s="26"/>
      <c r="V1079" s="26"/>
      <c r="W1079" s="26"/>
      <c r="X1079" s="26"/>
      <c r="Y1079" s="26"/>
      <c r="Z1079" s="26"/>
      <c r="AA1079" s="26"/>
      <c r="AB1079" s="26"/>
      <c r="AC1079" s="26"/>
      <c r="AD1079" s="26"/>
      <c r="AE1079" s="26"/>
      <c r="AF1079" s="26"/>
      <c r="AG1079" s="26"/>
      <c r="AH1079" s="26"/>
      <c r="AI1079" s="26"/>
      <c r="AJ1079" s="26"/>
      <c r="AK1079" s="26"/>
      <c r="AL1079" s="26"/>
      <c r="AM1079" s="26"/>
      <c r="AN1079" s="26"/>
    </row>
    <row r="1080">
      <c r="A1080" s="31"/>
      <c r="B1080" s="32"/>
      <c r="C1080" s="33"/>
      <c r="D1080" s="33"/>
      <c r="E1080" s="27"/>
      <c r="F1080" s="29"/>
      <c r="G1080" s="34"/>
      <c r="H1080" s="34"/>
      <c r="I1080" s="34"/>
      <c r="J1080" s="21"/>
      <c r="K1080" s="22"/>
      <c r="L1080" s="23"/>
      <c r="M1080" s="24"/>
      <c r="N1080" s="25"/>
      <c r="O1080" s="26"/>
      <c r="P1080" s="26"/>
      <c r="Q1080" s="25"/>
      <c r="R1080" s="25"/>
      <c r="S1080" s="26"/>
      <c r="T1080" s="26"/>
      <c r="U1080" s="26"/>
      <c r="V1080" s="26"/>
      <c r="W1080" s="26"/>
      <c r="X1080" s="26"/>
      <c r="Y1080" s="26"/>
      <c r="Z1080" s="26"/>
      <c r="AA1080" s="26"/>
      <c r="AB1080" s="26"/>
      <c r="AC1080" s="26"/>
      <c r="AD1080" s="26"/>
      <c r="AE1080" s="26"/>
      <c r="AF1080" s="26"/>
      <c r="AG1080" s="26"/>
      <c r="AH1080" s="26"/>
      <c r="AI1080" s="26"/>
      <c r="AJ1080" s="26"/>
      <c r="AK1080" s="26"/>
      <c r="AL1080" s="26"/>
      <c r="AM1080" s="26"/>
      <c r="AN1080" s="26"/>
    </row>
    <row r="1081">
      <c r="A1081" s="31"/>
      <c r="B1081" s="32"/>
      <c r="C1081" s="33"/>
      <c r="D1081" s="33"/>
      <c r="E1081" s="27"/>
      <c r="F1081" s="29"/>
      <c r="G1081" s="34"/>
      <c r="H1081" s="34"/>
      <c r="I1081" s="34"/>
      <c r="J1081" s="21"/>
      <c r="K1081" s="22"/>
      <c r="L1081" s="23"/>
      <c r="M1081" s="24"/>
      <c r="N1081" s="25"/>
      <c r="O1081" s="26"/>
      <c r="P1081" s="26"/>
      <c r="Q1081" s="25"/>
      <c r="R1081" s="25"/>
      <c r="S1081" s="26"/>
      <c r="T1081" s="26"/>
      <c r="U1081" s="26"/>
      <c r="V1081" s="26"/>
      <c r="W1081" s="26"/>
      <c r="X1081" s="26"/>
      <c r="Y1081" s="26"/>
      <c r="Z1081" s="26"/>
      <c r="AA1081" s="26"/>
      <c r="AB1081" s="26"/>
      <c r="AC1081" s="26"/>
      <c r="AD1081" s="26"/>
      <c r="AE1081" s="26"/>
      <c r="AF1081" s="26"/>
      <c r="AG1081" s="26"/>
      <c r="AH1081" s="26"/>
      <c r="AI1081" s="26"/>
      <c r="AJ1081" s="26"/>
      <c r="AK1081" s="26"/>
      <c r="AL1081" s="26"/>
      <c r="AM1081" s="26"/>
      <c r="AN1081" s="26"/>
    </row>
    <row r="1082">
      <c r="A1082" s="31"/>
      <c r="B1082" s="32"/>
      <c r="C1082" s="33"/>
      <c r="D1082" s="33"/>
      <c r="E1082" s="27"/>
      <c r="F1082" s="29"/>
      <c r="G1082" s="34"/>
      <c r="H1082" s="34"/>
      <c r="I1082" s="34"/>
      <c r="J1082" s="21"/>
      <c r="K1082" s="22"/>
      <c r="L1082" s="23"/>
      <c r="M1082" s="24"/>
      <c r="N1082" s="25"/>
      <c r="O1082" s="26"/>
      <c r="P1082" s="26"/>
      <c r="Q1082" s="25"/>
      <c r="R1082" s="25"/>
      <c r="S1082" s="26"/>
      <c r="T1082" s="26"/>
      <c r="U1082" s="26"/>
      <c r="V1082" s="26"/>
      <c r="W1082" s="26"/>
      <c r="X1082" s="26"/>
      <c r="Y1082" s="26"/>
      <c r="Z1082" s="26"/>
      <c r="AA1082" s="26"/>
      <c r="AB1082" s="26"/>
      <c r="AC1082" s="26"/>
      <c r="AD1082" s="26"/>
      <c r="AE1082" s="26"/>
      <c r="AF1082" s="26"/>
      <c r="AG1082" s="26"/>
      <c r="AH1082" s="26"/>
      <c r="AI1082" s="26"/>
      <c r="AJ1082" s="26"/>
      <c r="AK1082" s="26"/>
      <c r="AL1082" s="26"/>
      <c r="AM1082" s="26"/>
      <c r="AN1082" s="26"/>
    </row>
    <row r="1083">
      <c r="A1083" s="31"/>
      <c r="B1083" s="32"/>
      <c r="C1083" s="33"/>
      <c r="D1083" s="33"/>
      <c r="E1083" s="27"/>
      <c r="F1083" s="29"/>
      <c r="G1083" s="34"/>
      <c r="H1083" s="34"/>
      <c r="I1083" s="34"/>
      <c r="J1083" s="21"/>
      <c r="K1083" s="22"/>
      <c r="L1083" s="23"/>
      <c r="M1083" s="24"/>
      <c r="N1083" s="25"/>
      <c r="O1083" s="26"/>
      <c r="P1083" s="26"/>
      <c r="Q1083" s="25"/>
      <c r="R1083" s="25"/>
      <c r="S1083" s="26"/>
      <c r="T1083" s="26"/>
      <c r="U1083" s="26"/>
      <c r="V1083" s="26"/>
      <c r="W1083" s="26"/>
      <c r="X1083" s="26"/>
      <c r="Y1083" s="26"/>
      <c r="Z1083" s="26"/>
      <c r="AA1083" s="26"/>
      <c r="AB1083" s="26"/>
      <c r="AC1083" s="26"/>
      <c r="AD1083" s="26"/>
      <c r="AE1083" s="26"/>
      <c r="AF1083" s="26"/>
      <c r="AG1083" s="26"/>
      <c r="AH1083" s="26"/>
      <c r="AI1083" s="26"/>
      <c r="AJ1083" s="26"/>
      <c r="AK1083" s="26"/>
      <c r="AL1083" s="26"/>
      <c r="AM1083" s="26"/>
      <c r="AN1083" s="26"/>
    </row>
    <row r="1084">
      <c r="A1084" s="31"/>
      <c r="B1084" s="32"/>
      <c r="C1084" s="33"/>
      <c r="D1084" s="33"/>
      <c r="E1084" s="27"/>
      <c r="F1084" s="29"/>
      <c r="G1084" s="34"/>
      <c r="H1084" s="34"/>
      <c r="I1084" s="34"/>
      <c r="J1084" s="21"/>
      <c r="K1084" s="22"/>
      <c r="L1084" s="23"/>
      <c r="M1084" s="24"/>
      <c r="N1084" s="25"/>
      <c r="O1084" s="26"/>
      <c r="P1084" s="26"/>
      <c r="Q1084" s="25"/>
      <c r="R1084" s="25"/>
      <c r="S1084" s="26"/>
      <c r="T1084" s="26"/>
      <c r="U1084" s="26"/>
      <c r="V1084" s="26"/>
      <c r="W1084" s="26"/>
      <c r="X1084" s="26"/>
      <c r="Y1084" s="26"/>
      <c r="Z1084" s="26"/>
      <c r="AA1084" s="26"/>
      <c r="AB1084" s="26"/>
      <c r="AC1084" s="26"/>
      <c r="AD1084" s="26"/>
      <c r="AE1084" s="26"/>
      <c r="AF1084" s="26"/>
      <c r="AG1084" s="26"/>
      <c r="AH1084" s="26"/>
      <c r="AI1084" s="26"/>
      <c r="AJ1084" s="26"/>
      <c r="AK1084" s="26"/>
      <c r="AL1084" s="26"/>
      <c r="AM1084" s="26"/>
      <c r="AN1084" s="26"/>
    </row>
    <row r="1085">
      <c r="A1085" s="31"/>
      <c r="B1085" s="32"/>
      <c r="C1085" s="33"/>
      <c r="D1085" s="33"/>
      <c r="E1085" s="27"/>
      <c r="F1085" s="29"/>
      <c r="G1085" s="34"/>
      <c r="H1085" s="34"/>
      <c r="I1085" s="34"/>
      <c r="J1085" s="21"/>
      <c r="K1085" s="22"/>
      <c r="L1085" s="23"/>
      <c r="M1085" s="24"/>
      <c r="N1085" s="25"/>
      <c r="O1085" s="26"/>
      <c r="P1085" s="26"/>
      <c r="Q1085" s="25"/>
      <c r="R1085" s="25"/>
      <c r="S1085" s="26"/>
      <c r="T1085" s="26"/>
      <c r="U1085" s="26"/>
      <c r="V1085" s="26"/>
      <c r="W1085" s="26"/>
      <c r="X1085" s="26"/>
      <c r="Y1085" s="26"/>
      <c r="Z1085" s="26"/>
      <c r="AA1085" s="26"/>
      <c r="AB1085" s="26"/>
      <c r="AC1085" s="26"/>
      <c r="AD1085" s="26"/>
      <c r="AE1085" s="26"/>
      <c r="AF1085" s="26"/>
      <c r="AG1085" s="26"/>
      <c r="AH1085" s="26"/>
      <c r="AI1085" s="26"/>
      <c r="AJ1085" s="26"/>
      <c r="AK1085" s="26"/>
      <c r="AL1085" s="26"/>
      <c r="AM1085" s="26"/>
      <c r="AN1085" s="26"/>
    </row>
    <row r="1086">
      <c r="A1086" s="31"/>
      <c r="B1086" s="32"/>
      <c r="C1086" s="33"/>
      <c r="D1086" s="33"/>
      <c r="E1086" s="27"/>
      <c r="F1086" s="29"/>
      <c r="G1086" s="34"/>
      <c r="H1086" s="34"/>
      <c r="I1086" s="34"/>
      <c r="J1086" s="21"/>
      <c r="K1086" s="22"/>
      <c r="L1086" s="23"/>
      <c r="M1086" s="24"/>
      <c r="N1086" s="25"/>
      <c r="O1086" s="26"/>
      <c r="P1086" s="26"/>
      <c r="Q1086" s="25"/>
      <c r="R1086" s="25"/>
      <c r="S1086" s="26"/>
      <c r="T1086" s="26"/>
      <c r="U1086" s="26"/>
      <c r="V1086" s="26"/>
      <c r="W1086" s="26"/>
      <c r="X1086" s="26"/>
      <c r="Y1086" s="26"/>
      <c r="Z1086" s="26"/>
      <c r="AA1086" s="26"/>
      <c r="AB1086" s="26"/>
      <c r="AC1086" s="26"/>
      <c r="AD1086" s="26"/>
      <c r="AE1086" s="26"/>
      <c r="AF1086" s="26"/>
      <c r="AG1086" s="26"/>
      <c r="AH1086" s="26"/>
      <c r="AI1086" s="26"/>
      <c r="AJ1086" s="26"/>
      <c r="AK1086" s="26"/>
      <c r="AL1086" s="26"/>
      <c r="AM1086" s="26"/>
      <c r="AN1086" s="26"/>
    </row>
    <row r="1087">
      <c r="A1087" s="31"/>
      <c r="B1087" s="32"/>
      <c r="C1087" s="33"/>
      <c r="D1087" s="33"/>
      <c r="E1087" s="27"/>
      <c r="F1087" s="29"/>
      <c r="G1087" s="34"/>
      <c r="H1087" s="34"/>
      <c r="I1087" s="34"/>
      <c r="J1087" s="21"/>
      <c r="K1087" s="22"/>
      <c r="L1087" s="23"/>
      <c r="M1087" s="24"/>
      <c r="N1087" s="25"/>
      <c r="O1087" s="26"/>
      <c r="P1087" s="26"/>
      <c r="Q1087" s="25"/>
      <c r="R1087" s="25"/>
      <c r="S1087" s="26"/>
      <c r="T1087" s="26"/>
      <c r="U1087" s="26"/>
      <c r="V1087" s="26"/>
      <c r="W1087" s="26"/>
      <c r="X1087" s="26"/>
      <c r="Y1087" s="26"/>
      <c r="Z1087" s="26"/>
      <c r="AA1087" s="26"/>
      <c r="AB1087" s="26"/>
      <c r="AC1087" s="26"/>
      <c r="AD1087" s="26"/>
      <c r="AE1087" s="26"/>
      <c r="AF1087" s="26"/>
      <c r="AG1087" s="26"/>
      <c r="AH1087" s="26"/>
      <c r="AI1087" s="26"/>
      <c r="AJ1087" s="26"/>
      <c r="AK1087" s="26"/>
      <c r="AL1087" s="26"/>
      <c r="AM1087" s="26"/>
      <c r="AN1087" s="26"/>
    </row>
    <row r="1088">
      <c r="A1088" s="31"/>
      <c r="B1088" s="32"/>
      <c r="C1088" s="33"/>
      <c r="D1088" s="33"/>
      <c r="E1088" s="27"/>
      <c r="F1088" s="29"/>
      <c r="G1088" s="34"/>
      <c r="H1088" s="34"/>
      <c r="I1088" s="34"/>
      <c r="J1088" s="21"/>
      <c r="K1088" s="22"/>
      <c r="L1088" s="23"/>
      <c r="M1088" s="24"/>
      <c r="N1088" s="25"/>
      <c r="O1088" s="26"/>
      <c r="P1088" s="26"/>
      <c r="Q1088" s="25"/>
      <c r="R1088" s="25"/>
      <c r="S1088" s="26"/>
      <c r="T1088" s="26"/>
      <c r="U1088" s="26"/>
      <c r="V1088" s="26"/>
      <c r="W1088" s="26"/>
      <c r="X1088" s="26"/>
      <c r="Y1088" s="26"/>
      <c r="Z1088" s="26"/>
      <c r="AA1088" s="26"/>
      <c r="AB1088" s="26"/>
      <c r="AC1088" s="26"/>
      <c r="AD1088" s="26"/>
      <c r="AE1088" s="26"/>
      <c r="AF1088" s="26"/>
      <c r="AG1088" s="26"/>
      <c r="AH1088" s="26"/>
      <c r="AI1088" s="26"/>
      <c r="AJ1088" s="26"/>
      <c r="AK1088" s="26"/>
      <c r="AL1088" s="26"/>
      <c r="AM1088" s="26"/>
      <c r="AN1088" s="26"/>
    </row>
    <row r="1089">
      <c r="A1089" s="31"/>
      <c r="B1089" s="32"/>
      <c r="C1089" s="33"/>
      <c r="D1089" s="33"/>
      <c r="E1089" s="27"/>
      <c r="F1089" s="29"/>
      <c r="G1089" s="34"/>
      <c r="H1089" s="34"/>
      <c r="I1089" s="34"/>
      <c r="J1089" s="21"/>
      <c r="K1089" s="22"/>
      <c r="L1089" s="23"/>
      <c r="M1089" s="24"/>
      <c r="N1089" s="25"/>
      <c r="O1089" s="26"/>
      <c r="P1089" s="26"/>
      <c r="Q1089" s="25"/>
      <c r="R1089" s="25"/>
      <c r="S1089" s="26"/>
      <c r="T1089" s="26"/>
      <c r="U1089" s="26"/>
      <c r="V1089" s="26"/>
      <c r="W1089" s="26"/>
      <c r="X1089" s="26"/>
      <c r="Y1089" s="26"/>
      <c r="Z1089" s="26"/>
      <c r="AA1089" s="26"/>
      <c r="AB1089" s="26"/>
      <c r="AC1089" s="26"/>
      <c r="AD1089" s="26"/>
      <c r="AE1089" s="26"/>
      <c r="AF1089" s="26"/>
      <c r="AG1089" s="26"/>
      <c r="AH1089" s="26"/>
      <c r="AI1089" s="26"/>
      <c r="AJ1089" s="26"/>
      <c r="AK1089" s="26"/>
      <c r="AL1089" s="26"/>
      <c r="AM1089" s="26"/>
      <c r="AN1089" s="26"/>
    </row>
    <row r="1090">
      <c r="A1090" s="31"/>
      <c r="B1090" s="32"/>
      <c r="C1090" s="33"/>
      <c r="D1090" s="33"/>
      <c r="E1090" s="27"/>
      <c r="F1090" s="29"/>
      <c r="G1090" s="34"/>
      <c r="H1090" s="34"/>
      <c r="I1090" s="34"/>
      <c r="J1090" s="21"/>
      <c r="K1090" s="22"/>
      <c r="L1090" s="23"/>
      <c r="M1090" s="24"/>
      <c r="N1090" s="25"/>
      <c r="O1090" s="26"/>
      <c r="P1090" s="26"/>
      <c r="Q1090" s="25"/>
      <c r="R1090" s="25"/>
      <c r="S1090" s="26"/>
      <c r="T1090" s="26"/>
      <c r="U1090" s="26"/>
      <c r="V1090" s="26"/>
      <c r="W1090" s="26"/>
      <c r="X1090" s="26"/>
      <c r="Y1090" s="26"/>
      <c r="Z1090" s="26"/>
      <c r="AA1090" s="26"/>
      <c r="AB1090" s="26"/>
      <c r="AC1090" s="26"/>
      <c r="AD1090" s="26"/>
      <c r="AE1090" s="26"/>
      <c r="AF1090" s="26"/>
      <c r="AG1090" s="26"/>
      <c r="AH1090" s="26"/>
      <c r="AI1090" s="26"/>
      <c r="AJ1090" s="26"/>
      <c r="AK1090" s="26"/>
      <c r="AL1090" s="26"/>
      <c r="AM1090" s="26"/>
      <c r="AN1090" s="26"/>
    </row>
    <row r="1091">
      <c r="A1091" s="31"/>
      <c r="B1091" s="32"/>
      <c r="C1091" s="33"/>
      <c r="D1091" s="33"/>
      <c r="E1091" s="27"/>
      <c r="F1091" s="29"/>
      <c r="G1091" s="34"/>
      <c r="H1091" s="34"/>
      <c r="I1091" s="34"/>
      <c r="J1091" s="21"/>
      <c r="K1091" s="22"/>
      <c r="L1091" s="23"/>
      <c r="M1091" s="24"/>
      <c r="N1091" s="25"/>
      <c r="O1091" s="26"/>
      <c r="P1091" s="26"/>
      <c r="Q1091" s="25"/>
      <c r="R1091" s="25"/>
      <c r="S1091" s="26"/>
      <c r="T1091" s="26"/>
      <c r="U1091" s="26"/>
      <c r="V1091" s="26"/>
      <c r="W1091" s="26"/>
      <c r="X1091" s="26"/>
      <c r="Y1091" s="26"/>
      <c r="Z1091" s="26"/>
      <c r="AA1091" s="26"/>
      <c r="AB1091" s="26"/>
      <c r="AC1091" s="26"/>
      <c r="AD1091" s="26"/>
      <c r="AE1091" s="26"/>
      <c r="AF1091" s="26"/>
      <c r="AG1091" s="26"/>
      <c r="AH1091" s="26"/>
      <c r="AI1091" s="26"/>
      <c r="AJ1091" s="26"/>
      <c r="AK1091" s="26"/>
      <c r="AL1091" s="26"/>
      <c r="AM1091" s="26"/>
      <c r="AN1091" s="26"/>
    </row>
    <row r="1092">
      <c r="A1092" s="31"/>
      <c r="B1092" s="32"/>
      <c r="C1092" s="33"/>
      <c r="D1092" s="33"/>
      <c r="E1092" s="27"/>
      <c r="F1092" s="29"/>
      <c r="G1092" s="34"/>
      <c r="H1092" s="34"/>
      <c r="I1092" s="34"/>
      <c r="J1092" s="21"/>
      <c r="K1092" s="22"/>
      <c r="L1092" s="23"/>
      <c r="M1092" s="24"/>
      <c r="N1092" s="25"/>
      <c r="O1092" s="26"/>
      <c r="P1092" s="26"/>
      <c r="Q1092" s="25"/>
      <c r="R1092" s="25"/>
      <c r="S1092" s="26"/>
      <c r="T1092" s="26"/>
      <c r="U1092" s="26"/>
      <c r="V1092" s="26"/>
      <c r="W1092" s="26"/>
      <c r="X1092" s="26"/>
      <c r="Y1092" s="26"/>
      <c r="Z1092" s="26"/>
      <c r="AA1092" s="26"/>
      <c r="AB1092" s="26"/>
      <c r="AC1092" s="26"/>
      <c r="AD1092" s="26"/>
      <c r="AE1092" s="26"/>
      <c r="AF1092" s="26"/>
      <c r="AG1092" s="26"/>
      <c r="AH1092" s="26"/>
      <c r="AI1092" s="26"/>
      <c r="AJ1092" s="26"/>
      <c r="AK1092" s="26"/>
      <c r="AL1092" s="26"/>
      <c r="AM1092" s="26"/>
      <c r="AN1092" s="26"/>
    </row>
    <row r="1093">
      <c r="A1093" s="31"/>
      <c r="B1093" s="32"/>
      <c r="C1093" s="33"/>
      <c r="D1093" s="33"/>
      <c r="E1093" s="27"/>
      <c r="F1093" s="29"/>
      <c r="G1093" s="34"/>
      <c r="H1093" s="34"/>
      <c r="I1093" s="34"/>
      <c r="J1093" s="21"/>
      <c r="K1093" s="22"/>
      <c r="L1093" s="23"/>
      <c r="M1093" s="24"/>
      <c r="N1093" s="25"/>
      <c r="O1093" s="26"/>
      <c r="P1093" s="26"/>
      <c r="Q1093" s="25"/>
      <c r="R1093" s="25"/>
      <c r="S1093" s="26"/>
      <c r="T1093" s="26"/>
      <c r="U1093" s="26"/>
      <c r="V1093" s="26"/>
      <c r="W1093" s="26"/>
      <c r="X1093" s="26"/>
      <c r="Y1093" s="26"/>
      <c r="Z1093" s="26"/>
      <c r="AA1093" s="26"/>
      <c r="AB1093" s="26"/>
      <c r="AC1093" s="26"/>
      <c r="AD1093" s="26"/>
      <c r="AE1093" s="26"/>
      <c r="AF1093" s="26"/>
      <c r="AG1093" s="26"/>
      <c r="AH1093" s="26"/>
      <c r="AI1093" s="26"/>
      <c r="AJ1093" s="26"/>
      <c r="AK1093" s="26"/>
      <c r="AL1093" s="26"/>
      <c r="AM1093" s="26"/>
      <c r="AN1093" s="26"/>
    </row>
    <row r="1094">
      <c r="A1094" s="31"/>
      <c r="B1094" s="32"/>
      <c r="C1094" s="33"/>
      <c r="D1094" s="33"/>
      <c r="E1094" s="27"/>
      <c r="F1094" s="29"/>
      <c r="G1094" s="34"/>
      <c r="H1094" s="34"/>
      <c r="I1094" s="34"/>
      <c r="J1094" s="21"/>
      <c r="K1094" s="22"/>
      <c r="L1094" s="23"/>
      <c r="M1094" s="24"/>
      <c r="N1094" s="25"/>
      <c r="O1094" s="26"/>
      <c r="P1094" s="26"/>
      <c r="Q1094" s="25"/>
      <c r="R1094" s="25"/>
      <c r="S1094" s="26"/>
      <c r="T1094" s="26"/>
      <c r="U1094" s="26"/>
      <c r="V1094" s="26"/>
      <c r="W1094" s="26"/>
      <c r="X1094" s="26"/>
      <c r="Y1094" s="26"/>
      <c r="Z1094" s="26"/>
      <c r="AA1094" s="26"/>
      <c r="AB1094" s="26"/>
      <c r="AC1094" s="26"/>
      <c r="AD1094" s="26"/>
      <c r="AE1094" s="26"/>
      <c r="AF1094" s="26"/>
      <c r="AG1094" s="26"/>
      <c r="AH1094" s="26"/>
      <c r="AI1094" s="26"/>
      <c r="AJ1094" s="26"/>
      <c r="AK1094" s="26"/>
      <c r="AL1094" s="26"/>
      <c r="AM1094" s="26"/>
      <c r="AN1094" s="26"/>
    </row>
    <row r="1095">
      <c r="A1095" s="31"/>
      <c r="B1095" s="32"/>
      <c r="C1095" s="33"/>
      <c r="D1095" s="33"/>
      <c r="E1095" s="27"/>
      <c r="F1095" s="29"/>
      <c r="G1095" s="34"/>
      <c r="H1095" s="34"/>
      <c r="I1095" s="34"/>
      <c r="J1095" s="21"/>
      <c r="K1095" s="22"/>
      <c r="L1095" s="23"/>
      <c r="M1095" s="24"/>
      <c r="N1095" s="25"/>
      <c r="O1095" s="26"/>
      <c r="P1095" s="26"/>
      <c r="Q1095" s="25"/>
      <c r="R1095" s="25"/>
      <c r="S1095" s="26"/>
      <c r="T1095" s="26"/>
      <c r="U1095" s="26"/>
      <c r="V1095" s="26"/>
      <c r="W1095" s="26"/>
      <c r="X1095" s="26"/>
      <c r="Y1095" s="26"/>
      <c r="Z1095" s="26"/>
      <c r="AA1095" s="26"/>
      <c r="AB1095" s="26"/>
      <c r="AC1095" s="26"/>
      <c r="AD1095" s="26"/>
      <c r="AE1095" s="26"/>
      <c r="AF1095" s="26"/>
      <c r="AG1095" s="26"/>
      <c r="AH1095" s="26"/>
      <c r="AI1095" s="26"/>
      <c r="AJ1095" s="26"/>
      <c r="AK1095" s="26"/>
      <c r="AL1095" s="26"/>
      <c r="AM1095" s="26"/>
      <c r="AN1095" s="26"/>
    </row>
    <row r="1096">
      <c r="A1096" s="31"/>
      <c r="B1096" s="32"/>
      <c r="C1096" s="33"/>
      <c r="D1096" s="33"/>
      <c r="E1096" s="27"/>
      <c r="F1096" s="29"/>
      <c r="G1096" s="34"/>
      <c r="H1096" s="34"/>
      <c r="I1096" s="34"/>
      <c r="J1096" s="21"/>
      <c r="K1096" s="22"/>
      <c r="L1096" s="23"/>
      <c r="M1096" s="24"/>
      <c r="N1096" s="25"/>
      <c r="O1096" s="26"/>
      <c r="P1096" s="26"/>
      <c r="Q1096" s="25"/>
      <c r="R1096" s="25"/>
      <c r="S1096" s="26"/>
      <c r="T1096" s="26"/>
      <c r="U1096" s="26"/>
      <c r="V1096" s="26"/>
      <c r="W1096" s="26"/>
      <c r="X1096" s="26"/>
      <c r="Y1096" s="26"/>
      <c r="Z1096" s="26"/>
      <c r="AA1096" s="26"/>
      <c r="AB1096" s="26"/>
      <c r="AC1096" s="26"/>
      <c r="AD1096" s="26"/>
      <c r="AE1096" s="26"/>
      <c r="AF1096" s="26"/>
      <c r="AG1096" s="26"/>
      <c r="AH1096" s="26"/>
      <c r="AI1096" s="26"/>
      <c r="AJ1096" s="26"/>
      <c r="AK1096" s="26"/>
      <c r="AL1096" s="26"/>
      <c r="AM1096" s="26"/>
      <c r="AN1096" s="26"/>
    </row>
    <row r="1097">
      <c r="A1097" s="31"/>
      <c r="B1097" s="32"/>
      <c r="C1097" s="33"/>
      <c r="D1097" s="33"/>
      <c r="E1097" s="27"/>
      <c r="F1097" s="29"/>
      <c r="G1097" s="34"/>
      <c r="H1097" s="34"/>
      <c r="I1097" s="34"/>
      <c r="J1097" s="21"/>
      <c r="K1097" s="22"/>
      <c r="L1097" s="23"/>
      <c r="M1097" s="24"/>
      <c r="N1097" s="25"/>
      <c r="O1097" s="26"/>
      <c r="P1097" s="26"/>
      <c r="Q1097" s="25"/>
      <c r="R1097" s="25"/>
      <c r="S1097" s="26"/>
      <c r="T1097" s="26"/>
      <c r="U1097" s="26"/>
      <c r="V1097" s="26"/>
      <c r="W1097" s="26"/>
      <c r="X1097" s="26"/>
      <c r="Y1097" s="26"/>
      <c r="Z1097" s="26"/>
      <c r="AA1097" s="26"/>
      <c r="AB1097" s="26"/>
      <c r="AC1097" s="26"/>
      <c r="AD1097" s="26"/>
      <c r="AE1097" s="26"/>
      <c r="AF1097" s="26"/>
      <c r="AG1097" s="26"/>
      <c r="AH1097" s="26"/>
      <c r="AI1097" s="26"/>
      <c r="AJ1097" s="26"/>
      <c r="AK1097" s="26"/>
      <c r="AL1097" s="26"/>
      <c r="AM1097" s="26"/>
      <c r="AN1097" s="26"/>
    </row>
    <row r="1098">
      <c r="A1098" s="31"/>
      <c r="B1098" s="32"/>
      <c r="C1098" s="33"/>
      <c r="D1098" s="33"/>
      <c r="E1098" s="27"/>
      <c r="F1098" s="29"/>
      <c r="G1098" s="34"/>
      <c r="H1098" s="34"/>
      <c r="I1098" s="34"/>
      <c r="J1098" s="21"/>
      <c r="K1098" s="22"/>
      <c r="L1098" s="23"/>
      <c r="M1098" s="24"/>
      <c r="N1098" s="25"/>
      <c r="O1098" s="26"/>
      <c r="P1098" s="26"/>
      <c r="Q1098" s="25"/>
      <c r="R1098" s="25"/>
      <c r="S1098" s="26"/>
      <c r="T1098" s="26"/>
      <c r="U1098" s="26"/>
      <c r="V1098" s="26"/>
      <c r="W1098" s="26"/>
      <c r="X1098" s="26"/>
      <c r="Y1098" s="26"/>
      <c r="Z1098" s="26"/>
      <c r="AA1098" s="26"/>
      <c r="AB1098" s="26"/>
      <c r="AC1098" s="26"/>
      <c r="AD1098" s="26"/>
      <c r="AE1098" s="26"/>
      <c r="AF1098" s="26"/>
      <c r="AG1098" s="26"/>
      <c r="AH1098" s="26"/>
      <c r="AI1098" s="26"/>
      <c r="AJ1098" s="26"/>
      <c r="AK1098" s="26"/>
      <c r="AL1098" s="26"/>
      <c r="AM1098" s="26"/>
      <c r="AN1098" s="26"/>
    </row>
    <row r="1099">
      <c r="A1099" s="31"/>
      <c r="B1099" s="32"/>
      <c r="C1099" s="33"/>
      <c r="D1099" s="33"/>
      <c r="E1099" s="27"/>
      <c r="F1099" s="29"/>
      <c r="G1099" s="34"/>
      <c r="H1099" s="34"/>
      <c r="I1099" s="34"/>
      <c r="J1099" s="21"/>
      <c r="K1099" s="22"/>
      <c r="L1099" s="23"/>
      <c r="M1099" s="24"/>
      <c r="N1099" s="25"/>
      <c r="O1099" s="26"/>
      <c r="P1099" s="26"/>
      <c r="Q1099" s="25"/>
      <c r="R1099" s="25"/>
      <c r="S1099" s="26"/>
      <c r="T1099" s="26"/>
      <c r="U1099" s="26"/>
      <c r="V1099" s="26"/>
      <c r="W1099" s="26"/>
      <c r="X1099" s="26"/>
      <c r="Y1099" s="26"/>
      <c r="Z1099" s="26"/>
      <c r="AA1099" s="26"/>
      <c r="AB1099" s="26"/>
      <c r="AC1099" s="26"/>
      <c r="AD1099" s="26"/>
      <c r="AE1099" s="26"/>
      <c r="AF1099" s="26"/>
      <c r="AG1099" s="26"/>
      <c r="AH1099" s="26"/>
      <c r="AI1099" s="26"/>
      <c r="AJ1099" s="26"/>
      <c r="AK1099" s="26"/>
      <c r="AL1099" s="26"/>
      <c r="AM1099" s="26"/>
      <c r="AN1099" s="26"/>
    </row>
    <row r="1100">
      <c r="A1100" s="31"/>
      <c r="B1100" s="32"/>
      <c r="C1100" s="33"/>
      <c r="D1100" s="33"/>
      <c r="E1100" s="27"/>
      <c r="F1100" s="29"/>
      <c r="G1100" s="34"/>
      <c r="H1100" s="34"/>
      <c r="I1100" s="34"/>
      <c r="J1100" s="21"/>
      <c r="K1100" s="22"/>
      <c r="L1100" s="23"/>
      <c r="M1100" s="24"/>
      <c r="N1100" s="25"/>
      <c r="O1100" s="26"/>
      <c r="P1100" s="26"/>
      <c r="Q1100" s="25"/>
      <c r="R1100" s="25"/>
      <c r="S1100" s="26"/>
      <c r="T1100" s="26"/>
      <c r="U1100" s="26"/>
      <c r="V1100" s="26"/>
      <c r="W1100" s="26"/>
      <c r="X1100" s="26"/>
      <c r="Y1100" s="26"/>
      <c r="Z1100" s="26"/>
      <c r="AA1100" s="26"/>
      <c r="AB1100" s="26"/>
      <c r="AC1100" s="26"/>
      <c r="AD1100" s="26"/>
      <c r="AE1100" s="26"/>
      <c r="AF1100" s="26"/>
      <c r="AG1100" s="26"/>
      <c r="AH1100" s="26"/>
      <c r="AI1100" s="26"/>
      <c r="AJ1100" s="26"/>
      <c r="AK1100" s="26"/>
      <c r="AL1100" s="26"/>
      <c r="AM1100" s="26"/>
      <c r="AN1100" s="26"/>
    </row>
    <row r="1101">
      <c r="A1101" s="31"/>
      <c r="B1101" s="32"/>
      <c r="C1101" s="33"/>
      <c r="D1101" s="33"/>
      <c r="E1101" s="27"/>
      <c r="F1101" s="29"/>
      <c r="G1101" s="34"/>
      <c r="H1101" s="34"/>
      <c r="I1101" s="34"/>
      <c r="J1101" s="21"/>
      <c r="K1101" s="22"/>
      <c r="L1101" s="23"/>
      <c r="M1101" s="24"/>
      <c r="N1101" s="25"/>
      <c r="O1101" s="26"/>
      <c r="P1101" s="26"/>
      <c r="Q1101" s="25"/>
      <c r="R1101" s="25"/>
      <c r="S1101" s="26"/>
      <c r="T1101" s="26"/>
      <c r="U1101" s="26"/>
      <c r="V1101" s="26"/>
      <c r="W1101" s="26"/>
      <c r="X1101" s="26"/>
      <c r="Y1101" s="26"/>
      <c r="Z1101" s="26"/>
      <c r="AA1101" s="26"/>
      <c r="AB1101" s="26"/>
      <c r="AC1101" s="26"/>
      <c r="AD1101" s="26"/>
      <c r="AE1101" s="26"/>
      <c r="AF1101" s="26"/>
      <c r="AG1101" s="26"/>
      <c r="AH1101" s="26"/>
      <c r="AI1101" s="26"/>
      <c r="AJ1101" s="26"/>
      <c r="AK1101" s="26"/>
      <c r="AL1101" s="26"/>
      <c r="AM1101" s="26"/>
      <c r="AN1101" s="26"/>
    </row>
    <row r="1102">
      <c r="A1102" s="31"/>
      <c r="B1102" s="32"/>
      <c r="C1102" s="33"/>
      <c r="D1102" s="33"/>
      <c r="E1102" s="27"/>
      <c r="F1102" s="29"/>
      <c r="G1102" s="34"/>
      <c r="H1102" s="34"/>
      <c r="I1102" s="34"/>
      <c r="J1102" s="21"/>
      <c r="K1102" s="22"/>
      <c r="L1102" s="23"/>
      <c r="M1102" s="24"/>
      <c r="N1102" s="25"/>
      <c r="O1102" s="26"/>
      <c r="P1102" s="26"/>
      <c r="Q1102" s="25"/>
      <c r="R1102" s="25"/>
      <c r="S1102" s="26"/>
      <c r="T1102" s="26"/>
      <c r="U1102" s="26"/>
      <c r="V1102" s="26"/>
      <c r="W1102" s="26"/>
      <c r="X1102" s="26"/>
      <c r="Y1102" s="26"/>
      <c r="Z1102" s="26"/>
      <c r="AA1102" s="26"/>
      <c r="AB1102" s="26"/>
      <c r="AC1102" s="26"/>
      <c r="AD1102" s="26"/>
      <c r="AE1102" s="26"/>
      <c r="AF1102" s="26"/>
      <c r="AG1102" s="26"/>
      <c r="AH1102" s="26"/>
      <c r="AI1102" s="26"/>
      <c r="AJ1102" s="26"/>
      <c r="AK1102" s="26"/>
      <c r="AL1102" s="26"/>
      <c r="AM1102" s="26"/>
      <c r="AN1102" s="26"/>
    </row>
    <row r="1103">
      <c r="A1103" s="31"/>
      <c r="B1103" s="32"/>
      <c r="C1103" s="33"/>
      <c r="D1103" s="33"/>
      <c r="E1103" s="27"/>
      <c r="F1103" s="29"/>
      <c r="G1103" s="34"/>
      <c r="H1103" s="34"/>
      <c r="I1103" s="34"/>
      <c r="J1103" s="21"/>
      <c r="K1103" s="22"/>
      <c r="L1103" s="23"/>
      <c r="M1103" s="24"/>
      <c r="N1103" s="25"/>
      <c r="O1103" s="26"/>
      <c r="P1103" s="26"/>
      <c r="Q1103" s="25"/>
      <c r="R1103" s="25"/>
      <c r="S1103" s="26"/>
      <c r="T1103" s="26"/>
      <c r="U1103" s="26"/>
      <c r="V1103" s="26"/>
      <c r="W1103" s="26"/>
      <c r="X1103" s="26"/>
      <c r="Y1103" s="26"/>
      <c r="Z1103" s="26"/>
      <c r="AA1103" s="26"/>
      <c r="AB1103" s="26"/>
      <c r="AC1103" s="26"/>
      <c r="AD1103" s="26"/>
      <c r="AE1103" s="26"/>
      <c r="AF1103" s="26"/>
      <c r="AG1103" s="26"/>
      <c r="AH1103" s="26"/>
      <c r="AI1103" s="26"/>
      <c r="AJ1103" s="26"/>
      <c r="AK1103" s="26"/>
      <c r="AL1103" s="26"/>
      <c r="AM1103" s="26"/>
      <c r="AN1103" s="26"/>
    </row>
    <row r="1104">
      <c r="A1104" s="31"/>
      <c r="B1104" s="32"/>
      <c r="C1104" s="33"/>
      <c r="D1104" s="33"/>
      <c r="E1104" s="27"/>
      <c r="F1104" s="29"/>
      <c r="G1104" s="34"/>
      <c r="H1104" s="34"/>
      <c r="I1104" s="34"/>
      <c r="J1104" s="21"/>
      <c r="K1104" s="22"/>
      <c r="L1104" s="23"/>
      <c r="M1104" s="24"/>
      <c r="N1104" s="25"/>
      <c r="O1104" s="26"/>
      <c r="P1104" s="26"/>
      <c r="Q1104" s="25"/>
      <c r="R1104" s="25"/>
      <c r="S1104" s="26"/>
      <c r="T1104" s="26"/>
      <c r="U1104" s="26"/>
      <c r="V1104" s="26"/>
      <c r="W1104" s="26"/>
      <c r="X1104" s="26"/>
      <c r="Y1104" s="26"/>
      <c r="Z1104" s="26"/>
      <c r="AA1104" s="26"/>
      <c r="AB1104" s="26"/>
      <c r="AC1104" s="26"/>
      <c r="AD1104" s="26"/>
      <c r="AE1104" s="26"/>
      <c r="AF1104" s="26"/>
      <c r="AG1104" s="26"/>
      <c r="AH1104" s="26"/>
      <c r="AI1104" s="26"/>
      <c r="AJ1104" s="26"/>
      <c r="AK1104" s="26"/>
      <c r="AL1104" s="26"/>
      <c r="AM1104" s="26"/>
      <c r="AN1104" s="26"/>
    </row>
    <row r="1105">
      <c r="A1105" s="31"/>
      <c r="B1105" s="32"/>
      <c r="C1105" s="33"/>
      <c r="D1105" s="33"/>
      <c r="E1105" s="27"/>
      <c r="F1105" s="29"/>
      <c r="G1105" s="34"/>
      <c r="H1105" s="34"/>
      <c r="I1105" s="34"/>
      <c r="J1105" s="21"/>
      <c r="K1105" s="22"/>
      <c r="L1105" s="23"/>
      <c r="M1105" s="24"/>
      <c r="N1105" s="25"/>
      <c r="O1105" s="26"/>
      <c r="P1105" s="26"/>
      <c r="Q1105" s="25"/>
      <c r="R1105" s="25"/>
      <c r="S1105" s="26"/>
      <c r="T1105" s="26"/>
      <c r="U1105" s="26"/>
      <c r="V1105" s="26"/>
      <c r="W1105" s="26"/>
      <c r="X1105" s="26"/>
      <c r="Y1105" s="26"/>
      <c r="Z1105" s="26"/>
      <c r="AA1105" s="26"/>
      <c r="AB1105" s="26"/>
      <c r="AC1105" s="26"/>
      <c r="AD1105" s="26"/>
      <c r="AE1105" s="26"/>
      <c r="AF1105" s="26"/>
      <c r="AG1105" s="26"/>
      <c r="AH1105" s="26"/>
      <c r="AI1105" s="26"/>
      <c r="AJ1105" s="26"/>
      <c r="AK1105" s="26"/>
      <c r="AL1105" s="26"/>
      <c r="AM1105" s="26"/>
      <c r="AN1105" s="26"/>
    </row>
    <row r="1106">
      <c r="A1106" s="31"/>
      <c r="B1106" s="32"/>
      <c r="C1106" s="33"/>
      <c r="D1106" s="33"/>
      <c r="E1106" s="27"/>
      <c r="F1106" s="29"/>
      <c r="G1106" s="34"/>
      <c r="H1106" s="34"/>
      <c r="I1106" s="34"/>
      <c r="J1106" s="21"/>
      <c r="K1106" s="22"/>
      <c r="L1106" s="23"/>
      <c r="M1106" s="24"/>
      <c r="N1106" s="25"/>
      <c r="O1106" s="26"/>
      <c r="P1106" s="26"/>
      <c r="Q1106" s="25"/>
      <c r="R1106" s="25"/>
      <c r="S1106" s="26"/>
      <c r="T1106" s="26"/>
      <c r="U1106" s="26"/>
      <c r="V1106" s="26"/>
      <c r="W1106" s="26"/>
      <c r="X1106" s="26"/>
      <c r="Y1106" s="26"/>
      <c r="Z1106" s="26"/>
      <c r="AA1106" s="26"/>
      <c r="AB1106" s="26"/>
      <c r="AC1106" s="26"/>
      <c r="AD1106" s="26"/>
      <c r="AE1106" s="26"/>
      <c r="AF1106" s="26"/>
      <c r="AG1106" s="26"/>
      <c r="AH1106" s="26"/>
      <c r="AI1106" s="26"/>
      <c r="AJ1106" s="26"/>
      <c r="AK1106" s="26"/>
      <c r="AL1106" s="26"/>
      <c r="AM1106" s="26"/>
      <c r="AN1106" s="26"/>
    </row>
    <row r="1107">
      <c r="A1107" s="31"/>
      <c r="B1107" s="32"/>
      <c r="C1107" s="33"/>
      <c r="D1107" s="33"/>
      <c r="E1107" s="27"/>
      <c r="F1107" s="29"/>
      <c r="G1107" s="34"/>
      <c r="H1107" s="34"/>
      <c r="I1107" s="34"/>
      <c r="J1107" s="21"/>
      <c r="K1107" s="22"/>
      <c r="L1107" s="23"/>
      <c r="M1107" s="24"/>
      <c r="N1107" s="25"/>
      <c r="O1107" s="26"/>
      <c r="P1107" s="26"/>
      <c r="Q1107" s="25"/>
      <c r="R1107" s="25"/>
      <c r="S1107" s="26"/>
      <c r="T1107" s="26"/>
      <c r="U1107" s="26"/>
      <c r="V1107" s="26"/>
      <c r="W1107" s="26"/>
      <c r="X1107" s="26"/>
      <c r="Y1107" s="26"/>
      <c r="Z1107" s="26"/>
      <c r="AA1107" s="26"/>
      <c r="AB1107" s="26"/>
      <c r="AC1107" s="26"/>
      <c r="AD1107" s="26"/>
      <c r="AE1107" s="26"/>
      <c r="AF1107" s="26"/>
      <c r="AG1107" s="26"/>
      <c r="AH1107" s="26"/>
      <c r="AI1107" s="26"/>
      <c r="AJ1107" s="26"/>
      <c r="AK1107" s="26"/>
      <c r="AL1107" s="26"/>
      <c r="AM1107" s="26"/>
      <c r="AN1107" s="26"/>
    </row>
    <row r="1108">
      <c r="A1108" s="31"/>
      <c r="B1108" s="32"/>
      <c r="C1108" s="33"/>
      <c r="D1108" s="33"/>
      <c r="E1108" s="27"/>
      <c r="F1108" s="29"/>
      <c r="G1108" s="34"/>
      <c r="H1108" s="34"/>
      <c r="I1108" s="34"/>
      <c r="J1108" s="21"/>
      <c r="K1108" s="22"/>
      <c r="L1108" s="23"/>
      <c r="M1108" s="24"/>
      <c r="N1108" s="25"/>
      <c r="O1108" s="26"/>
      <c r="P1108" s="26"/>
      <c r="Q1108" s="25"/>
      <c r="R1108" s="25"/>
      <c r="S1108" s="26"/>
      <c r="T1108" s="26"/>
      <c r="U1108" s="26"/>
      <c r="V1108" s="26"/>
      <c r="W1108" s="26"/>
      <c r="X1108" s="26"/>
      <c r="Y1108" s="26"/>
      <c r="Z1108" s="26"/>
      <c r="AA1108" s="26"/>
      <c r="AB1108" s="26"/>
      <c r="AC1108" s="26"/>
      <c r="AD1108" s="26"/>
      <c r="AE1108" s="26"/>
      <c r="AF1108" s="26"/>
      <c r="AG1108" s="26"/>
      <c r="AH1108" s="26"/>
      <c r="AI1108" s="26"/>
      <c r="AJ1108" s="26"/>
      <c r="AK1108" s="26"/>
      <c r="AL1108" s="26"/>
      <c r="AM1108" s="26"/>
      <c r="AN1108" s="26"/>
    </row>
    <row r="1109">
      <c r="A1109" s="31"/>
      <c r="B1109" s="32"/>
      <c r="C1109" s="33"/>
      <c r="D1109" s="33"/>
      <c r="E1109" s="27"/>
      <c r="F1109" s="29"/>
      <c r="G1109" s="34"/>
      <c r="H1109" s="34"/>
      <c r="I1109" s="34"/>
      <c r="J1109" s="21"/>
      <c r="K1109" s="22"/>
      <c r="L1109" s="23"/>
      <c r="M1109" s="24"/>
      <c r="N1109" s="25"/>
      <c r="O1109" s="26"/>
      <c r="P1109" s="26"/>
      <c r="Q1109" s="25"/>
      <c r="R1109" s="25"/>
      <c r="S1109" s="26"/>
      <c r="T1109" s="26"/>
      <c r="U1109" s="26"/>
      <c r="V1109" s="26"/>
      <c r="W1109" s="26"/>
      <c r="X1109" s="26"/>
      <c r="Y1109" s="26"/>
      <c r="Z1109" s="26"/>
      <c r="AA1109" s="26"/>
      <c r="AB1109" s="26"/>
      <c r="AC1109" s="26"/>
      <c r="AD1109" s="26"/>
      <c r="AE1109" s="26"/>
      <c r="AF1109" s="26"/>
      <c r="AG1109" s="26"/>
      <c r="AH1109" s="26"/>
      <c r="AI1109" s="26"/>
      <c r="AJ1109" s="26"/>
      <c r="AK1109" s="26"/>
      <c r="AL1109" s="26"/>
      <c r="AM1109" s="26"/>
      <c r="AN1109" s="26"/>
    </row>
    <row r="1110">
      <c r="A1110" s="31"/>
      <c r="B1110" s="32"/>
      <c r="C1110" s="33"/>
      <c r="D1110" s="33"/>
      <c r="E1110" s="27"/>
      <c r="F1110" s="29"/>
      <c r="G1110" s="34"/>
      <c r="H1110" s="34"/>
      <c r="I1110" s="34"/>
      <c r="J1110" s="21"/>
      <c r="K1110" s="22"/>
      <c r="L1110" s="23"/>
      <c r="M1110" s="24"/>
      <c r="N1110" s="25"/>
      <c r="O1110" s="26"/>
      <c r="P1110" s="26"/>
      <c r="Q1110" s="25"/>
      <c r="R1110" s="25"/>
      <c r="S1110" s="26"/>
      <c r="T1110" s="26"/>
      <c r="U1110" s="26"/>
      <c r="V1110" s="26"/>
      <c r="W1110" s="26"/>
      <c r="X1110" s="26"/>
      <c r="Y1110" s="26"/>
      <c r="Z1110" s="26"/>
      <c r="AA1110" s="26"/>
      <c r="AB1110" s="26"/>
      <c r="AC1110" s="26"/>
      <c r="AD1110" s="26"/>
      <c r="AE1110" s="26"/>
      <c r="AF1110" s="26"/>
      <c r="AG1110" s="26"/>
      <c r="AH1110" s="26"/>
      <c r="AI1110" s="26"/>
      <c r="AJ1110" s="26"/>
      <c r="AK1110" s="26"/>
      <c r="AL1110" s="26"/>
      <c r="AM1110" s="26"/>
      <c r="AN1110" s="26"/>
    </row>
    <row r="1111">
      <c r="A1111" s="31"/>
      <c r="B1111" s="32"/>
      <c r="C1111" s="33"/>
      <c r="D1111" s="33"/>
      <c r="E1111" s="27"/>
      <c r="F1111" s="29"/>
      <c r="G1111" s="34"/>
      <c r="H1111" s="34"/>
      <c r="I1111" s="34"/>
      <c r="J1111" s="21"/>
      <c r="K1111" s="22"/>
      <c r="L1111" s="23"/>
      <c r="M1111" s="24"/>
      <c r="N1111" s="25"/>
      <c r="O1111" s="26"/>
      <c r="P1111" s="26"/>
      <c r="Q1111" s="25"/>
      <c r="R1111" s="25"/>
      <c r="S1111" s="26"/>
      <c r="T1111" s="26"/>
      <c r="U1111" s="26"/>
      <c r="V1111" s="26"/>
      <c r="W1111" s="26"/>
      <c r="X1111" s="26"/>
      <c r="Y1111" s="26"/>
      <c r="Z1111" s="26"/>
      <c r="AA1111" s="26"/>
      <c r="AB1111" s="26"/>
      <c r="AC1111" s="26"/>
      <c r="AD1111" s="26"/>
      <c r="AE1111" s="26"/>
      <c r="AF1111" s="26"/>
      <c r="AG1111" s="26"/>
      <c r="AH1111" s="26"/>
      <c r="AI1111" s="26"/>
      <c r="AJ1111" s="26"/>
      <c r="AK1111" s="26"/>
      <c r="AL1111" s="26"/>
      <c r="AM1111" s="26"/>
      <c r="AN1111" s="26"/>
    </row>
    <row r="1112">
      <c r="A1112" s="31"/>
      <c r="B1112" s="32"/>
      <c r="C1112" s="33"/>
      <c r="D1112" s="33"/>
      <c r="E1112" s="27"/>
      <c r="F1112" s="29"/>
      <c r="G1112" s="34"/>
      <c r="H1112" s="34"/>
      <c r="I1112" s="34"/>
      <c r="J1112" s="21"/>
      <c r="K1112" s="22"/>
      <c r="L1112" s="23"/>
      <c r="M1112" s="24"/>
      <c r="N1112" s="25"/>
      <c r="O1112" s="26"/>
      <c r="P1112" s="26"/>
      <c r="Q1112" s="25"/>
      <c r="R1112" s="25"/>
      <c r="S1112" s="26"/>
      <c r="T1112" s="26"/>
      <c r="U1112" s="26"/>
      <c r="V1112" s="26"/>
      <c r="W1112" s="26"/>
      <c r="X1112" s="26"/>
      <c r="Y1112" s="26"/>
      <c r="Z1112" s="26"/>
      <c r="AA1112" s="26"/>
      <c r="AB1112" s="26"/>
      <c r="AC1112" s="26"/>
      <c r="AD1112" s="26"/>
      <c r="AE1112" s="26"/>
      <c r="AF1112" s="26"/>
      <c r="AG1112" s="26"/>
      <c r="AH1112" s="26"/>
      <c r="AI1112" s="26"/>
      <c r="AJ1112" s="26"/>
      <c r="AK1112" s="26"/>
      <c r="AL1112" s="26"/>
      <c r="AM1112" s="26"/>
      <c r="AN1112" s="26"/>
    </row>
    <row r="1113">
      <c r="A1113" s="31"/>
      <c r="B1113" s="32"/>
      <c r="C1113" s="33"/>
      <c r="D1113" s="33"/>
      <c r="E1113" s="27"/>
      <c r="F1113" s="29"/>
      <c r="G1113" s="34"/>
      <c r="H1113" s="34"/>
      <c r="I1113" s="34"/>
      <c r="J1113" s="21"/>
      <c r="K1113" s="22"/>
      <c r="L1113" s="23"/>
      <c r="M1113" s="24"/>
      <c r="N1113" s="25"/>
      <c r="O1113" s="26"/>
      <c r="P1113" s="26"/>
      <c r="Q1113" s="25"/>
      <c r="R1113" s="25"/>
      <c r="S1113" s="26"/>
      <c r="T1113" s="26"/>
      <c r="U1113" s="26"/>
      <c r="V1113" s="26"/>
      <c r="W1113" s="26"/>
      <c r="X1113" s="26"/>
      <c r="Y1113" s="26"/>
      <c r="Z1113" s="26"/>
      <c r="AA1113" s="26"/>
      <c r="AB1113" s="26"/>
      <c r="AC1113" s="26"/>
      <c r="AD1113" s="26"/>
      <c r="AE1113" s="26"/>
      <c r="AF1113" s="26"/>
      <c r="AG1113" s="26"/>
      <c r="AH1113" s="26"/>
      <c r="AI1113" s="26"/>
      <c r="AJ1113" s="26"/>
      <c r="AK1113" s="26"/>
      <c r="AL1113" s="26"/>
      <c r="AM1113" s="26"/>
      <c r="AN1113" s="26"/>
    </row>
    <row r="1114">
      <c r="A1114" s="31"/>
      <c r="B1114" s="32"/>
      <c r="C1114" s="33"/>
      <c r="D1114" s="33"/>
      <c r="E1114" s="27"/>
      <c r="F1114" s="29"/>
      <c r="G1114" s="34"/>
      <c r="H1114" s="34"/>
      <c r="I1114" s="34"/>
      <c r="J1114" s="21"/>
      <c r="K1114" s="22"/>
      <c r="L1114" s="23"/>
      <c r="M1114" s="24"/>
      <c r="N1114" s="25"/>
      <c r="O1114" s="26"/>
      <c r="P1114" s="26"/>
      <c r="Q1114" s="25"/>
      <c r="R1114" s="25"/>
      <c r="S1114" s="26"/>
      <c r="T1114" s="26"/>
      <c r="U1114" s="26"/>
      <c r="V1114" s="26"/>
      <c r="W1114" s="26"/>
      <c r="X1114" s="26"/>
      <c r="Y1114" s="26"/>
      <c r="Z1114" s="26"/>
      <c r="AA1114" s="26"/>
      <c r="AB1114" s="26"/>
      <c r="AC1114" s="26"/>
      <c r="AD1114" s="26"/>
      <c r="AE1114" s="26"/>
      <c r="AF1114" s="26"/>
      <c r="AG1114" s="26"/>
      <c r="AH1114" s="26"/>
      <c r="AI1114" s="26"/>
      <c r="AJ1114" s="26"/>
      <c r="AK1114" s="26"/>
      <c r="AL1114" s="26"/>
      <c r="AM1114" s="26"/>
      <c r="AN1114" s="26"/>
    </row>
    <row r="1115">
      <c r="A1115" s="31"/>
      <c r="B1115" s="32"/>
      <c r="C1115" s="33"/>
      <c r="D1115" s="33"/>
      <c r="E1115" s="27"/>
      <c r="F1115" s="29"/>
      <c r="G1115" s="34"/>
      <c r="H1115" s="34"/>
      <c r="I1115" s="34"/>
      <c r="J1115" s="21"/>
      <c r="K1115" s="22"/>
      <c r="L1115" s="23"/>
      <c r="M1115" s="24"/>
      <c r="N1115" s="25"/>
      <c r="O1115" s="26"/>
      <c r="P1115" s="26"/>
      <c r="Q1115" s="25"/>
      <c r="R1115" s="25"/>
      <c r="S1115" s="26"/>
      <c r="T1115" s="26"/>
      <c r="U1115" s="26"/>
      <c r="V1115" s="26"/>
      <c r="W1115" s="26"/>
      <c r="X1115" s="26"/>
      <c r="Y1115" s="26"/>
      <c r="Z1115" s="26"/>
      <c r="AA1115" s="26"/>
      <c r="AB1115" s="26"/>
      <c r="AC1115" s="26"/>
      <c r="AD1115" s="26"/>
      <c r="AE1115" s="26"/>
      <c r="AF1115" s="26"/>
      <c r="AG1115" s="26"/>
      <c r="AH1115" s="26"/>
      <c r="AI1115" s="26"/>
      <c r="AJ1115" s="26"/>
      <c r="AK1115" s="26"/>
      <c r="AL1115" s="26"/>
      <c r="AM1115" s="26"/>
      <c r="AN1115" s="26"/>
    </row>
    <row r="1116">
      <c r="A1116" s="31"/>
      <c r="B1116" s="32"/>
      <c r="C1116" s="33"/>
      <c r="D1116" s="33"/>
      <c r="E1116" s="27"/>
      <c r="F1116" s="29"/>
      <c r="G1116" s="34"/>
      <c r="H1116" s="34"/>
      <c r="I1116" s="34"/>
      <c r="J1116" s="21"/>
      <c r="K1116" s="22"/>
      <c r="L1116" s="23"/>
      <c r="M1116" s="24"/>
      <c r="N1116" s="25"/>
      <c r="O1116" s="26"/>
      <c r="P1116" s="26"/>
      <c r="Q1116" s="25"/>
      <c r="R1116" s="25"/>
      <c r="S1116" s="26"/>
      <c r="T1116" s="26"/>
      <c r="U1116" s="26"/>
      <c r="V1116" s="26"/>
      <c r="W1116" s="26"/>
      <c r="X1116" s="26"/>
      <c r="Y1116" s="26"/>
      <c r="Z1116" s="26"/>
      <c r="AA1116" s="26"/>
      <c r="AB1116" s="26"/>
      <c r="AC1116" s="26"/>
      <c r="AD1116" s="26"/>
      <c r="AE1116" s="26"/>
      <c r="AF1116" s="26"/>
      <c r="AG1116" s="26"/>
      <c r="AH1116" s="26"/>
      <c r="AI1116" s="26"/>
      <c r="AJ1116" s="26"/>
      <c r="AK1116" s="26"/>
      <c r="AL1116" s="26"/>
      <c r="AM1116" s="26"/>
      <c r="AN1116" s="26"/>
    </row>
    <row r="1117">
      <c r="A1117" s="31"/>
      <c r="B1117" s="32"/>
      <c r="C1117" s="33"/>
      <c r="D1117" s="33"/>
      <c r="E1117" s="27"/>
      <c r="F1117" s="29"/>
      <c r="G1117" s="34"/>
      <c r="H1117" s="34"/>
      <c r="I1117" s="34"/>
      <c r="J1117" s="21"/>
      <c r="K1117" s="22"/>
      <c r="L1117" s="23"/>
      <c r="M1117" s="24"/>
      <c r="N1117" s="25"/>
      <c r="O1117" s="26"/>
      <c r="P1117" s="26"/>
      <c r="Q1117" s="25"/>
      <c r="R1117" s="25"/>
      <c r="S1117" s="26"/>
      <c r="T1117" s="26"/>
      <c r="U1117" s="26"/>
      <c r="V1117" s="26"/>
      <c r="W1117" s="26"/>
      <c r="X1117" s="26"/>
      <c r="Y1117" s="26"/>
      <c r="Z1117" s="26"/>
      <c r="AA1117" s="26"/>
      <c r="AB1117" s="26"/>
      <c r="AC1117" s="26"/>
      <c r="AD1117" s="26"/>
      <c r="AE1117" s="26"/>
      <c r="AF1117" s="26"/>
      <c r="AG1117" s="26"/>
      <c r="AH1117" s="26"/>
      <c r="AI1117" s="26"/>
      <c r="AJ1117" s="26"/>
      <c r="AK1117" s="26"/>
      <c r="AL1117" s="26"/>
      <c r="AM1117" s="26"/>
      <c r="AN1117" s="26"/>
    </row>
    <row r="1118">
      <c r="A1118" s="31"/>
      <c r="B1118" s="32"/>
      <c r="C1118" s="33"/>
      <c r="D1118" s="33"/>
      <c r="E1118" s="27"/>
      <c r="F1118" s="29"/>
      <c r="G1118" s="34"/>
      <c r="H1118" s="34"/>
      <c r="I1118" s="34"/>
      <c r="J1118" s="21"/>
      <c r="K1118" s="22"/>
      <c r="L1118" s="23"/>
      <c r="M1118" s="24"/>
      <c r="N1118" s="25"/>
      <c r="O1118" s="26"/>
      <c r="P1118" s="26"/>
      <c r="Q1118" s="25"/>
      <c r="R1118" s="25"/>
      <c r="S1118" s="26"/>
      <c r="T1118" s="26"/>
      <c r="U1118" s="26"/>
      <c r="V1118" s="26"/>
      <c r="W1118" s="26"/>
      <c r="X1118" s="26"/>
      <c r="Y1118" s="26"/>
      <c r="Z1118" s="26"/>
      <c r="AA1118" s="26"/>
      <c r="AB1118" s="26"/>
      <c r="AC1118" s="26"/>
      <c r="AD1118" s="26"/>
      <c r="AE1118" s="26"/>
      <c r="AF1118" s="26"/>
      <c r="AG1118" s="26"/>
      <c r="AH1118" s="26"/>
      <c r="AI1118" s="26"/>
      <c r="AJ1118" s="26"/>
      <c r="AK1118" s="26"/>
      <c r="AL1118" s="26"/>
      <c r="AM1118" s="26"/>
      <c r="AN1118" s="26"/>
    </row>
    <row r="1119">
      <c r="A1119" s="31"/>
      <c r="B1119" s="32"/>
      <c r="C1119" s="33"/>
      <c r="D1119" s="33"/>
      <c r="E1119" s="27"/>
      <c r="F1119" s="29"/>
      <c r="G1119" s="34"/>
      <c r="H1119" s="34"/>
      <c r="I1119" s="34"/>
      <c r="J1119" s="21"/>
      <c r="K1119" s="22"/>
      <c r="L1119" s="23"/>
      <c r="M1119" s="24"/>
      <c r="N1119" s="25"/>
      <c r="O1119" s="26"/>
      <c r="P1119" s="26"/>
      <c r="Q1119" s="25"/>
      <c r="R1119" s="25"/>
      <c r="S1119" s="26"/>
      <c r="T1119" s="26"/>
      <c r="U1119" s="26"/>
      <c r="V1119" s="26"/>
      <c r="W1119" s="26"/>
      <c r="X1119" s="26"/>
      <c r="Y1119" s="26"/>
      <c r="Z1119" s="26"/>
      <c r="AA1119" s="26"/>
      <c r="AB1119" s="26"/>
      <c r="AC1119" s="26"/>
      <c r="AD1119" s="26"/>
      <c r="AE1119" s="26"/>
      <c r="AF1119" s="26"/>
      <c r="AG1119" s="26"/>
      <c r="AH1119" s="26"/>
      <c r="AI1119" s="26"/>
      <c r="AJ1119" s="26"/>
      <c r="AK1119" s="26"/>
      <c r="AL1119" s="26"/>
      <c r="AM1119" s="26"/>
      <c r="AN1119" s="26"/>
    </row>
    <row r="1120">
      <c r="A1120" s="31"/>
      <c r="B1120" s="32"/>
      <c r="C1120" s="33"/>
      <c r="D1120" s="33"/>
      <c r="E1120" s="27"/>
      <c r="F1120" s="29"/>
      <c r="G1120" s="34"/>
      <c r="H1120" s="34"/>
      <c r="I1120" s="34"/>
      <c r="J1120" s="21"/>
      <c r="K1120" s="22"/>
      <c r="L1120" s="23"/>
      <c r="M1120" s="24"/>
      <c r="N1120" s="25"/>
      <c r="O1120" s="26"/>
      <c r="P1120" s="26"/>
      <c r="Q1120" s="25"/>
      <c r="R1120" s="25"/>
      <c r="S1120" s="26"/>
      <c r="T1120" s="26"/>
      <c r="U1120" s="26"/>
      <c r="V1120" s="26"/>
      <c r="W1120" s="26"/>
      <c r="X1120" s="26"/>
      <c r="Y1120" s="26"/>
      <c r="Z1120" s="26"/>
      <c r="AA1120" s="26"/>
      <c r="AB1120" s="26"/>
      <c r="AC1120" s="26"/>
      <c r="AD1120" s="26"/>
      <c r="AE1120" s="26"/>
      <c r="AF1120" s="26"/>
      <c r="AG1120" s="26"/>
      <c r="AH1120" s="26"/>
      <c r="AI1120" s="26"/>
      <c r="AJ1120" s="26"/>
      <c r="AK1120" s="26"/>
      <c r="AL1120" s="26"/>
      <c r="AM1120" s="26"/>
      <c r="AN1120" s="26"/>
    </row>
    <row r="1121">
      <c r="A1121" s="31"/>
      <c r="B1121" s="32"/>
      <c r="C1121" s="33"/>
      <c r="D1121" s="33"/>
      <c r="E1121" s="27"/>
      <c r="F1121" s="29"/>
      <c r="G1121" s="34"/>
      <c r="H1121" s="34"/>
      <c r="I1121" s="34"/>
      <c r="J1121" s="21"/>
      <c r="K1121" s="22"/>
      <c r="L1121" s="23"/>
      <c r="M1121" s="24"/>
      <c r="N1121" s="25"/>
      <c r="O1121" s="26"/>
      <c r="P1121" s="26"/>
      <c r="Q1121" s="25"/>
      <c r="R1121" s="25"/>
      <c r="S1121" s="26"/>
      <c r="T1121" s="26"/>
      <c r="U1121" s="26"/>
      <c r="V1121" s="26"/>
      <c r="W1121" s="26"/>
      <c r="X1121" s="26"/>
      <c r="Y1121" s="26"/>
      <c r="Z1121" s="26"/>
      <c r="AA1121" s="26"/>
      <c r="AB1121" s="26"/>
      <c r="AC1121" s="26"/>
      <c r="AD1121" s="26"/>
      <c r="AE1121" s="26"/>
      <c r="AF1121" s="26"/>
      <c r="AG1121" s="26"/>
      <c r="AH1121" s="26"/>
      <c r="AI1121" s="26"/>
      <c r="AJ1121" s="26"/>
      <c r="AK1121" s="26"/>
      <c r="AL1121" s="26"/>
      <c r="AM1121" s="26"/>
      <c r="AN1121" s="26"/>
    </row>
    <row r="1122">
      <c r="A1122" s="31"/>
      <c r="B1122" s="32"/>
      <c r="C1122" s="33"/>
      <c r="D1122" s="33"/>
      <c r="E1122" s="27"/>
      <c r="F1122" s="29"/>
      <c r="G1122" s="34"/>
      <c r="H1122" s="34"/>
      <c r="I1122" s="34"/>
      <c r="J1122" s="21"/>
      <c r="K1122" s="22"/>
      <c r="L1122" s="23"/>
      <c r="M1122" s="24"/>
      <c r="N1122" s="25"/>
      <c r="O1122" s="26"/>
      <c r="P1122" s="26"/>
      <c r="Q1122" s="25"/>
      <c r="R1122" s="25"/>
      <c r="S1122" s="26"/>
      <c r="T1122" s="26"/>
      <c r="U1122" s="26"/>
      <c r="V1122" s="26"/>
      <c r="W1122" s="26"/>
      <c r="X1122" s="26"/>
      <c r="Y1122" s="26"/>
      <c r="Z1122" s="26"/>
      <c r="AA1122" s="26"/>
      <c r="AB1122" s="26"/>
      <c r="AC1122" s="26"/>
      <c r="AD1122" s="26"/>
      <c r="AE1122" s="26"/>
      <c r="AF1122" s="26"/>
      <c r="AG1122" s="26"/>
      <c r="AH1122" s="26"/>
      <c r="AI1122" s="26"/>
      <c r="AJ1122" s="26"/>
      <c r="AK1122" s="26"/>
      <c r="AL1122" s="26"/>
      <c r="AM1122" s="26"/>
      <c r="AN1122" s="26"/>
    </row>
    <row r="1123">
      <c r="A1123" s="31"/>
      <c r="B1123" s="32"/>
      <c r="C1123" s="33"/>
      <c r="D1123" s="33"/>
      <c r="E1123" s="27"/>
      <c r="F1123" s="29"/>
      <c r="G1123" s="34"/>
      <c r="H1123" s="34"/>
      <c r="I1123" s="34"/>
      <c r="J1123" s="21"/>
      <c r="K1123" s="22"/>
      <c r="L1123" s="23"/>
      <c r="M1123" s="24"/>
      <c r="N1123" s="25"/>
      <c r="O1123" s="26"/>
      <c r="P1123" s="26"/>
      <c r="Q1123" s="25"/>
      <c r="R1123" s="25"/>
      <c r="S1123" s="26"/>
      <c r="T1123" s="26"/>
      <c r="U1123" s="26"/>
      <c r="V1123" s="26"/>
      <c r="W1123" s="26"/>
      <c r="X1123" s="26"/>
      <c r="Y1123" s="26"/>
      <c r="Z1123" s="26"/>
      <c r="AA1123" s="26"/>
      <c r="AB1123" s="26"/>
      <c r="AC1123" s="26"/>
      <c r="AD1123" s="26"/>
      <c r="AE1123" s="26"/>
      <c r="AF1123" s="26"/>
      <c r="AG1123" s="26"/>
      <c r="AH1123" s="26"/>
      <c r="AI1123" s="26"/>
      <c r="AJ1123" s="26"/>
      <c r="AK1123" s="26"/>
      <c r="AL1123" s="26"/>
      <c r="AM1123" s="26"/>
      <c r="AN1123" s="26"/>
    </row>
    <row r="1124">
      <c r="A1124" s="31"/>
      <c r="B1124" s="32"/>
      <c r="C1124" s="33"/>
      <c r="D1124" s="33"/>
      <c r="E1124" s="27"/>
      <c r="F1124" s="29"/>
      <c r="G1124" s="34"/>
      <c r="H1124" s="34"/>
      <c r="I1124" s="34"/>
      <c r="J1124" s="21"/>
      <c r="K1124" s="22"/>
      <c r="L1124" s="23"/>
      <c r="M1124" s="24"/>
      <c r="N1124" s="25"/>
      <c r="O1124" s="26"/>
      <c r="P1124" s="26"/>
      <c r="Q1124" s="25"/>
      <c r="R1124" s="25"/>
      <c r="S1124" s="26"/>
      <c r="T1124" s="26"/>
      <c r="U1124" s="26"/>
      <c r="V1124" s="26"/>
      <c r="W1124" s="26"/>
      <c r="X1124" s="26"/>
      <c r="Y1124" s="26"/>
      <c r="Z1124" s="26"/>
      <c r="AA1124" s="26"/>
      <c r="AB1124" s="26"/>
      <c r="AC1124" s="26"/>
      <c r="AD1124" s="26"/>
      <c r="AE1124" s="26"/>
      <c r="AF1124" s="26"/>
      <c r="AG1124" s="26"/>
      <c r="AH1124" s="26"/>
      <c r="AI1124" s="26"/>
      <c r="AJ1124" s="26"/>
      <c r="AK1124" s="26"/>
      <c r="AL1124" s="26"/>
      <c r="AM1124" s="26"/>
      <c r="AN1124" s="26"/>
    </row>
    <row r="1125">
      <c r="A1125" s="31"/>
      <c r="B1125" s="32"/>
      <c r="C1125" s="33"/>
      <c r="D1125" s="33"/>
      <c r="E1125" s="27"/>
      <c r="F1125" s="29"/>
      <c r="G1125" s="34"/>
      <c r="H1125" s="34"/>
      <c r="I1125" s="34"/>
      <c r="J1125" s="21"/>
      <c r="K1125" s="22"/>
      <c r="L1125" s="23"/>
      <c r="M1125" s="24"/>
      <c r="N1125" s="25"/>
      <c r="O1125" s="26"/>
      <c r="P1125" s="26"/>
      <c r="Q1125" s="25"/>
      <c r="R1125" s="25"/>
      <c r="S1125" s="26"/>
      <c r="T1125" s="26"/>
      <c r="U1125" s="26"/>
      <c r="V1125" s="26"/>
      <c r="W1125" s="26"/>
      <c r="X1125" s="26"/>
      <c r="Y1125" s="26"/>
      <c r="Z1125" s="26"/>
      <c r="AA1125" s="26"/>
      <c r="AB1125" s="26"/>
      <c r="AC1125" s="26"/>
      <c r="AD1125" s="26"/>
      <c r="AE1125" s="26"/>
      <c r="AF1125" s="26"/>
      <c r="AG1125" s="26"/>
      <c r="AH1125" s="26"/>
      <c r="AI1125" s="26"/>
      <c r="AJ1125" s="26"/>
      <c r="AK1125" s="26"/>
      <c r="AL1125" s="26"/>
      <c r="AM1125" s="26"/>
      <c r="AN1125" s="26"/>
    </row>
    <row r="1126">
      <c r="A1126" s="31"/>
      <c r="B1126" s="32"/>
      <c r="C1126" s="33"/>
      <c r="D1126" s="33"/>
      <c r="E1126" s="27"/>
      <c r="F1126" s="29"/>
      <c r="G1126" s="34"/>
      <c r="H1126" s="34"/>
      <c r="I1126" s="34"/>
      <c r="J1126" s="21"/>
      <c r="K1126" s="22"/>
      <c r="L1126" s="23"/>
      <c r="M1126" s="24"/>
      <c r="N1126" s="25"/>
      <c r="O1126" s="26"/>
      <c r="P1126" s="26"/>
      <c r="Q1126" s="25"/>
      <c r="R1126" s="25"/>
      <c r="S1126" s="26"/>
      <c r="T1126" s="26"/>
      <c r="U1126" s="26"/>
      <c r="V1126" s="26"/>
      <c r="W1126" s="26"/>
      <c r="X1126" s="26"/>
      <c r="Y1126" s="26"/>
      <c r="Z1126" s="26"/>
      <c r="AA1126" s="26"/>
      <c r="AB1126" s="26"/>
      <c r="AC1126" s="26"/>
      <c r="AD1126" s="26"/>
      <c r="AE1126" s="26"/>
      <c r="AF1126" s="26"/>
      <c r="AG1126" s="26"/>
      <c r="AH1126" s="26"/>
      <c r="AI1126" s="26"/>
      <c r="AJ1126" s="26"/>
      <c r="AK1126" s="26"/>
      <c r="AL1126" s="26"/>
      <c r="AM1126" s="26"/>
      <c r="AN1126" s="26"/>
    </row>
    <row r="1127">
      <c r="A1127" s="31"/>
      <c r="B1127" s="32"/>
      <c r="C1127" s="33"/>
      <c r="D1127" s="33"/>
      <c r="E1127" s="27"/>
      <c r="F1127" s="29"/>
      <c r="G1127" s="34"/>
      <c r="H1127" s="34"/>
      <c r="I1127" s="34"/>
      <c r="J1127" s="21"/>
      <c r="K1127" s="22"/>
      <c r="L1127" s="23"/>
      <c r="M1127" s="24"/>
      <c r="N1127" s="25"/>
      <c r="O1127" s="26"/>
      <c r="P1127" s="26"/>
      <c r="Q1127" s="25"/>
      <c r="R1127" s="25"/>
      <c r="S1127" s="26"/>
      <c r="T1127" s="26"/>
      <c r="U1127" s="26"/>
      <c r="V1127" s="26"/>
      <c r="W1127" s="26"/>
      <c r="X1127" s="26"/>
      <c r="Y1127" s="26"/>
      <c r="Z1127" s="26"/>
      <c r="AA1127" s="26"/>
      <c r="AB1127" s="26"/>
      <c r="AC1127" s="26"/>
      <c r="AD1127" s="26"/>
      <c r="AE1127" s="26"/>
      <c r="AF1127" s="26"/>
      <c r="AG1127" s="26"/>
      <c r="AH1127" s="26"/>
      <c r="AI1127" s="26"/>
      <c r="AJ1127" s="26"/>
      <c r="AK1127" s="26"/>
      <c r="AL1127" s="26"/>
      <c r="AM1127" s="26"/>
      <c r="AN1127" s="26"/>
    </row>
    <row r="1128">
      <c r="A1128" s="31"/>
      <c r="B1128" s="32"/>
      <c r="C1128" s="33"/>
      <c r="D1128" s="33"/>
      <c r="E1128" s="27"/>
      <c r="F1128" s="29"/>
      <c r="G1128" s="34"/>
      <c r="H1128" s="34"/>
      <c r="I1128" s="34"/>
      <c r="J1128" s="21"/>
      <c r="K1128" s="22"/>
      <c r="L1128" s="23"/>
      <c r="M1128" s="24"/>
      <c r="N1128" s="25"/>
      <c r="O1128" s="26"/>
      <c r="P1128" s="26"/>
      <c r="Q1128" s="25"/>
      <c r="R1128" s="25"/>
      <c r="S1128" s="26"/>
      <c r="T1128" s="26"/>
      <c r="U1128" s="26"/>
      <c r="V1128" s="26"/>
      <c r="W1128" s="26"/>
      <c r="X1128" s="26"/>
      <c r="Y1128" s="26"/>
      <c r="Z1128" s="26"/>
      <c r="AA1128" s="26"/>
      <c r="AB1128" s="26"/>
      <c r="AC1128" s="26"/>
      <c r="AD1128" s="26"/>
      <c r="AE1128" s="26"/>
      <c r="AF1128" s="26"/>
      <c r="AG1128" s="26"/>
      <c r="AH1128" s="26"/>
      <c r="AI1128" s="26"/>
      <c r="AJ1128" s="26"/>
      <c r="AK1128" s="26"/>
      <c r="AL1128" s="26"/>
      <c r="AM1128" s="26"/>
      <c r="AN1128" s="26"/>
    </row>
    <row r="1129">
      <c r="A1129" s="31"/>
      <c r="B1129" s="32"/>
      <c r="C1129" s="33"/>
      <c r="D1129" s="33"/>
      <c r="E1129" s="27"/>
      <c r="F1129" s="29"/>
      <c r="G1129" s="34"/>
      <c r="H1129" s="34"/>
      <c r="I1129" s="34"/>
      <c r="J1129" s="21"/>
      <c r="K1129" s="22"/>
      <c r="L1129" s="23"/>
      <c r="M1129" s="24"/>
      <c r="N1129" s="25"/>
      <c r="O1129" s="26"/>
      <c r="P1129" s="26"/>
      <c r="Q1129" s="25"/>
      <c r="R1129" s="25"/>
      <c r="S1129" s="26"/>
      <c r="T1129" s="26"/>
      <c r="U1129" s="26"/>
      <c r="V1129" s="26"/>
      <c r="W1129" s="26"/>
      <c r="X1129" s="26"/>
      <c r="Y1129" s="26"/>
      <c r="Z1129" s="26"/>
      <c r="AA1129" s="26"/>
      <c r="AB1129" s="26"/>
      <c r="AC1129" s="26"/>
      <c r="AD1129" s="26"/>
      <c r="AE1129" s="26"/>
      <c r="AF1129" s="26"/>
      <c r="AG1129" s="26"/>
      <c r="AH1129" s="26"/>
      <c r="AI1129" s="26"/>
      <c r="AJ1129" s="26"/>
      <c r="AK1129" s="26"/>
      <c r="AL1129" s="26"/>
      <c r="AM1129" s="26"/>
      <c r="AN1129" s="26"/>
    </row>
    <row r="1130">
      <c r="A1130" s="31"/>
      <c r="B1130" s="32"/>
      <c r="C1130" s="33"/>
      <c r="D1130" s="33"/>
      <c r="E1130" s="27"/>
      <c r="F1130" s="29"/>
      <c r="G1130" s="34"/>
      <c r="H1130" s="34"/>
      <c r="I1130" s="34"/>
      <c r="J1130" s="21"/>
      <c r="K1130" s="22"/>
      <c r="L1130" s="23"/>
      <c r="M1130" s="24"/>
      <c r="N1130" s="25"/>
      <c r="O1130" s="26"/>
      <c r="P1130" s="26"/>
      <c r="Q1130" s="25"/>
      <c r="R1130" s="25"/>
      <c r="S1130" s="26"/>
      <c r="T1130" s="26"/>
      <c r="U1130" s="26"/>
      <c r="V1130" s="26"/>
      <c r="W1130" s="26"/>
      <c r="X1130" s="26"/>
      <c r="Y1130" s="26"/>
      <c r="Z1130" s="26"/>
      <c r="AA1130" s="26"/>
      <c r="AB1130" s="26"/>
      <c r="AC1130" s="26"/>
      <c r="AD1130" s="26"/>
      <c r="AE1130" s="26"/>
      <c r="AF1130" s="26"/>
      <c r="AG1130" s="26"/>
      <c r="AH1130" s="26"/>
      <c r="AI1130" s="26"/>
      <c r="AJ1130" s="26"/>
      <c r="AK1130" s="26"/>
      <c r="AL1130" s="26"/>
      <c r="AM1130" s="26"/>
      <c r="AN1130" s="26"/>
    </row>
    <row r="1131">
      <c r="A1131" s="31"/>
      <c r="B1131" s="32"/>
      <c r="C1131" s="33"/>
      <c r="D1131" s="33"/>
      <c r="E1131" s="27"/>
      <c r="F1131" s="29"/>
      <c r="G1131" s="34"/>
      <c r="H1131" s="34"/>
      <c r="I1131" s="34"/>
      <c r="J1131" s="21"/>
      <c r="K1131" s="22"/>
      <c r="L1131" s="23"/>
      <c r="M1131" s="24"/>
      <c r="N1131" s="25"/>
      <c r="O1131" s="26"/>
      <c r="P1131" s="26"/>
      <c r="Q1131" s="25"/>
      <c r="R1131" s="25"/>
      <c r="S1131" s="26"/>
      <c r="T1131" s="26"/>
      <c r="U1131" s="26"/>
      <c r="V1131" s="26"/>
      <c r="W1131" s="26"/>
      <c r="X1131" s="26"/>
      <c r="Y1131" s="26"/>
      <c r="Z1131" s="26"/>
      <c r="AA1131" s="26"/>
      <c r="AB1131" s="26"/>
      <c r="AC1131" s="26"/>
      <c r="AD1131" s="26"/>
      <c r="AE1131" s="26"/>
      <c r="AF1131" s="26"/>
      <c r="AG1131" s="26"/>
      <c r="AH1131" s="26"/>
      <c r="AI1131" s="26"/>
      <c r="AJ1131" s="26"/>
      <c r="AK1131" s="26"/>
      <c r="AL1131" s="26"/>
      <c r="AM1131" s="26"/>
      <c r="AN1131" s="26"/>
    </row>
    <row r="1132">
      <c r="A1132" s="31"/>
      <c r="B1132" s="32"/>
      <c r="C1132" s="33"/>
      <c r="D1132" s="33"/>
      <c r="E1132" s="27"/>
      <c r="F1132" s="29"/>
      <c r="G1132" s="34"/>
      <c r="H1132" s="34"/>
      <c r="I1132" s="34"/>
      <c r="J1132" s="21"/>
      <c r="K1132" s="22"/>
      <c r="L1132" s="23"/>
      <c r="M1132" s="24"/>
      <c r="N1132" s="25"/>
      <c r="O1132" s="26"/>
      <c r="P1132" s="26"/>
      <c r="Q1132" s="25"/>
      <c r="R1132" s="25"/>
      <c r="S1132" s="26"/>
      <c r="T1132" s="26"/>
      <c r="U1132" s="26"/>
      <c r="V1132" s="26"/>
      <c r="W1132" s="26"/>
      <c r="X1132" s="26"/>
      <c r="Y1132" s="26"/>
      <c r="Z1132" s="26"/>
      <c r="AA1132" s="26"/>
      <c r="AB1132" s="26"/>
      <c r="AC1132" s="26"/>
      <c r="AD1132" s="26"/>
      <c r="AE1132" s="26"/>
      <c r="AF1132" s="26"/>
      <c r="AG1132" s="26"/>
      <c r="AH1132" s="26"/>
      <c r="AI1132" s="26"/>
      <c r="AJ1132" s="26"/>
      <c r="AK1132" s="26"/>
      <c r="AL1132" s="26"/>
      <c r="AM1132" s="26"/>
      <c r="AN1132" s="26"/>
    </row>
    <row r="1133">
      <c r="A1133" s="31"/>
      <c r="B1133" s="32"/>
      <c r="C1133" s="33"/>
      <c r="D1133" s="33"/>
      <c r="E1133" s="27"/>
      <c r="F1133" s="29"/>
      <c r="G1133" s="34"/>
      <c r="H1133" s="34"/>
      <c r="I1133" s="34"/>
      <c r="J1133" s="21"/>
      <c r="K1133" s="22"/>
      <c r="L1133" s="23"/>
      <c r="M1133" s="24"/>
      <c r="N1133" s="25"/>
      <c r="O1133" s="26"/>
      <c r="P1133" s="26"/>
      <c r="Q1133" s="25"/>
      <c r="R1133" s="25"/>
      <c r="S1133" s="26"/>
      <c r="T1133" s="26"/>
      <c r="U1133" s="26"/>
      <c r="V1133" s="26"/>
      <c r="W1133" s="26"/>
      <c r="X1133" s="26"/>
      <c r="Y1133" s="26"/>
      <c r="Z1133" s="26"/>
      <c r="AA1133" s="26"/>
      <c r="AB1133" s="26"/>
      <c r="AC1133" s="26"/>
      <c r="AD1133" s="26"/>
      <c r="AE1133" s="26"/>
      <c r="AF1133" s="26"/>
      <c r="AG1133" s="26"/>
      <c r="AH1133" s="26"/>
      <c r="AI1133" s="26"/>
      <c r="AJ1133" s="26"/>
      <c r="AK1133" s="26"/>
      <c r="AL1133" s="26"/>
      <c r="AM1133" s="26"/>
      <c r="AN1133" s="26"/>
    </row>
    <row r="1134">
      <c r="A1134" s="31"/>
      <c r="B1134" s="32"/>
      <c r="C1134" s="33"/>
      <c r="D1134" s="33"/>
      <c r="E1134" s="27"/>
      <c r="F1134" s="29"/>
      <c r="G1134" s="34"/>
      <c r="H1134" s="34"/>
      <c r="I1134" s="34"/>
      <c r="J1134" s="21"/>
      <c r="K1134" s="22"/>
      <c r="L1134" s="23"/>
      <c r="M1134" s="24"/>
      <c r="N1134" s="25"/>
      <c r="O1134" s="26"/>
      <c r="P1134" s="26"/>
      <c r="Q1134" s="25"/>
      <c r="R1134" s="25"/>
      <c r="S1134" s="26"/>
      <c r="T1134" s="26"/>
      <c r="U1134" s="26"/>
      <c r="V1134" s="26"/>
      <c r="W1134" s="26"/>
      <c r="X1134" s="26"/>
      <c r="Y1134" s="26"/>
      <c r="Z1134" s="26"/>
      <c r="AA1134" s="26"/>
      <c r="AB1134" s="26"/>
      <c r="AC1134" s="26"/>
      <c r="AD1134" s="26"/>
      <c r="AE1134" s="26"/>
      <c r="AF1134" s="26"/>
      <c r="AG1134" s="26"/>
      <c r="AH1134" s="26"/>
      <c r="AI1134" s="26"/>
      <c r="AJ1134" s="26"/>
      <c r="AK1134" s="26"/>
      <c r="AL1134" s="26"/>
      <c r="AM1134" s="26"/>
      <c r="AN1134" s="26"/>
    </row>
    <row r="1135">
      <c r="A1135" s="31"/>
      <c r="B1135" s="32"/>
      <c r="C1135" s="33"/>
      <c r="D1135" s="33"/>
      <c r="E1135" s="27"/>
      <c r="F1135" s="29"/>
      <c r="G1135" s="34"/>
      <c r="H1135" s="34"/>
      <c r="I1135" s="34"/>
      <c r="J1135" s="21"/>
      <c r="K1135" s="22"/>
      <c r="L1135" s="23"/>
      <c r="M1135" s="24"/>
      <c r="N1135" s="25"/>
      <c r="O1135" s="26"/>
      <c r="P1135" s="26"/>
      <c r="Q1135" s="25"/>
      <c r="R1135" s="25"/>
      <c r="S1135" s="26"/>
      <c r="T1135" s="26"/>
      <c r="U1135" s="26"/>
      <c r="V1135" s="26"/>
      <c r="W1135" s="26"/>
      <c r="X1135" s="26"/>
      <c r="Y1135" s="26"/>
      <c r="Z1135" s="26"/>
      <c r="AA1135" s="26"/>
      <c r="AB1135" s="26"/>
      <c r="AC1135" s="26"/>
      <c r="AD1135" s="26"/>
      <c r="AE1135" s="26"/>
      <c r="AF1135" s="26"/>
      <c r="AG1135" s="26"/>
      <c r="AH1135" s="26"/>
      <c r="AI1135" s="26"/>
      <c r="AJ1135" s="26"/>
      <c r="AK1135" s="26"/>
      <c r="AL1135" s="26"/>
      <c r="AM1135" s="26"/>
      <c r="AN1135" s="26"/>
    </row>
    <row r="1136">
      <c r="A1136" s="31"/>
      <c r="B1136" s="32"/>
      <c r="C1136" s="33"/>
      <c r="D1136" s="33"/>
      <c r="E1136" s="27"/>
      <c r="F1136" s="29"/>
      <c r="G1136" s="34"/>
      <c r="H1136" s="34"/>
      <c r="I1136" s="34"/>
      <c r="J1136" s="21"/>
      <c r="K1136" s="22"/>
      <c r="L1136" s="23"/>
      <c r="M1136" s="24"/>
      <c r="N1136" s="25"/>
      <c r="O1136" s="26"/>
      <c r="P1136" s="26"/>
      <c r="Q1136" s="25"/>
      <c r="R1136" s="25"/>
      <c r="S1136" s="26"/>
      <c r="T1136" s="26"/>
      <c r="U1136" s="26"/>
      <c r="V1136" s="26"/>
      <c r="W1136" s="26"/>
      <c r="X1136" s="26"/>
      <c r="Y1136" s="26"/>
      <c r="Z1136" s="26"/>
      <c r="AA1136" s="26"/>
      <c r="AB1136" s="26"/>
      <c r="AC1136" s="26"/>
      <c r="AD1136" s="26"/>
      <c r="AE1136" s="26"/>
      <c r="AF1136" s="26"/>
      <c r="AG1136" s="26"/>
      <c r="AH1136" s="26"/>
      <c r="AI1136" s="26"/>
      <c r="AJ1136" s="26"/>
      <c r="AK1136" s="26"/>
      <c r="AL1136" s="26"/>
      <c r="AM1136" s="26"/>
      <c r="AN1136" s="26"/>
    </row>
    <row r="1137">
      <c r="A1137" s="31"/>
      <c r="B1137" s="32"/>
      <c r="C1137" s="33"/>
      <c r="D1137" s="33"/>
      <c r="E1137" s="27"/>
      <c r="F1137" s="29"/>
      <c r="G1137" s="34"/>
      <c r="H1137" s="34"/>
      <c r="I1137" s="34"/>
      <c r="J1137" s="21"/>
      <c r="K1137" s="22"/>
      <c r="L1137" s="23"/>
      <c r="M1137" s="24"/>
      <c r="N1137" s="25"/>
      <c r="O1137" s="26"/>
      <c r="P1137" s="26"/>
      <c r="Q1137" s="25"/>
      <c r="R1137" s="25"/>
      <c r="S1137" s="26"/>
      <c r="T1137" s="26"/>
      <c r="U1137" s="26"/>
      <c r="V1137" s="26"/>
      <c r="W1137" s="26"/>
      <c r="X1137" s="26"/>
      <c r="Y1137" s="26"/>
      <c r="Z1137" s="26"/>
      <c r="AA1137" s="26"/>
      <c r="AB1137" s="26"/>
      <c r="AC1137" s="26"/>
      <c r="AD1137" s="26"/>
      <c r="AE1137" s="26"/>
      <c r="AF1137" s="26"/>
      <c r="AG1137" s="26"/>
      <c r="AH1137" s="26"/>
      <c r="AI1137" s="26"/>
      <c r="AJ1137" s="26"/>
      <c r="AK1137" s="26"/>
      <c r="AL1137" s="26"/>
      <c r="AM1137" s="26"/>
      <c r="AN1137" s="26"/>
    </row>
    <row r="1138">
      <c r="A1138" s="31"/>
      <c r="B1138" s="32"/>
      <c r="C1138" s="33"/>
      <c r="D1138" s="33"/>
      <c r="E1138" s="27"/>
      <c r="F1138" s="29"/>
      <c r="G1138" s="34"/>
      <c r="H1138" s="34"/>
      <c r="I1138" s="34"/>
      <c r="J1138" s="21"/>
      <c r="K1138" s="22"/>
      <c r="L1138" s="23"/>
      <c r="M1138" s="24"/>
      <c r="N1138" s="25"/>
      <c r="O1138" s="26"/>
      <c r="P1138" s="26"/>
      <c r="Q1138" s="25"/>
      <c r="R1138" s="25"/>
      <c r="S1138" s="26"/>
      <c r="T1138" s="26"/>
      <c r="U1138" s="26"/>
      <c r="V1138" s="26"/>
      <c r="W1138" s="26"/>
      <c r="X1138" s="26"/>
      <c r="Y1138" s="26"/>
      <c r="Z1138" s="26"/>
      <c r="AA1138" s="26"/>
      <c r="AB1138" s="26"/>
      <c r="AC1138" s="26"/>
      <c r="AD1138" s="26"/>
      <c r="AE1138" s="26"/>
      <c r="AF1138" s="26"/>
      <c r="AG1138" s="26"/>
      <c r="AH1138" s="26"/>
      <c r="AI1138" s="26"/>
      <c r="AJ1138" s="26"/>
      <c r="AK1138" s="26"/>
      <c r="AL1138" s="26"/>
      <c r="AM1138" s="26"/>
      <c r="AN1138" s="26"/>
    </row>
    <row r="1139">
      <c r="A1139" s="31"/>
      <c r="B1139" s="32"/>
      <c r="C1139" s="33"/>
      <c r="D1139" s="33"/>
      <c r="E1139" s="27"/>
      <c r="F1139" s="29"/>
      <c r="G1139" s="34"/>
      <c r="H1139" s="34"/>
      <c r="I1139" s="34"/>
      <c r="J1139" s="21"/>
      <c r="K1139" s="22"/>
      <c r="L1139" s="23"/>
      <c r="M1139" s="24"/>
      <c r="N1139" s="25"/>
      <c r="O1139" s="26"/>
      <c r="P1139" s="26"/>
      <c r="Q1139" s="25"/>
      <c r="R1139" s="25"/>
      <c r="S1139" s="26"/>
      <c r="T1139" s="26"/>
      <c r="U1139" s="26"/>
      <c r="V1139" s="26"/>
      <c r="W1139" s="26"/>
      <c r="X1139" s="26"/>
      <c r="Y1139" s="26"/>
      <c r="Z1139" s="26"/>
      <c r="AA1139" s="26"/>
      <c r="AB1139" s="26"/>
      <c r="AC1139" s="26"/>
      <c r="AD1139" s="26"/>
      <c r="AE1139" s="26"/>
      <c r="AF1139" s="26"/>
      <c r="AG1139" s="26"/>
      <c r="AH1139" s="26"/>
      <c r="AI1139" s="26"/>
      <c r="AJ1139" s="26"/>
      <c r="AK1139" s="26"/>
      <c r="AL1139" s="26"/>
      <c r="AM1139" s="26"/>
      <c r="AN1139" s="26"/>
    </row>
    <row r="1140">
      <c r="A1140" s="31"/>
      <c r="B1140" s="32"/>
      <c r="C1140" s="33"/>
      <c r="D1140" s="33"/>
      <c r="E1140" s="27"/>
      <c r="F1140" s="29"/>
      <c r="G1140" s="34"/>
      <c r="H1140" s="34"/>
      <c r="I1140" s="34"/>
      <c r="J1140" s="21"/>
      <c r="K1140" s="22"/>
      <c r="L1140" s="23"/>
      <c r="M1140" s="24"/>
      <c r="N1140" s="25"/>
      <c r="O1140" s="26"/>
      <c r="P1140" s="26"/>
      <c r="Q1140" s="25"/>
      <c r="R1140" s="25"/>
      <c r="S1140" s="26"/>
      <c r="T1140" s="26"/>
      <c r="U1140" s="26"/>
      <c r="V1140" s="26"/>
      <c r="W1140" s="26"/>
      <c r="X1140" s="26"/>
      <c r="Y1140" s="26"/>
      <c r="Z1140" s="26"/>
      <c r="AA1140" s="26"/>
      <c r="AB1140" s="26"/>
      <c r="AC1140" s="26"/>
      <c r="AD1140" s="26"/>
      <c r="AE1140" s="26"/>
      <c r="AF1140" s="26"/>
      <c r="AG1140" s="26"/>
      <c r="AH1140" s="26"/>
      <c r="AI1140" s="26"/>
      <c r="AJ1140" s="26"/>
      <c r="AK1140" s="26"/>
      <c r="AL1140" s="26"/>
      <c r="AM1140" s="26"/>
      <c r="AN1140" s="26"/>
    </row>
    <row r="1141">
      <c r="A1141" s="31"/>
      <c r="B1141" s="32"/>
      <c r="C1141" s="33"/>
      <c r="D1141" s="33"/>
      <c r="E1141" s="27"/>
      <c r="F1141" s="29"/>
      <c r="G1141" s="34"/>
      <c r="H1141" s="34"/>
      <c r="I1141" s="34"/>
      <c r="J1141" s="21"/>
      <c r="K1141" s="22"/>
      <c r="L1141" s="23"/>
      <c r="M1141" s="24"/>
      <c r="N1141" s="25"/>
      <c r="O1141" s="26"/>
      <c r="P1141" s="26"/>
      <c r="Q1141" s="25"/>
      <c r="R1141" s="25"/>
      <c r="S1141" s="26"/>
      <c r="T1141" s="26"/>
      <c r="U1141" s="26"/>
      <c r="V1141" s="26"/>
      <c r="W1141" s="26"/>
      <c r="X1141" s="26"/>
      <c r="Y1141" s="26"/>
      <c r="Z1141" s="26"/>
      <c r="AA1141" s="26"/>
      <c r="AB1141" s="26"/>
      <c r="AC1141" s="26"/>
      <c r="AD1141" s="26"/>
      <c r="AE1141" s="26"/>
      <c r="AF1141" s="26"/>
      <c r="AG1141" s="26"/>
      <c r="AH1141" s="26"/>
      <c r="AI1141" s="26"/>
      <c r="AJ1141" s="26"/>
      <c r="AK1141" s="26"/>
      <c r="AL1141" s="26"/>
      <c r="AM1141" s="26"/>
      <c r="AN1141" s="26"/>
    </row>
    <row r="1142">
      <c r="A1142" s="31"/>
      <c r="B1142" s="32"/>
      <c r="C1142" s="33"/>
      <c r="D1142" s="33"/>
      <c r="E1142" s="27"/>
      <c r="F1142" s="29"/>
      <c r="G1142" s="34"/>
      <c r="H1142" s="34"/>
      <c r="I1142" s="34"/>
      <c r="J1142" s="21"/>
      <c r="K1142" s="22"/>
      <c r="L1142" s="23"/>
      <c r="M1142" s="24"/>
      <c r="N1142" s="25"/>
      <c r="O1142" s="26"/>
      <c r="P1142" s="26"/>
      <c r="Q1142" s="25"/>
      <c r="R1142" s="25"/>
      <c r="S1142" s="26"/>
      <c r="T1142" s="26"/>
      <c r="U1142" s="26"/>
      <c r="V1142" s="26"/>
      <c r="W1142" s="26"/>
      <c r="X1142" s="26"/>
      <c r="Y1142" s="26"/>
      <c r="Z1142" s="26"/>
      <c r="AA1142" s="26"/>
      <c r="AB1142" s="26"/>
      <c r="AC1142" s="26"/>
      <c r="AD1142" s="26"/>
      <c r="AE1142" s="26"/>
      <c r="AF1142" s="26"/>
      <c r="AG1142" s="26"/>
      <c r="AH1142" s="26"/>
      <c r="AI1142" s="26"/>
      <c r="AJ1142" s="26"/>
      <c r="AK1142" s="26"/>
      <c r="AL1142" s="26"/>
      <c r="AM1142" s="26"/>
      <c r="AN1142" s="26"/>
    </row>
    <row r="1143">
      <c r="A1143" s="31"/>
      <c r="B1143" s="32"/>
      <c r="C1143" s="33"/>
      <c r="D1143" s="33"/>
      <c r="E1143" s="27"/>
      <c r="F1143" s="29"/>
      <c r="G1143" s="34"/>
      <c r="H1143" s="34"/>
      <c r="I1143" s="34"/>
      <c r="J1143" s="21"/>
      <c r="K1143" s="22"/>
      <c r="L1143" s="23"/>
      <c r="M1143" s="24"/>
      <c r="N1143" s="25"/>
      <c r="O1143" s="26"/>
      <c r="P1143" s="26"/>
      <c r="Q1143" s="25"/>
      <c r="R1143" s="25"/>
      <c r="S1143" s="26"/>
      <c r="T1143" s="26"/>
      <c r="U1143" s="26"/>
      <c r="V1143" s="26"/>
      <c r="W1143" s="26"/>
      <c r="X1143" s="26"/>
      <c r="Y1143" s="26"/>
      <c r="Z1143" s="26"/>
      <c r="AA1143" s="26"/>
      <c r="AB1143" s="26"/>
      <c r="AC1143" s="26"/>
      <c r="AD1143" s="26"/>
      <c r="AE1143" s="26"/>
      <c r="AF1143" s="26"/>
      <c r="AG1143" s="26"/>
      <c r="AH1143" s="26"/>
      <c r="AI1143" s="26"/>
      <c r="AJ1143" s="26"/>
      <c r="AK1143" s="26"/>
      <c r="AL1143" s="26"/>
      <c r="AM1143" s="26"/>
      <c r="AN1143" s="26"/>
    </row>
    <row r="1144">
      <c r="A1144" s="31"/>
      <c r="B1144" s="32"/>
      <c r="C1144" s="33"/>
      <c r="D1144" s="33"/>
      <c r="E1144" s="27"/>
      <c r="F1144" s="29"/>
      <c r="G1144" s="34"/>
      <c r="H1144" s="34"/>
      <c r="I1144" s="34"/>
      <c r="J1144" s="21"/>
      <c r="K1144" s="22"/>
      <c r="L1144" s="23"/>
      <c r="M1144" s="24"/>
      <c r="N1144" s="25"/>
      <c r="O1144" s="26"/>
      <c r="P1144" s="26"/>
      <c r="Q1144" s="25"/>
      <c r="R1144" s="25"/>
      <c r="S1144" s="26"/>
      <c r="T1144" s="26"/>
      <c r="U1144" s="26"/>
      <c r="V1144" s="26"/>
      <c r="W1144" s="26"/>
      <c r="X1144" s="26"/>
      <c r="Y1144" s="26"/>
      <c r="Z1144" s="26"/>
      <c r="AA1144" s="26"/>
      <c r="AB1144" s="26"/>
      <c r="AC1144" s="26"/>
      <c r="AD1144" s="26"/>
      <c r="AE1144" s="26"/>
      <c r="AF1144" s="26"/>
      <c r="AG1144" s="26"/>
      <c r="AH1144" s="26"/>
      <c r="AI1144" s="26"/>
      <c r="AJ1144" s="26"/>
      <c r="AK1144" s="26"/>
      <c r="AL1144" s="26"/>
      <c r="AM1144" s="26"/>
      <c r="AN1144" s="26"/>
    </row>
    <row r="1145">
      <c r="A1145" s="31"/>
      <c r="B1145" s="32"/>
      <c r="C1145" s="33"/>
      <c r="D1145" s="33"/>
      <c r="E1145" s="27"/>
      <c r="F1145" s="29"/>
      <c r="G1145" s="34"/>
      <c r="H1145" s="34"/>
      <c r="I1145" s="34"/>
      <c r="J1145" s="21"/>
      <c r="K1145" s="22"/>
      <c r="L1145" s="23"/>
      <c r="M1145" s="24"/>
      <c r="N1145" s="25"/>
      <c r="O1145" s="26"/>
      <c r="P1145" s="26"/>
      <c r="Q1145" s="25"/>
      <c r="R1145" s="25"/>
      <c r="S1145" s="26"/>
      <c r="T1145" s="26"/>
      <c r="U1145" s="26"/>
      <c r="V1145" s="26"/>
      <c r="W1145" s="26"/>
      <c r="X1145" s="26"/>
      <c r="Y1145" s="26"/>
      <c r="Z1145" s="26"/>
      <c r="AA1145" s="26"/>
      <c r="AB1145" s="26"/>
      <c r="AC1145" s="26"/>
      <c r="AD1145" s="26"/>
      <c r="AE1145" s="26"/>
      <c r="AF1145" s="26"/>
      <c r="AG1145" s="26"/>
      <c r="AH1145" s="26"/>
      <c r="AI1145" s="26"/>
      <c r="AJ1145" s="26"/>
      <c r="AK1145" s="26"/>
      <c r="AL1145" s="26"/>
      <c r="AM1145" s="26"/>
      <c r="AN1145" s="26"/>
    </row>
    <row r="1146">
      <c r="A1146" s="31"/>
      <c r="B1146" s="32"/>
      <c r="C1146" s="33"/>
      <c r="D1146" s="33"/>
      <c r="E1146" s="27"/>
      <c r="F1146" s="29"/>
      <c r="G1146" s="34"/>
      <c r="H1146" s="34"/>
      <c r="I1146" s="34"/>
      <c r="J1146" s="21"/>
      <c r="K1146" s="22"/>
      <c r="L1146" s="23"/>
      <c r="M1146" s="24"/>
      <c r="N1146" s="25"/>
      <c r="O1146" s="26"/>
      <c r="P1146" s="26"/>
      <c r="Q1146" s="25"/>
      <c r="R1146" s="25"/>
      <c r="S1146" s="26"/>
      <c r="T1146" s="26"/>
      <c r="U1146" s="26"/>
      <c r="V1146" s="26"/>
      <c r="W1146" s="26"/>
      <c r="X1146" s="26"/>
      <c r="Y1146" s="26"/>
      <c r="Z1146" s="26"/>
      <c r="AA1146" s="26"/>
      <c r="AB1146" s="26"/>
      <c r="AC1146" s="26"/>
      <c r="AD1146" s="26"/>
      <c r="AE1146" s="26"/>
      <c r="AF1146" s="26"/>
      <c r="AG1146" s="26"/>
      <c r="AH1146" s="26"/>
      <c r="AI1146" s="26"/>
      <c r="AJ1146" s="26"/>
      <c r="AK1146" s="26"/>
      <c r="AL1146" s="26"/>
      <c r="AM1146" s="26"/>
      <c r="AN1146" s="26"/>
    </row>
    <row r="1147">
      <c r="A1147" s="31"/>
      <c r="B1147" s="32"/>
      <c r="C1147" s="33"/>
      <c r="D1147" s="33"/>
      <c r="E1147" s="27"/>
      <c r="F1147" s="29"/>
      <c r="G1147" s="34"/>
      <c r="H1147" s="34"/>
      <c r="I1147" s="34"/>
      <c r="J1147" s="21"/>
      <c r="K1147" s="22"/>
      <c r="L1147" s="23"/>
      <c r="M1147" s="24"/>
      <c r="N1147" s="25"/>
      <c r="O1147" s="26"/>
      <c r="P1147" s="26"/>
      <c r="Q1147" s="25"/>
      <c r="R1147" s="25"/>
      <c r="S1147" s="26"/>
      <c r="T1147" s="26"/>
      <c r="U1147" s="26"/>
      <c r="V1147" s="26"/>
      <c r="W1147" s="26"/>
      <c r="X1147" s="26"/>
      <c r="Y1147" s="26"/>
      <c r="Z1147" s="26"/>
      <c r="AA1147" s="26"/>
      <c r="AB1147" s="26"/>
      <c r="AC1147" s="26"/>
      <c r="AD1147" s="26"/>
      <c r="AE1147" s="26"/>
      <c r="AF1147" s="26"/>
      <c r="AG1147" s="26"/>
      <c r="AH1147" s="26"/>
      <c r="AI1147" s="26"/>
      <c r="AJ1147" s="26"/>
      <c r="AK1147" s="26"/>
      <c r="AL1147" s="26"/>
      <c r="AM1147" s="26"/>
      <c r="AN1147" s="26"/>
    </row>
    <row r="1148">
      <c r="A1148" s="31"/>
      <c r="B1148" s="32"/>
      <c r="C1148" s="33"/>
      <c r="D1148" s="33"/>
      <c r="E1148" s="27"/>
      <c r="F1148" s="29"/>
      <c r="G1148" s="34"/>
      <c r="H1148" s="34"/>
      <c r="I1148" s="34"/>
      <c r="J1148" s="21"/>
      <c r="K1148" s="22"/>
      <c r="L1148" s="23"/>
      <c r="M1148" s="24"/>
      <c r="N1148" s="25"/>
      <c r="O1148" s="26"/>
      <c r="P1148" s="26"/>
      <c r="Q1148" s="25"/>
      <c r="R1148" s="25"/>
      <c r="S1148" s="26"/>
      <c r="T1148" s="26"/>
      <c r="U1148" s="26"/>
      <c r="V1148" s="26"/>
      <c r="W1148" s="26"/>
      <c r="X1148" s="26"/>
      <c r="Y1148" s="26"/>
      <c r="Z1148" s="26"/>
      <c r="AA1148" s="26"/>
      <c r="AB1148" s="26"/>
      <c r="AC1148" s="26"/>
      <c r="AD1148" s="26"/>
      <c r="AE1148" s="26"/>
      <c r="AF1148" s="26"/>
      <c r="AG1148" s="26"/>
      <c r="AH1148" s="26"/>
      <c r="AI1148" s="26"/>
      <c r="AJ1148" s="26"/>
      <c r="AK1148" s="26"/>
      <c r="AL1148" s="26"/>
      <c r="AM1148" s="26"/>
      <c r="AN1148" s="26"/>
    </row>
    <row r="1149">
      <c r="A1149" s="31"/>
      <c r="B1149" s="32"/>
      <c r="C1149" s="33"/>
      <c r="D1149" s="33"/>
      <c r="E1149" s="27"/>
      <c r="F1149" s="29"/>
      <c r="G1149" s="34"/>
      <c r="H1149" s="34"/>
      <c r="I1149" s="34"/>
      <c r="J1149" s="21"/>
      <c r="K1149" s="22"/>
      <c r="L1149" s="23"/>
      <c r="M1149" s="24"/>
      <c r="N1149" s="25"/>
      <c r="O1149" s="26"/>
      <c r="P1149" s="26"/>
      <c r="Q1149" s="25"/>
      <c r="R1149" s="25"/>
      <c r="S1149" s="26"/>
      <c r="T1149" s="26"/>
      <c r="U1149" s="26"/>
      <c r="V1149" s="26"/>
      <c r="W1149" s="26"/>
      <c r="X1149" s="26"/>
      <c r="Y1149" s="26"/>
      <c r="Z1149" s="26"/>
      <c r="AA1149" s="26"/>
      <c r="AB1149" s="26"/>
      <c r="AC1149" s="26"/>
      <c r="AD1149" s="26"/>
      <c r="AE1149" s="26"/>
      <c r="AF1149" s="26"/>
      <c r="AG1149" s="26"/>
      <c r="AH1149" s="26"/>
      <c r="AI1149" s="26"/>
      <c r="AJ1149" s="26"/>
      <c r="AK1149" s="26"/>
      <c r="AL1149" s="26"/>
      <c r="AM1149" s="26"/>
      <c r="AN1149" s="26"/>
    </row>
    <row r="1150">
      <c r="A1150" s="31"/>
      <c r="B1150" s="32"/>
      <c r="C1150" s="33"/>
      <c r="D1150" s="33"/>
      <c r="E1150" s="27"/>
      <c r="F1150" s="29"/>
      <c r="G1150" s="34"/>
      <c r="H1150" s="34"/>
      <c r="I1150" s="34"/>
      <c r="J1150" s="21"/>
      <c r="K1150" s="22"/>
      <c r="L1150" s="23"/>
      <c r="M1150" s="24"/>
      <c r="N1150" s="25"/>
      <c r="O1150" s="26"/>
      <c r="P1150" s="26"/>
      <c r="Q1150" s="25"/>
      <c r="R1150" s="25"/>
      <c r="S1150" s="26"/>
      <c r="T1150" s="26"/>
      <c r="U1150" s="26"/>
      <c r="V1150" s="26"/>
      <c r="W1150" s="26"/>
      <c r="X1150" s="26"/>
      <c r="Y1150" s="26"/>
      <c r="Z1150" s="26"/>
      <c r="AA1150" s="26"/>
      <c r="AB1150" s="26"/>
      <c r="AC1150" s="26"/>
      <c r="AD1150" s="26"/>
      <c r="AE1150" s="26"/>
      <c r="AF1150" s="26"/>
      <c r="AG1150" s="26"/>
      <c r="AH1150" s="26"/>
      <c r="AI1150" s="26"/>
      <c r="AJ1150" s="26"/>
      <c r="AK1150" s="26"/>
      <c r="AL1150" s="26"/>
      <c r="AM1150" s="26"/>
      <c r="AN1150" s="26"/>
    </row>
    <row r="1151">
      <c r="A1151" s="31"/>
      <c r="B1151" s="32"/>
      <c r="C1151" s="33"/>
      <c r="D1151" s="33"/>
      <c r="E1151" s="27"/>
      <c r="F1151" s="29"/>
      <c r="G1151" s="34"/>
      <c r="H1151" s="34"/>
      <c r="I1151" s="34"/>
      <c r="J1151" s="21"/>
      <c r="K1151" s="22"/>
      <c r="L1151" s="23"/>
      <c r="M1151" s="24"/>
      <c r="N1151" s="25"/>
      <c r="O1151" s="26"/>
      <c r="P1151" s="26"/>
      <c r="Q1151" s="25"/>
      <c r="R1151" s="25"/>
      <c r="S1151" s="26"/>
      <c r="T1151" s="26"/>
      <c r="U1151" s="26"/>
      <c r="V1151" s="26"/>
      <c r="W1151" s="26"/>
      <c r="X1151" s="26"/>
      <c r="Y1151" s="26"/>
      <c r="Z1151" s="26"/>
      <c r="AA1151" s="26"/>
      <c r="AB1151" s="26"/>
      <c r="AC1151" s="26"/>
      <c r="AD1151" s="26"/>
      <c r="AE1151" s="26"/>
      <c r="AF1151" s="26"/>
      <c r="AG1151" s="26"/>
      <c r="AH1151" s="26"/>
      <c r="AI1151" s="26"/>
      <c r="AJ1151" s="26"/>
      <c r="AK1151" s="26"/>
      <c r="AL1151" s="26"/>
      <c r="AM1151" s="26"/>
      <c r="AN1151" s="26"/>
    </row>
    <row r="1152">
      <c r="A1152" s="31"/>
      <c r="B1152" s="32"/>
      <c r="C1152" s="33"/>
      <c r="D1152" s="33"/>
      <c r="E1152" s="27"/>
      <c r="F1152" s="29"/>
      <c r="G1152" s="34"/>
      <c r="H1152" s="34"/>
      <c r="I1152" s="34"/>
      <c r="J1152" s="21"/>
      <c r="K1152" s="22"/>
      <c r="L1152" s="23"/>
      <c r="M1152" s="24"/>
      <c r="N1152" s="25"/>
      <c r="O1152" s="26"/>
      <c r="P1152" s="26"/>
      <c r="Q1152" s="25"/>
      <c r="R1152" s="25"/>
      <c r="S1152" s="26"/>
      <c r="T1152" s="26"/>
      <c r="U1152" s="26"/>
      <c r="V1152" s="26"/>
      <c r="W1152" s="26"/>
      <c r="X1152" s="26"/>
      <c r="Y1152" s="26"/>
      <c r="Z1152" s="26"/>
      <c r="AA1152" s="26"/>
      <c r="AB1152" s="26"/>
      <c r="AC1152" s="26"/>
      <c r="AD1152" s="26"/>
      <c r="AE1152" s="26"/>
      <c r="AF1152" s="26"/>
      <c r="AG1152" s="26"/>
      <c r="AH1152" s="26"/>
      <c r="AI1152" s="26"/>
      <c r="AJ1152" s="26"/>
      <c r="AK1152" s="26"/>
      <c r="AL1152" s="26"/>
      <c r="AM1152" s="26"/>
      <c r="AN1152" s="26"/>
    </row>
    <row r="1153">
      <c r="A1153" s="31"/>
      <c r="B1153" s="32"/>
      <c r="C1153" s="33"/>
      <c r="D1153" s="33"/>
      <c r="E1153" s="27"/>
      <c r="F1153" s="29"/>
      <c r="G1153" s="34"/>
      <c r="H1153" s="34"/>
      <c r="I1153" s="34"/>
      <c r="J1153" s="21"/>
      <c r="K1153" s="22"/>
      <c r="L1153" s="23"/>
      <c r="M1153" s="24"/>
      <c r="N1153" s="25"/>
      <c r="O1153" s="26"/>
      <c r="P1153" s="26"/>
      <c r="Q1153" s="25"/>
      <c r="R1153" s="25"/>
      <c r="S1153" s="26"/>
      <c r="T1153" s="26"/>
      <c r="U1153" s="26"/>
      <c r="V1153" s="26"/>
      <c r="W1153" s="26"/>
      <c r="X1153" s="26"/>
      <c r="Y1153" s="26"/>
      <c r="Z1153" s="26"/>
      <c r="AA1153" s="26"/>
      <c r="AB1153" s="26"/>
      <c r="AC1153" s="26"/>
      <c r="AD1153" s="26"/>
      <c r="AE1153" s="26"/>
      <c r="AF1153" s="26"/>
      <c r="AG1153" s="26"/>
      <c r="AH1153" s="26"/>
      <c r="AI1153" s="26"/>
      <c r="AJ1153" s="26"/>
      <c r="AK1153" s="26"/>
      <c r="AL1153" s="26"/>
      <c r="AM1153" s="26"/>
      <c r="AN1153" s="26"/>
    </row>
    <row r="1154">
      <c r="A1154" s="31"/>
      <c r="B1154" s="32"/>
      <c r="C1154" s="33"/>
      <c r="D1154" s="33"/>
      <c r="E1154" s="27"/>
      <c r="F1154" s="29"/>
      <c r="G1154" s="34"/>
      <c r="H1154" s="34"/>
      <c r="I1154" s="34"/>
      <c r="J1154" s="21"/>
      <c r="K1154" s="22"/>
      <c r="L1154" s="23"/>
      <c r="M1154" s="24"/>
      <c r="N1154" s="25"/>
      <c r="O1154" s="26"/>
      <c r="P1154" s="26"/>
      <c r="Q1154" s="25"/>
      <c r="R1154" s="25"/>
      <c r="S1154" s="26"/>
      <c r="T1154" s="26"/>
      <c r="U1154" s="26"/>
      <c r="V1154" s="26"/>
      <c r="W1154" s="26"/>
      <c r="X1154" s="26"/>
      <c r="Y1154" s="26"/>
      <c r="Z1154" s="26"/>
      <c r="AA1154" s="26"/>
      <c r="AB1154" s="26"/>
      <c r="AC1154" s="26"/>
      <c r="AD1154" s="26"/>
      <c r="AE1154" s="26"/>
      <c r="AF1154" s="26"/>
      <c r="AG1154" s="26"/>
      <c r="AH1154" s="26"/>
      <c r="AI1154" s="26"/>
      <c r="AJ1154" s="26"/>
      <c r="AK1154" s="26"/>
      <c r="AL1154" s="26"/>
      <c r="AM1154" s="26"/>
      <c r="AN1154" s="26"/>
    </row>
    <row r="1155">
      <c r="A1155" s="31"/>
      <c r="B1155" s="32"/>
      <c r="C1155" s="33"/>
      <c r="D1155" s="33"/>
      <c r="E1155" s="27"/>
      <c r="F1155" s="29"/>
      <c r="G1155" s="34"/>
      <c r="H1155" s="34"/>
      <c r="I1155" s="34"/>
      <c r="J1155" s="21"/>
      <c r="K1155" s="22"/>
      <c r="L1155" s="23"/>
      <c r="M1155" s="24"/>
      <c r="N1155" s="25"/>
      <c r="O1155" s="26"/>
      <c r="P1155" s="26"/>
      <c r="Q1155" s="25"/>
      <c r="R1155" s="25"/>
      <c r="S1155" s="26"/>
      <c r="T1155" s="26"/>
      <c r="U1155" s="26"/>
      <c r="V1155" s="26"/>
      <c r="W1155" s="26"/>
      <c r="X1155" s="26"/>
      <c r="Y1155" s="26"/>
      <c r="Z1155" s="26"/>
      <c r="AA1155" s="26"/>
      <c r="AB1155" s="26"/>
      <c r="AC1155" s="26"/>
      <c r="AD1155" s="26"/>
      <c r="AE1155" s="26"/>
      <c r="AF1155" s="26"/>
      <c r="AG1155" s="26"/>
      <c r="AH1155" s="26"/>
      <c r="AI1155" s="26"/>
      <c r="AJ1155" s="26"/>
      <c r="AK1155" s="26"/>
      <c r="AL1155" s="26"/>
      <c r="AM1155" s="26"/>
      <c r="AN1155" s="26"/>
    </row>
    <row r="1156">
      <c r="A1156" s="31"/>
      <c r="B1156" s="32"/>
      <c r="C1156" s="33"/>
      <c r="D1156" s="33"/>
      <c r="E1156" s="27"/>
      <c r="F1156" s="29"/>
      <c r="G1156" s="34"/>
      <c r="H1156" s="34"/>
      <c r="I1156" s="34"/>
      <c r="J1156" s="21"/>
      <c r="K1156" s="22"/>
      <c r="L1156" s="23"/>
      <c r="M1156" s="24"/>
      <c r="N1156" s="25"/>
      <c r="O1156" s="26"/>
      <c r="P1156" s="26"/>
      <c r="Q1156" s="25"/>
      <c r="R1156" s="25"/>
      <c r="S1156" s="26"/>
      <c r="T1156" s="26"/>
      <c r="U1156" s="26"/>
      <c r="V1156" s="26"/>
      <c r="W1156" s="26"/>
      <c r="X1156" s="26"/>
      <c r="Y1156" s="26"/>
      <c r="Z1156" s="26"/>
      <c r="AA1156" s="26"/>
      <c r="AB1156" s="26"/>
      <c r="AC1156" s="26"/>
      <c r="AD1156" s="26"/>
      <c r="AE1156" s="26"/>
      <c r="AF1156" s="26"/>
      <c r="AG1156" s="26"/>
      <c r="AH1156" s="26"/>
      <c r="AI1156" s="26"/>
      <c r="AJ1156" s="26"/>
      <c r="AK1156" s="26"/>
      <c r="AL1156" s="26"/>
      <c r="AM1156" s="26"/>
      <c r="AN1156" s="26"/>
    </row>
    <row r="1157">
      <c r="A1157" s="31"/>
      <c r="B1157" s="32"/>
      <c r="C1157" s="33"/>
      <c r="D1157" s="33"/>
      <c r="E1157" s="27"/>
      <c r="F1157" s="29"/>
      <c r="G1157" s="34"/>
      <c r="H1157" s="34"/>
      <c r="I1157" s="34"/>
      <c r="J1157" s="21"/>
      <c r="K1157" s="22"/>
      <c r="L1157" s="23"/>
      <c r="M1157" s="24"/>
      <c r="N1157" s="25"/>
      <c r="O1157" s="26"/>
      <c r="P1157" s="26"/>
      <c r="Q1157" s="25"/>
      <c r="R1157" s="25"/>
      <c r="S1157" s="26"/>
      <c r="T1157" s="26"/>
      <c r="U1157" s="26"/>
      <c r="V1157" s="26"/>
      <c r="W1157" s="26"/>
      <c r="X1157" s="26"/>
      <c r="Y1157" s="26"/>
      <c r="Z1157" s="26"/>
      <c r="AA1157" s="26"/>
      <c r="AB1157" s="26"/>
      <c r="AC1157" s="26"/>
      <c r="AD1157" s="26"/>
      <c r="AE1157" s="26"/>
      <c r="AF1157" s="26"/>
      <c r="AG1157" s="26"/>
      <c r="AH1157" s="26"/>
      <c r="AI1157" s="26"/>
      <c r="AJ1157" s="26"/>
      <c r="AK1157" s="26"/>
      <c r="AL1157" s="26"/>
      <c r="AM1157" s="26"/>
      <c r="AN1157" s="26"/>
    </row>
    <row r="1158">
      <c r="A1158" s="31"/>
      <c r="B1158" s="32"/>
      <c r="C1158" s="33"/>
      <c r="D1158" s="33"/>
      <c r="E1158" s="27"/>
      <c r="F1158" s="29"/>
      <c r="G1158" s="34"/>
      <c r="H1158" s="34"/>
      <c r="I1158" s="34"/>
      <c r="J1158" s="21"/>
      <c r="K1158" s="22"/>
      <c r="L1158" s="23"/>
      <c r="M1158" s="24"/>
      <c r="N1158" s="25"/>
      <c r="O1158" s="26"/>
      <c r="P1158" s="26"/>
      <c r="Q1158" s="25"/>
      <c r="R1158" s="25"/>
      <c r="S1158" s="26"/>
      <c r="T1158" s="26"/>
      <c r="U1158" s="26"/>
      <c r="V1158" s="26"/>
      <c r="W1158" s="26"/>
      <c r="X1158" s="26"/>
      <c r="Y1158" s="26"/>
      <c r="Z1158" s="26"/>
      <c r="AA1158" s="26"/>
      <c r="AB1158" s="26"/>
      <c r="AC1158" s="26"/>
      <c r="AD1158" s="26"/>
      <c r="AE1158" s="26"/>
      <c r="AF1158" s="26"/>
      <c r="AG1158" s="26"/>
      <c r="AH1158" s="26"/>
      <c r="AI1158" s="26"/>
      <c r="AJ1158" s="26"/>
      <c r="AK1158" s="26"/>
      <c r="AL1158" s="26"/>
      <c r="AM1158" s="26"/>
      <c r="AN1158" s="26"/>
    </row>
    <row r="1159">
      <c r="A1159" s="31"/>
      <c r="B1159" s="32"/>
      <c r="C1159" s="33"/>
      <c r="D1159" s="33"/>
      <c r="E1159" s="27"/>
      <c r="F1159" s="29"/>
      <c r="G1159" s="34"/>
      <c r="H1159" s="34"/>
      <c r="I1159" s="34"/>
      <c r="J1159" s="21"/>
      <c r="K1159" s="22"/>
      <c r="L1159" s="23"/>
      <c r="M1159" s="24"/>
      <c r="N1159" s="25"/>
      <c r="O1159" s="26"/>
      <c r="P1159" s="26"/>
      <c r="Q1159" s="25"/>
      <c r="R1159" s="25"/>
      <c r="S1159" s="26"/>
      <c r="T1159" s="26"/>
      <c r="U1159" s="26"/>
      <c r="V1159" s="26"/>
      <c r="W1159" s="26"/>
      <c r="X1159" s="26"/>
      <c r="Y1159" s="26"/>
      <c r="Z1159" s="26"/>
      <c r="AA1159" s="26"/>
      <c r="AB1159" s="26"/>
      <c r="AC1159" s="26"/>
      <c r="AD1159" s="26"/>
      <c r="AE1159" s="26"/>
      <c r="AF1159" s="26"/>
      <c r="AG1159" s="26"/>
      <c r="AH1159" s="26"/>
      <c r="AI1159" s="26"/>
      <c r="AJ1159" s="26"/>
      <c r="AK1159" s="26"/>
      <c r="AL1159" s="26"/>
      <c r="AM1159" s="26"/>
      <c r="AN1159" s="26"/>
    </row>
    <row r="1160">
      <c r="A1160" s="31"/>
      <c r="B1160" s="32"/>
      <c r="C1160" s="33"/>
      <c r="D1160" s="33"/>
      <c r="E1160" s="27"/>
      <c r="F1160" s="29"/>
      <c r="G1160" s="34"/>
      <c r="H1160" s="34"/>
      <c r="I1160" s="34"/>
      <c r="J1160" s="21"/>
      <c r="K1160" s="22"/>
      <c r="L1160" s="23"/>
      <c r="M1160" s="24"/>
      <c r="N1160" s="25"/>
      <c r="O1160" s="26"/>
      <c r="P1160" s="26"/>
      <c r="Q1160" s="25"/>
      <c r="R1160" s="25"/>
      <c r="S1160" s="26"/>
      <c r="T1160" s="26"/>
      <c r="U1160" s="26"/>
      <c r="V1160" s="26"/>
      <c r="W1160" s="26"/>
      <c r="X1160" s="26"/>
      <c r="Y1160" s="26"/>
      <c r="Z1160" s="26"/>
      <c r="AA1160" s="26"/>
      <c r="AB1160" s="26"/>
      <c r="AC1160" s="26"/>
      <c r="AD1160" s="26"/>
      <c r="AE1160" s="26"/>
      <c r="AF1160" s="26"/>
      <c r="AG1160" s="26"/>
      <c r="AH1160" s="26"/>
      <c r="AI1160" s="26"/>
      <c r="AJ1160" s="26"/>
      <c r="AK1160" s="26"/>
      <c r="AL1160" s="26"/>
      <c r="AM1160" s="26"/>
      <c r="AN1160" s="26"/>
    </row>
    <row r="1161">
      <c r="A1161" s="31"/>
      <c r="B1161" s="32"/>
      <c r="C1161" s="33"/>
      <c r="D1161" s="33"/>
      <c r="E1161" s="27"/>
      <c r="F1161" s="29"/>
      <c r="G1161" s="34"/>
      <c r="H1161" s="34"/>
      <c r="I1161" s="34"/>
      <c r="J1161" s="21"/>
      <c r="K1161" s="22"/>
      <c r="L1161" s="23"/>
      <c r="M1161" s="24"/>
      <c r="N1161" s="25"/>
      <c r="O1161" s="26"/>
      <c r="P1161" s="26"/>
      <c r="Q1161" s="25"/>
      <c r="R1161" s="25"/>
      <c r="S1161" s="26"/>
      <c r="T1161" s="26"/>
      <c r="U1161" s="26"/>
      <c r="V1161" s="26"/>
      <c r="W1161" s="26"/>
      <c r="X1161" s="26"/>
      <c r="Y1161" s="26"/>
      <c r="Z1161" s="26"/>
      <c r="AA1161" s="26"/>
      <c r="AB1161" s="26"/>
      <c r="AC1161" s="26"/>
      <c r="AD1161" s="26"/>
      <c r="AE1161" s="26"/>
      <c r="AF1161" s="26"/>
      <c r="AG1161" s="26"/>
      <c r="AH1161" s="26"/>
      <c r="AI1161" s="26"/>
      <c r="AJ1161" s="26"/>
      <c r="AK1161" s="26"/>
      <c r="AL1161" s="26"/>
      <c r="AM1161" s="26"/>
      <c r="AN1161" s="26"/>
    </row>
    <row r="1162">
      <c r="A1162" s="31"/>
      <c r="B1162" s="32"/>
      <c r="C1162" s="33"/>
      <c r="D1162" s="33"/>
      <c r="E1162" s="27"/>
      <c r="F1162" s="29"/>
      <c r="G1162" s="34"/>
      <c r="H1162" s="34"/>
      <c r="I1162" s="34"/>
      <c r="J1162" s="21"/>
      <c r="K1162" s="22"/>
      <c r="L1162" s="23"/>
      <c r="M1162" s="24"/>
      <c r="N1162" s="25"/>
      <c r="O1162" s="26"/>
      <c r="P1162" s="26"/>
      <c r="Q1162" s="25"/>
      <c r="R1162" s="25"/>
      <c r="S1162" s="26"/>
      <c r="T1162" s="26"/>
      <c r="U1162" s="26"/>
      <c r="V1162" s="26"/>
      <c r="W1162" s="26"/>
      <c r="X1162" s="26"/>
      <c r="Y1162" s="26"/>
      <c r="Z1162" s="26"/>
      <c r="AA1162" s="26"/>
      <c r="AB1162" s="26"/>
      <c r="AC1162" s="26"/>
      <c r="AD1162" s="26"/>
      <c r="AE1162" s="26"/>
      <c r="AF1162" s="26"/>
      <c r="AG1162" s="26"/>
      <c r="AH1162" s="26"/>
      <c r="AI1162" s="26"/>
      <c r="AJ1162" s="26"/>
      <c r="AK1162" s="26"/>
      <c r="AL1162" s="26"/>
      <c r="AM1162" s="26"/>
      <c r="AN1162" s="26"/>
    </row>
    <row r="1163">
      <c r="A1163" s="31"/>
      <c r="B1163" s="32"/>
      <c r="C1163" s="33"/>
      <c r="D1163" s="33"/>
      <c r="E1163" s="27"/>
      <c r="F1163" s="29"/>
      <c r="G1163" s="34"/>
      <c r="H1163" s="34"/>
      <c r="I1163" s="34"/>
      <c r="J1163" s="21"/>
      <c r="K1163" s="22"/>
      <c r="L1163" s="23"/>
      <c r="M1163" s="24"/>
      <c r="N1163" s="25"/>
      <c r="O1163" s="26"/>
      <c r="P1163" s="26"/>
      <c r="Q1163" s="25"/>
      <c r="R1163" s="25"/>
      <c r="S1163" s="26"/>
      <c r="T1163" s="26"/>
      <c r="U1163" s="26"/>
      <c r="V1163" s="26"/>
      <c r="W1163" s="26"/>
      <c r="X1163" s="26"/>
      <c r="Y1163" s="26"/>
      <c r="Z1163" s="26"/>
      <c r="AA1163" s="26"/>
      <c r="AB1163" s="26"/>
      <c r="AC1163" s="26"/>
      <c r="AD1163" s="26"/>
      <c r="AE1163" s="26"/>
      <c r="AF1163" s="26"/>
      <c r="AG1163" s="26"/>
      <c r="AH1163" s="26"/>
      <c r="AI1163" s="26"/>
      <c r="AJ1163" s="26"/>
      <c r="AK1163" s="26"/>
      <c r="AL1163" s="26"/>
      <c r="AM1163" s="26"/>
      <c r="AN1163" s="26"/>
    </row>
    <row r="1164">
      <c r="A1164" s="31"/>
      <c r="B1164" s="32"/>
      <c r="C1164" s="33"/>
      <c r="D1164" s="33"/>
      <c r="E1164" s="27"/>
      <c r="F1164" s="29"/>
      <c r="G1164" s="34"/>
      <c r="H1164" s="34"/>
      <c r="I1164" s="34"/>
      <c r="J1164" s="21"/>
      <c r="K1164" s="22"/>
      <c r="L1164" s="23"/>
      <c r="M1164" s="24"/>
      <c r="N1164" s="25"/>
      <c r="O1164" s="26"/>
      <c r="P1164" s="26"/>
      <c r="Q1164" s="25"/>
      <c r="R1164" s="25"/>
      <c r="S1164" s="26"/>
      <c r="T1164" s="26"/>
      <c r="U1164" s="26"/>
      <c r="V1164" s="26"/>
      <c r="W1164" s="26"/>
      <c r="X1164" s="26"/>
      <c r="Y1164" s="26"/>
      <c r="Z1164" s="26"/>
      <c r="AA1164" s="26"/>
      <c r="AB1164" s="26"/>
      <c r="AC1164" s="26"/>
      <c r="AD1164" s="26"/>
      <c r="AE1164" s="26"/>
      <c r="AF1164" s="26"/>
      <c r="AG1164" s="26"/>
      <c r="AH1164" s="26"/>
      <c r="AI1164" s="26"/>
      <c r="AJ1164" s="26"/>
      <c r="AK1164" s="26"/>
      <c r="AL1164" s="26"/>
      <c r="AM1164" s="26"/>
      <c r="AN1164" s="26"/>
    </row>
    <row r="1165">
      <c r="A1165" s="31"/>
      <c r="B1165" s="32"/>
      <c r="C1165" s="33"/>
      <c r="D1165" s="33"/>
      <c r="E1165" s="27"/>
      <c r="F1165" s="29"/>
      <c r="G1165" s="34"/>
      <c r="H1165" s="34"/>
      <c r="I1165" s="34"/>
      <c r="J1165" s="21"/>
      <c r="K1165" s="22"/>
      <c r="L1165" s="23"/>
      <c r="M1165" s="24"/>
      <c r="N1165" s="25"/>
      <c r="O1165" s="26"/>
      <c r="P1165" s="26"/>
      <c r="Q1165" s="25"/>
      <c r="R1165" s="25"/>
      <c r="S1165" s="26"/>
      <c r="T1165" s="26"/>
      <c r="U1165" s="26"/>
      <c r="V1165" s="26"/>
      <c r="W1165" s="26"/>
      <c r="X1165" s="26"/>
      <c r="Y1165" s="26"/>
      <c r="Z1165" s="26"/>
      <c r="AA1165" s="26"/>
      <c r="AB1165" s="26"/>
      <c r="AC1165" s="26"/>
      <c r="AD1165" s="26"/>
      <c r="AE1165" s="26"/>
      <c r="AF1165" s="26"/>
      <c r="AG1165" s="26"/>
      <c r="AH1165" s="26"/>
      <c r="AI1165" s="26"/>
      <c r="AJ1165" s="26"/>
      <c r="AK1165" s="26"/>
      <c r="AL1165" s="26"/>
      <c r="AM1165" s="26"/>
      <c r="AN1165" s="26"/>
    </row>
    <row r="1166">
      <c r="A1166" s="31"/>
      <c r="B1166" s="32"/>
      <c r="C1166" s="33"/>
      <c r="D1166" s="33"/>
      <c r="E1166" s="27"/>
      <c r="F1166" s="29"/>
      <c r="G1166" s="34"/>
      <c r="H1166" s="34"/>
      <c r="I1166" s="34"/>
      <c r="J1166" s="21"/>
      <c r="K1166" s="22"/>
      <c r="L1166" s="23"/>
      <c r="M1166" s="24"/>
      <c r="N1166" s="25"/>
      <c r="O1166" s="26"/>
      <c r="P1166" s="26"/>
      <c r="Q1166" s="25"/>
      <c r="R1166" s="25"/>
      <c r="S1166" s="26"/>
      <c r="T1166" s="26"/>
      <c r="U1166" s="26"/>
      <c r="V1166" s="26"/>
      <c r="W1166" s="26"/>
      <c r="X1166" s="26"/>
      <c r="Y1166" s="26"/>
      <c r="Z1166" s="26"/>
      <c r="AA1166" s="26"/>
      <c r="AB1166" s="26"/>
      <c r="AC1166" s="26"/>
      <c r="AD1166" s="26"/>
      <c r="AE1166" s="26"/>
      <c r="AF1166" s="26"/>
      <c r="AG1166" s="26"/>
      <c r="AH1166" s="26"/>
      <c r="AI1166" s="26"/>
      <c r="AJ1166" s="26"/>
      <c r="AK1166" s="26"/>
      <c r="AL1166" s="26"/>
      <c r="AM1166" s="26"/>
      <c r="AN1166" s="26"/>
    </row>
    <row r="1167">
      <c r="A1167" s="31"/>
      <c r="B1167" s="32"/>
      <c r="C1167" s="33"/>
      <c r="D1167" s="33"/>
      <c r="E1167" s="27"/>
      <c r="F1167" s="29"/>
      <c r="G1167" s="34"/>
      <c r="H1167" s="34"/>
      <c r="I1167" s="34"/>
      <c r="J1167" s="21"/>
      <c r="K1167" s="22"/>
      <c r="L1167" s="23"/>
      <c r="M1167" s="24"/>
      <c r="N1167" s="25"/>
      <c r="O1167" s="26"/>
      <c r="P1167" s="26"/>
      <c r="Q1167" s="25"/>
      <c r="R1167" s="25"/>
      <c r="S1167" s="26"/>
      <c r="T1167" s="26"/>
      <c r="U1167" s="26"/>
      <c r="V1167" s="26"/>
      <c r="W1167" s="26"/>
      <c r="X1167" s="26"/>
      <c r="Y1167" s="26"/>
      <c r="Z1167" s="26"/>
      <c r="AA1167" s="26"/>
      <c r="AB1167" s="26"/>
      <c r="AC1167" s="26"/>
      <c r="AD1167" s="26"/>
      <c r="AE1167" s="26"/>
      <c r="AF1167" s="26"/>
      <c r="AG1167" s="26"/>
      <c r="AH1167" s="26"/>
      <c r="AI1167" s="26"/>
      <c r="AJ1167" s="26"/>
      <c r="AK1167" s="26"/>
      <c r="AL1167" s="26"/>
      <c r="AM1167" s="26"/>
      <c r="AN1167" s="26"/>
    </row>
    <row r="1168">
      <c r="A1168" s="31"/>
      <c r="B1168" s="32"/>
      <c r="C1168" s="33"/>
      <c r="D1168" s="33"/>
      <c r="E1168" s="27"/>
      <c r="F1168" s="29"/>
      <c r="G1168" s="34"/>
      <c r="H1168" s="34"/>
      <c r="I1168" s="34"/>
      <c r="J1168" s="21"/>
      <c r="K1168" s="22"/>
      <c r="L1168" s="23"/>
      <c r="M1168" s="24"/>
      <c r="N1168" s="25"/>
      <c r="O1168" s="26"/>
      <c r="P1168" s="26"/>
      <c r="Q1168" s="25"/>
      <c r="R1168" s="25"/>
      <c r="S1168" s="26"/>
      <c r="T1168" s="26"/>
      <c r="U1168" s="26"/>
      <c r="V1168" s="26"/>
      <c r="W1168" s="26"/>
      <c r="X1168" s="26"/>
      <c r="Y1168" s="26"/>
      <c r="Z1168" s="26"/>
      <c r="AA1168" s="26"/>
      <c r="AB1168" s="26"/>
      <c r="AC1168" s="26"/>
      <c r="AD1168" s="26"/>
      <c r="AE1168" s="26"/>
      <c r="AF1168" s="26"/>
      <c r="AG1168" s="26"/>
      <c r="AH1168" s="26"/>
      <c r="AI1168" s="26"/>
      <c r="AJ1168" s="26"/>
      <c r="AK1168" s="26"/>
      <c r="AL1168" s="26"/>
      <c r="AM1168" s="26"/>
      <c r="AN1168" s="26"/>
    </row>
    <row r="1169">
      <c r="A1169" s="31"/>
      <c r="B1169" s="32"/>
      <c r="C1169" s="33"/>
      <c r="D1169" s="33"/>
      <c r="E1169" s="27"/>
      <c r="F1169" s="29"/>
      <c r="G1169" s="34"/>
      <c r="H1169" s="34"/>
      <c r="I1169" s="34"/>
      <c r="J1169" s="21"/>
      <c r="K1169" s="22"/>
      <c r="L1169" s="23"/>
      <c r="M1169" s="24"/>
      <c r="N1169" s="25"/>
      <c r="O1169" s="26"/>
      <c r="P1169" s="26"/>
      <c r="Q1169" s="25"/>
      <c r="R1169" s="25"/>
      <c r="S1169" s="26"/>
      <c r="T1169" s="26"/>
      <c r="U1169" s="26"/>
      <c r="V1169" s="26"/>
      <c r="W1169" s="26"/>
      <c r="X1169" s="26"/>
      <c r="Y1169" s="26"/>
      <c r="Z1169" s="26"/>
      <c r="AA1169" s="26"/>
      <c r="AB1169" s="26"/>
      <c r="AC1169" s="26"/>
      <c r="AD1169" s="26"/>
      <c r="AE1169" s="26"/>
      <c r="AF1169" s="26"/>
      <c r="AG1169" s="26"/>
      <c r="AH1169" s="26"/>
      <c r="AI1169" s="26"/>
      <c r="AJ1169" s="26"/>
      <c r="AK1169" s="26"/>
      <c r="AL1169" s="26"/>
      <c r="AM1169" s="26"/>
      <c r="AN1169" s="26"/>
    </row>
    <row r="1170">
      <c r="A1170" s="31"/>
      <c r="B1170" s="32"/>
      <c r="C1170" s="33"/>
      <c r="D1170" s="33"/>
      <c r="E1170" s="27"/>
      <c r="F1170" s="29"/>
      <c r="G1170" s="34"/>
      <c r="H1170" s="34"/>
      <c r="I1170" s="34"/>
      <c r="J1170" s="21"/>
      <c r="K1170" s="22"/>
      <c r="L1170" s="23"/>
      <c r="M1170" s="24"/>
      <c r="N1170" s="25"/>
      <c r="O1170" s="26"/>
      <c r="P1170" s="26"/>
      <c r="Q1170" s="25"/>
      <c r="R1170" s="25"/>
      <c r="S1170" s="26"/>
      <c r="T1170" s="26"/>
      <c r="U1170" s="26"/>
      <c r="V1170" s="26"/>
      <c r="W1170" s="26"/>
      <c r="X1170" s="26"/>
      <c r="Y1170" s="26"/>
      <c r="Z1170" s="26"/>
      <c r="AA1170" s="26"/>
      <c r="AB1170" s="26"/>
      <c r="AC1170" s="26"/>
      <c r="AD1170" s="26"/>
      <c r="AE1170" s="26"/>
      <c r="AF1170" s="26"/>
      <c r="AG1170" s="26"/>
      <c r="AH1170" s="26"/>
      <c r="AI1170" s="26"/>
      <c r="AJ1170" s="26"/>
      <c r="AK1170" s="26"/>
      <c r="AL1170" s="26"/>
      <c r="AM1170" s="26"/>
      <c r="AN1170" s="26"/>
    </row>
    <row r="1171">
      <c r="A1171" s="31"/>
      <c r="B1171" s="32"/>
      <c r="C1171" s="33"/>
      <c r="D1171" s="33"/>
      <c r="E1171" s="27"/>
      <c r="F1171" s="29"/>
      <c r="G1171" s="34"/>
      <c r="H1171" s="34"/>
      <c r="I1171" s="34"/>
      <c r="J1171" s="21"/>
      <c r="K1171" s="22"/>
      <c r="L1171" s="23"/>
      <c r="M1171" s="24"/>
      <c r="N1171" s="25"/>
      <c r="O1171" s="26"/>
      <c r="P1171" s="26"/>
      <c r="Q1171" s="25"/>
      <c r="R1171" s="25"/>
      <c r="S1171" s="26"/>
      <c r="T1171" s="26"/>
      <c r="U1171" s="26"/>
      <c r="V1171" s="26"/>
      <c r="W1171" s="26"/>
      <c r="X1171" s="26"/>
      <c r="Y1171" s="26"/>
      <c r="Z1171" s="26"/>
      <c r="AA1171" s="26"/>
      <c r="AB1171" s="26"/>
      <c r="AC1171" s="26"/>
      <c r="AD1171" s="26"/>
      <c r="AE1171" s="26"/>
      <c r="AF1171" s="26"/>
      <c r="AG1171" s="26"/>
      <c r="AH1171" s="26"/>
      <c r="AI1171" s="26"/>
      <c r="AJ1171" s="26"/>
      <c r="AK1171" s="26"/>
      <c r="AL1171" s="26"/>
      <c r="AM1171" s="26"/>
      <c r="AN1171" s="26"/>
    </row>
    <row r="1172">
      <c r="A1172" s="31"/>
      <c r="B1172" s="32"/>
      <c r="C1172" s="33"/>
      <c r="D1172" s="33"/>
      <c r="E1172" s="27"/>
      <c r="F1172" s="29"/>
      <c r="G1172" s="34"/>
      <c r="H1172" s="34"/>
      <c r="I1172" s="34"/>
      <c r="J1172" s="21"/>
      <c r="K1172" s="22"/>
      <c r="L1172" s="23"/>
      <c r="M1172" s="24"/>
      <c r="N1172" s="25"/>
      <c r="O1172" s="26"/>
      <c r="P1172" s="26"/>
      <c r="Q1172" s="25"/>
      <c r="R1172" s="25"/>
      <c r="S1172" s="26"/>
      <c r="T1172" s="26"/>
      <c r="U1172" s="26"/>
      <c r="V1172" s="26"/>
      <c r="W1172" s="26"/>
      <c r="X1172" s="26"/>
      <c r="Y1172" s="26"/>
      <c r="Z1172" s="26"/>
      <c r="AA1172" s="26"/>
      <c r="AB1172" s="26"/>
      <c r="AC1172" s="26"/>
      <c r="AD1172" s="26"/>
      <c r="AE1172" s="26"/>
      <c r="AF1172" s="26"/>
      <c r="AG1172" s="26"/>
      <c r="AH1172" s="26"/>
      <c r="AI1172" s="26"/>
      <c r="AJ1172" s="26"/>
      <c r="AK1172" s="26"/>
      <c r="AL1172" s="26"/>
      <c r="AM1172" s="26"/>
      <c r="AN1172" s="26"/>
    </row>
    <row r="1173">
      <c r="A1173" s="31"/>
      <c r="B1173" s="32"/>
      <c r="C1173" s="33"/>
      <c r="D1173" s="33"/>
      <c r="E1173" s="27"/>
      <c r="F1173" s="29"/>
      <c r="G1173" s="34"/>
      <c r="H1173" s="34"/>
      <c r="I1173" s="34"/>
      <c r="J1173" s="21"/>
      <c r="K1173" s="22"/>
      <c r="L1173" s="23"/>
      <c r="M1173" s="24"/>
      <c r="N1173" s="25"/>
      <c r="O1173" s="26"/>
      <c r="P1173" s="26"/>
      <c r="Q1173" s="25"/>
      <c r="R1173" s="25"/>
      <c r="S1173" s="26"/>
      <c r="T1173" s="26"/>
      <c r="U1173" s="26"/>
      <c r="V1173" s="26"/>
      <c r="W1173" s="26"/>
      <c r="X1173" s="26"/>
      <c r="Y1173" s="26"/>
      <c r="Z1173" s="26"/>
      <c r="AA1173" s="26"/>
      <c r="AB1173" s="26"/>
      <c r="AC1173" s="26"/>
      <c r="AD1173" s="26"/>
      <c r="AE1173" s="26"/>
      <c r="AF1173" s="26"/>
      <c r="AG1173" s="26"/>
      <c r="AH1173" s="26"/>
      <c r="AI1173" s="26"/>
      <c r="AJ1173" s="26"/>
      <c r="AK1173" s="26"/>
      <c r="AL1173" s="26"/>
      <c r="AM1173" s="26"/>
      <c r="AN1173" s="26"/>
    </row>
    <row r="1174">
      <c r="A1174" s="31"/>
      <c r="B1174" s="32"/>
      <c r="C1174" s="33"/>
      <c r="D1174" s="33"/>
      <c r="E1174" s="27"/>
      <c r="F1174" s="29"/>
      <c r="G1174" s="34"/>
      <c r="H1174" s="34"/>
      <c r="I1174" s="34"/>
      <c r="J1174" s="21"/>
      <c r="K1174" s="22"/>
      <c r="L1174" s="23"/>
      <c r="M1174" s="24"/>
      <c r="N1174" s="25"/>
      <c r="O1174" s="26"/>
      <c r="P1174" s="26"/>
      <c r="Q1174" s="25"/>
      <c r="R1174" s="25"/>
      <c r="S1174" s="26"/>
      <c r="T1174" s="26"/>
      <c r="U1174" s="26"/>
      <c r="V1174" s="26"/>
      <c r="W1174" s="26"/>
      <c r="X1174" s="26"/>
      <c r="Y1174" s="26"/>
      <c r="Z1174" s="26"/>
      <c r="AA1174" s="26"/>
      <c r="AB1174" s="26"/>
      <c r="AC1174" s="26"/>
      <c r="AD1174" s="26"/>
      <c r="AE1174" s="26"/>
      <c r="AF1174" s="26"/>
      <c r="AG1174" s="26"/>
      <c r="AH1174" s="26"/>
      <c r="AI1174" s="26"/>
      <c r="AJ1174" s="26"/>
      <c r="AK1174" s="26"/>
      <c r="AL1174" s="26"/>
      <c r="AM1174" s="26"/>
      <c r="AN1174" s="26"/>
    </row>
    <row r="1175">
      <c r="A1175" s="31"/>
      <c r="B1175" s="32"/>
      <c r="C1175" s="33"/>
      <c r="D1175" s="33"/>
      <c r="E1175" s="27"/>
      <c r="F1175" s="29"/>
      <c r="G1175" s="34"/>
      <c r="H1175" s="34"/>
      <c r="I1175" s="34"/>
      <c r="J1175" s="21"/>
      <c r="K1175" s="22"/>
      <c r="L1175" s="23"/>
      <c r="M1175" s="24"/>
      <c r="N1175" s="25"/>
      <c r="O1175" s="26"/>
      <c r="P1175" s="26"/>
      <c r="Q1175" s="25"/>
      <c r="R1175" s="25"/>
      <c r="S1175" s="26"/>
      <c r="T1175" s="26"/>
      <c r="U1175" s="26"/>
      <c r="V1175" s="26"/>
      <c r="W1175" s="26"/>
      <c r="X1175" s="26"/>
      <c r="Y1175" s="26"/>
      <c r="Z1175" s="26"/>
      <c r="AA1175" s="26"/>
      <c r="AB1175" s="26"/>
      <c r="AC1175" s="26"/>
      <c r="AD1175" s="26"/>
      <c r="AE1175" s="26"/>
      <c r="AF1175" s="26"/>
      <c r="AG1175" s="26"/>
      <c r="AH1175" s="26"/>
      <c r="AI1175" s="26"/>
      <c r="AJ1175" s="26"/>
      <c r="AK1175" s="26"/>
      <c r="AL1175" s="26"/>
      <c r="AM1175" s="26"/>
      <c r="AN1175" s="26"/>
    </row>
    <row r="1176">
      <c r="A1176" s="31"/>
      <c r="B1176" s="32"/>
      <c r="C1176" s="33"/>
      <c r="D1176" s="33"/>
      <c r="E1176" s="27"/>
      <c r="F1176" s="29"/>
      <c r="G1176" s="34"/>
      <c r="H1176" s="34"/>
      <c r="I1176" s="34"/>
      <c r="J1176" s="21"/>
      <c r="K1176" s="22"/>
      <c r="L1176" s="23"/>
      <c r="M1176" s="24"/>
      <c r="N1176" s="25"/>
      <c r="O1176" s="26"/>
      <c r="P1176" s="26"/>
      <c r="Q1176" s="25"/>
      <c r="R1176" s="25"/>
      <c r="S1176" s="26"/>
      <c r="T1176" s="26"/>
      <c r="U1176" s="26"/>
      <c r="V1176" s="26"/>
      <c r="W1176" s="26"/>
      <c r="X1176" s="26"/>
      <c r="Y1176" s="26"/>
      <c r="Z1176" s="26"/>
      <c r="AA1176" s="26"/>
      <c r="AB1176" s="26"/>
      <c r="AC1176" s="26"/>
      <c r="AD1176" s="26"/>
      <c r="AE1176" s="26"/>
      <c r="AF1176" s="26"/>
      <c r="AG1176" s="26"/>
      <c r="AH1176" s="26"/>
      <c r="AI1176" s="26"/>
      <c r="AJ1176" s="26"/>
      <c r="AK1176" s="26"/>
      <c r="AL1176" s="26"/>
      <c r="AM1176" s="26"/>
      <c r="AN1176" s="26"/>
    </row>
    <row r="1177">
      <c r="A1177" s="31"/>
      <c r="B1177" s="32"/>
      <c r="C1177" s="33"/>
      <c r="D1177" s="33"/>
      <c r="E1177" s="27"/>
      <c r="F1177" s="29"/>
      <c r="G1177" s="34"/>
      <c r="H1177" s="34"/>
      <c r="I1177" s="34"/>
      <c r="J1177" s="21"/>
      <c r="K1177" s="22"/>
      <c r="L1177" s="23"/>
      <c r="M1177" s="24"/>
      <c r="N1177" s="25"/>
      <c r="O1177" s="26"/>
      <c r="P1177" s="26"/>
      <c r="Q1177" s="25"/>
      <c r="R1177" s="25"/>
      <c r="S1177" s="26"/>
      <c r="T1177" s="26"/>
      <c r="U1177" s="26"/>
      <c r="V1177" s="26"/>
      <c r="W1177" s="26"/>
      <c r="X1177" s="26"/>
      <c r="Y1177" s="26"/>
      <c r="Z1177" s="26"/>
      <c r="AA1177" s="26"/>
      <c r="AB1177" s="26"/>
      <c r="AC1177" s="26"/>
      <c r="AD1177" s="26"/>
      <c r="AE1177" s="26"/>
      <c r="AF1177" s="26"/>
      <c r="AG1177" s="26"/>
      <c r="AH1177" s="26"/>
      <c r="AI1177" s="26"/>
      <c r="AJ1177" s="26"/>
      <c r="AK1177" s="26"/>
      <c r="AL1177" s="26"/>
      <c r="AM1177" s="26"/>
      <c r="AN1177" s="26"/>
    </row>
    <row r="1178">
      <c r="A1178" s="31"/>
      <c r="B1178" s="32"/>
      <c r="C1178" s="33"/>
      <c r="D1178" s="33"/>
      <c r="E1178" s="27"/>
      <c r="F1178" s="29"/>
      <c r="G1178" s="34"/>
      <c r="H1178" s="34"/>
      <c r="I1178" s="34"/>
      <c r="J1178" s="21"/>
      <c r="K1178" s="22"/>
      <c r="L1178" s="23"/>
      <c r="M1178" s="24"/>
      <c r="N1178" s="25"/>
      <c r="O1178" s="26"/>
      <c r="P1178" s="26"/>
      <c r="Q1178" s="25"/>
      <c r="R1178" s="25"/>
      <c r="S1178" s="26"/>
      <c r="T1178" s="26"/>
      <c r="U1178" s="26"/>
      <c r="V1178" s="26"/>
      <c r="W1178" s="26"/>
      <c r="X1178" s="26"/>
      <c r="Y1178" s="26"/>
      <c r="Z1178" s="26"/>
      <c r="AA1178" s="26"/>
      <c r="AB1178" s="26"/>
      <c r="AC1178" s="26"/>
      <c r="AD1178" s="26"/>
      <c r="AE1178" s="26"/>
      <c r="AF1178" s="26"/>
      <c r="AG1178" s="26"/>
      <c r="AH1178" s="26"/>
      <c r="AI1178" s="26"/>
      <c r="AJ1178" s="26"/>
      <c r="AK1178" s="26"/>
      <c r="AL1178" s="26"/>
      <c r="AM1178" s="26"/>
      <c r="AN1178" s="26"/>
    </row>
    <row r="1179">
      <c r="A1179" s="31"/>
      <c r="B1179" s="32"/>
      <c r="C1179" s="33"/>
      <c r="D1179" s="33"/>
      <c r="E1179" s="27"/>
      <c r="F1179" s="29"/>
      <c r="G1179" s="34"/>
      <c r="H1179" s="34"/>
      <c r="I1179" s="34"/>
      <c r="J1179" s="21"/>
      <c r="K1179" s="22"/>
      <c r="L1179" s="23"/>
      <c r="M1179" s="24"/>
      <c r="N1179" s="25"/>
      <c r="O1179" s="26"/>
      <c r="P1179" s="26"/>
      <c r="Q1179" s="25"/>
      <c r="R1179" s="25"/>
      <c r="S1179" s="26"/>
      <c r="T1179" s="26"/>
      <c r="U1179" s="26"/>
      <c r="V1179" s="26"/>
      <c r="W1179" s="26"/>
      <c r="X1179" s="26"/>
      <c r="Y1179" s="26"/>
      <c r="Z1179" s="26"/>
      <c r="AA1179" s="26"/>
      <c r="AB1179" s="26"/>
      <c r="AC1179" s="26"/>
      <c r="AD1179" s="26"/>
      <c r="AE1179" s="26"/>
      <c r="AF1179" s="26"/>
      <c r="AG1179" s="26"/>
      <c r="AH1179" s="26"/>
      <c r="AI1179" s="26"/>
      <c r="AJ1179" s="26"/>
      <c r="AK1179" s="26"/>
      <c r="AL1179" s="26"/>
      <c r="AM1179" s="26"/>
      <c r="AN1179" s="26"/>
    </row>
    <row r="1180">
      <c r="A1180" s="31"/>
      <c r="B1180" s="32"/>
      <c r="C1180" s="33"/>
      <c r="D1180" s="33"/>
      <c r="E1180" s="27"/>
      <c r="F1180" s="29"/>
      <c r="G1180" s="34"/>
      <c r="H1180" s="34"/>
      <c r="I1180" s="34"/>
      <c r="J1180" s="21"/>
      <c r="K1180" s="22"/>
      <c r="L1180" s="23"/>
      <c r="M1180" s="24"/>
      <c r="N1180" s="25"/>
      <c r="O1180" s="26"/>
      <c r="P1180" s="26"/>
      <c r="Q1180" s="25"/>
      <c r="R1180" s="25"/>
      <c r="S1180" s="26"/>
      <c r="T1180" s="26"/>
      <c r="U1180" s="26"/>
      <c r="V1180" s="26"/>
      <c r="W1180" s="26"/>
      <c r="X1180" s="26"/>
      <c r="Y1180" s="26"/>
      <c r="Z1180" s="26"/>
      <c r="AA1180" s="26"/>
      <c r="AB1180" s="26"/>
      <c r="AC1180" s="26"/>
      <c r="AD1180" s="26"/>
      <c r="AE1180" s="26"/>
      <c r="AF1180" s="26"/>
      <c r="AG1180" s="26"/>
      <c r="AH1180" s="26"/>
      <c r="AI1180" s="26"/>
      <c r="AJ1180" s="26"/>
      <c r="AK1180" s="26"/>
      <c r="AL1180" s="26"/>
      <c r="AM1180" s="26"/>
      <c r="AN1180" s="26"/>
    </row>
    <row r="1181">
      <c r="A1181" s="31"/>
      <c r="B1181" s="32"/>
      <c r="C1181" s="33"/>
      <c r="D1181" s="33"/>
      <c r="E1181" s="27"/>
      <c r="F1181" s="29"/>
      <c r="G1181" s="34"/>
      <c r="H1181" s="34"/>
      <c r="I1181" s="34"/>
      <c r="J1181" s="21"/>
      <c r="K1181" s="22"/>
      <c r="L1181" s="23"/>
      <c r="M1181" s="24"/>
      <c r="N1181" s="25"/>
      <c r="O1181" s="26"/>
      <c r="P1181" s="26"/>
      <c r="Q1181" s="25"/>
      <c r="R1181" s="25"/>
      <c r="S1181" s="26"/>
      <c r="T1181" s="26"/>
      <c r="U1181" s="26"/>
      <c r="V1181" s="26"/>
      <c r="W1181" s="26"/>
      <c r="X1181" s="26"/>
      <c r="Y1181" s="26"/>
      <c r="Z1181" s="26"/>
      <c r="AA1181" s="26"/>
      <c r="AB1181" s="26"/>
      <c r="AC1181" s="26"/>
      <c r="AD1181" s="26"/>
      <c r="AE1181" s="26"/>
      <c r="AF1181" s="26"/>
      <c r="AG1181" s="26"/>
      <c r="AH1181" s="26"/>
      <c r="AI1181" s="26"/>
      <c r="AJ1181" s="26"/>
      <c r="AK1181" s="26"/>
      <c r="AL1181" s="26"/>
      <c r="AM1181" s="26"/>
      <c r="AN1181" s="26"/>
    </row>
    <row r="1182">
      <c r="A1182" s="31"/>
      <c r="B1182" s="32"/>
      <c r="C1182" s="33"/>
      <c r="D1182" s="33"/>
      <c r="E1182" s="27"/>
      <c r="F1182" s="29"/>
      <c r="G1182" s="34"/>
      <c r="H1182" s="34"/>
      <c r="I1182" s="34"/>
      <c r="J1182" s="21"/>
      <c r="K1182" s="22"/>
      <c r="L1182" s="23"/>
      <c r="M1182" s="24"/>
      <c r="N1182" s="25"/>
      <c r="O1182" s="26"/>
      <c r="P1182" s="26"/>
      <c r="Q1182" s="25"/>
      <c r="R1182" s="25"/>
      <c r="S1182" s="26"/>
      <c r="T1182" s="26"/>
      <c r="U1182" s="26"/>
      <c r="V1182" s="26"/>
      <c r="W1182" s="26"/>
      <c r="X1182" s="26"/>
      <c r="Y1182" s="26"/>
      <c r="Z1182" s="26"/>
      <c r="AA1182" s="26"/>
      <c r="AB1182" s="26"/>
      <c r="AC1182" s="26"/>
      <c r="AD1182" s="26"/>
      <c r="AE1182" s="26"/>
      <c r="AF1182" s="26"/>
      <c r="AG1182" s="26"/>
      <c r="AH1182" s="26"/>
      <c r="AI1182" s="26"/>
      <c r="AJ1182" s="26"/>
      <c r="AK1182" s="26"/>
      <c r="AL1182" s="26"/>
      <c r="AM1182" s="26"/>
      <c r="AN1182" s="26"/>
    </row>
    <row r="1183">
      <c r="A1183" s="31"/>
      <c r="B1183" s="32"/>
      <c r="C1183" s="33"/>
      <c r="D1183" s="33"/>
      <c r="E1183" s="27"/>
      <c r="F1183" s="29"/>
      <c r="G1183" s="34"/>
      <c r="H1183" s="34"/>
      <c r="I1183" s="34"/>
      <c r="J1183" s="21"/>
      <c r="K1183" s="22"/>
      <c r="L1183" s="23"/>
      <c r="M1183" s="24"/>
      <c r="N1183" s="25"/>
      <c r="O1183" s="26"/>
      <c r="P1183" s="26"/>
      <c r="Q1183" s="25"/>
      <c r="R1183" s="25"/>
      <c r="S1183" s="26"/>
      <c r="T1183" s="26"/>
      <c r="U1183" s="26"/>
      <c r="V1183" s="26"/>
      <c r="W1183" s="26"/>
      <c r="X1183" s="26"/>
      <c r="Y1183" s="26"/>
      <c r="Z1183" s="26"/>
      <c r="AA1183" s="26"/>
      <c r="AB1183" s="26"/>
      <c r="AC1183" s="26"/>
      <c r="AD1183" s="26"/>
      <c r="AE1183" s="26"/>
      <c r="AF1183" s="26"/>
      <c r="AG1183" s="26"/>
      <c r="AH1183" s="26"/>
      <c r="AI1183" s="26"/>
      <c r="AJ1183" s="26"/>
      <c r="AK1183" s="26"/>
      <c r="AL1183" s="26"/>
      <c r="AM1183" s="26"/>
      <c r="AN1183" s="26"/>
    </row>
    <row r="1184">
      <c r="A1184" s="31"/>
      <c r="B1184" s="32"/>
      <c r="C1184" s="33"/>
      <c r="D1184" s="33"/>
      <c r="E1184" s="27"/>
      <c r="F1184" s="29"/>
      <c r="G1184" s="34"/>
      <c r="H1184" s="34"/>
      <c r="I1184" s="34"/>
      <c r="J1184" s="21"/>
      <c r="K1184" s="22"/>
      <c r="L1184" s="23"/>
      <c r="M1184" s="24"/>
      <c r="N1184" s="25"/>
      <c r="O1184" s="26"/>
      <c r="P1184" s="26"/>
      <c r="Q1184" s="25"/>
      <c r="R1184" s="25"/>
      <c r="S1184" s="26"/>
      <c r="T1184" s="26"/>
      <c r="U1184" s="26"/>
      <c r="V1184" s="26"/>
      <c r="W1184" s="26"/>
      <c r="X1184" s="26"/>
      <c r="Y1184" s="26"/>
      <c r="Z1184" s="26"/>
      <c r="AA1184" s="26"/>
      <c r="AB1184" s="26"/>
      <c r="AC1184" s="26"/>
      <c r="AD1184" s="26"/>
      <c r="AE1184" s="26"/>
      <c r="AF1184" s="26"/>
      <c r="AG1184" s="26"/>
      <c r="AH1184" s="26"/>
      <c r="AI1184" s="26"/>
      <c r="AJ1184" s="26"/>
      <c r="AK1184" s="26"/>
      <c r="AL1184" s="26"/>
      <c r="AM1184" s="26"/>
      <c r="AN1184" s="26"/>
    </row>
    <row r="1185">
      <c r="A1185" s="31"/>
      <c r="B1185" s="32"/>
      <c r="C1185" s="33"/>
      <c r="D1185" s="33"/>
      <c r="E1185" s="27"/>
      <c r="F1185" s="29"/>
      <c r="G1185" s="34"/>
      <c r="H1185" s="34"/>
      <c r="I1185" s="34"/>
      <c r="J1185" s="21"/>
      <c r="K1185" s="22"/>
      <c r="L1185" s="23"/>
      <c r="M1185" s="24"/>
      <c r="N1185" s="25"/>
      <c r="O1185" s="26"/>
      <c r="P1185" s="26"/>
      <c r="Q1185" s="25"/>
      <c r="R1185" s="25"/>
      <c r="S1185" s="26"/>
      <c r="T1185" s="26"/>
      <c r="U1185" s="26"/>
      <c r="V1185" s="26"/>
      <c r="W1185" s="26"/>
      <c r="X1185" s="26"/>
      <c r="Y1185" s="26"/>
      <c r="Z1185" s="26"/>
      <c r="AA1185" s="26"/>
      <c r="AB1185" s="26"/>
      <c r="AC1185" s="26"/>
      <c r="AD1185" s="26"/>
      <c r="AE1185" s="26"/>
      <c r="AF1185" s="26"/>
      <c r="AG1185" s="26"/>
      <c r="AH1185" s="26"/>
      <c r="AI1185" s="26"/>
      <c r="AJ1185" s="26"/>
      <c r="AK1185" s="26"/>
      <c r="AL1185" s="26"/>
      <c r="AM1185" s="26"/>
      <c r="AN1185" s="26"/>
    </row>
    <row r="1186">
      <c r="A1186" s="31"/>
      <c r="B1186" s="32"/>
      <c r="C1186" s="33"/>
      <c r="D1186" s="33"/>
      <c r="E1186" s="27"/>
      <c r="F1186" s="29"/>
      <c r="G1186" s="34"/>
      <c r="H1186" s="34"/>
      <c r="I1186" s="34"/>
      <c r="J1186" s="21"/>
      <c r="K1186" s="22"/>
      <c r="L1186" s="23"/>
      <c r="M1186" s="24"/>
      <c r="N1186" s="25"/>
      <c r="O1186" s="26"/>
      <c r="P1186" s="26"/>
      <c r="Q1186" s="25"/>
      <c r="R1186" s="25"/>
      <c r="S1186" s="26"/>
      <c r="T1186" s="26"/>
      <c r="U1186" s="26"/>
      <c r="V1186" s="26"/>
      <c r="W1186" s="26"/>
      <c r="X1186" s="26"/>
      <c r="Y1186" s="26"/>
      <c r="Z1186" s="26"/>
      <c r="AA1186" s="26"/>
      <c r="AB1186" s="26"/>
      <c r="AC1186" s="26"/>
      <c r="AD1186" s="26"/>
      <c r="AE1186" s="26"/>
      <c r="AF1186" s="26"/>
      <c r="AG1186" s="26"/>
      <c r="AH1186" s="26"/>
      <c r="AI1186" s="26"/>
      <c r="AJ1186" s="26"/>
      <c r="AK1186" s="26"/>
      <c r="AL1186" s="26"/>
      <c r="AM1186" s="26"/>
      <c r="AN1186" s="26"/>
    </row>
    <row r="1187">
      <c r="A1187" s="31"/>
      <c r="B1187" s="32"/>
      <c r="C1187" s="33"/>
      <c r="D1187" s="33"/>
      <c r="E1187" s="27"/>
      <c r="F1187" s="29"/>
      <c r="G1187" s="34"/>
      <c r="H1187" s="34"/>
      <c r="I1187" s="34"/>
      <c r="J1187" s="21"/>
      <c r="K1187" s="22"/>
      <c r="L1187" s="23"/>
      <c r="M1187" s="24"/>
      <c r="N1187" s="25"/>
      <c r="O1187" s="26"/>
      <c r="P1187" s="26"/>
      <c r="Q1187" s="25"/>
      <c r="R1187" s="25"/>
      <c r="S1187" s="26"/>
      <c r="T1187" s="26"/>
      <c r="U1187" s="26"/>
      <c r="V1187" s="26"/>
      <c r="W1187" s="26"/>
      <c r="X1187" s="26"/>
      <c r="Y1187" s="26"/>
      <c r="Z1187" s="26"/>
      <c r="AA1187" s="26"/>
      <c r="AB1187" s="26"/>
      <c r="AC1187" s="26"/>
      <c r="AD1187" s="26"/>
      <c r="AE1187" s="26"/>
      <c r="AF1187" s="26"/>
      <c r="AG1187" s="26"/>
      <c r="AH1187" s="26"/>
      <c r="AI1187" s="26"/>
      <c r="AJ1187" s="26"/>
      <c r="AK1187" s="26"/>
      <c r="AL1187" s="26"/>
      <c r="AM1187" s="26"/>
      <c r="AN1187" s="26"/>
    </row>
    <row r="1188">
      <c r="A1188" s="31"/>
      <c r="B1188" s="32"/>
      <c r="C1188" s="33"/>
      <c r="D1188" s="33"/>
      <c r="E1188" s="27"/>
      <c r="F1188" s="29"/>
      <c r="G1188" s="34"/>
      <c r="H1188" s="34"/>
      <c r="I1188" s="34"/>
      <c r="J1188" s="21"/>
      <c r="K1188" s="22"/>
      <c r="L1188" s="23"/>
      <c r="M1188" s="24"/>
      <c r="N1188" s="25"/>
      <c r="O1188" s="26"/>
      <c r="P1188" s="26"/>
      <c r="Q1188" s="25"/>
      <c r="R1188" s="25"/>
      <c r="S1188" s="26"/>
      <c r="T1188" s="26"/>
      <c r="U1188" s="26"/>
      <c r="V1188" s="26"/>
      <c r="W1188" s="26"/>
      <c r="X1188" s="26"/>
      <c r="Y1188" s="26"/>
      <c r="Z1188" s="26"/>
      <c r="AA1188" s="26"/>
      <c r="AB1188" s="26"/>
      <c r="AC1188" s="26"/>
      <c r="AD1188" s="26"/>
      <c r="AE1188" s="26"/>
      <c r="AF1188" s="26"/>
      <c r="AG1188" s="26"/>
      <c r="AH1188" s="26"/>
      <c r="AI1188" s="26"/>
      <c r="AJ1188" s="26"/>
      <c r="AK1188" s="26"/>
      <c r="AL1188" s="26"/>
      <c r="AM1188" s="26"/>
      <c r="AN1188" s="26"/>
    </row>
    <row r="1189">
      <c r="A1189" s="31"/>
      <c r="B1189" s="32"/>
      <c r="C1189" s="33"/>
      <c r="D1189" s="33"/>
      <c r="E1189" s="27"/>
      <c r="F1189" s="29"/>
      <c r="G1189" s="34"/>
      <c r="H1189" s="34"/>
      <c r="I1189" s="34"/>
      <c r="J1189" s="21"/>
      <c r="K1189" s="22"/>
      <c r="L1189" s="23"/>
      <c r="M1189" s="24"/>
      <c r="N1189" s="25"/>
      <c r="O1189" s="26"/>
      <c r="P1189" s="26"/>
      <c r="Q1189" s="25"/>
      <c r="R1189" s="25"/>
      <c r="S1189" s="26"/>
      <c r="T1189" s="26"/>
      <c r="U1189" s="26"/>
      <c r="V1189" s="26"/>
      <c r="W1189" s="26"/>
      <c r="X1189" s="26"/>
      <c r="Y1189" s="26"/>
      <c r="Z1189" s="26"/>
      <c r="AA1189" s="26"/>
      <c r="AB1189" s="26"/>
      <c r="AC1189" s="26"/>
      <c r="AD1189" s="26"/>
      <c r="AE1189" s="26"/>
      <c r="AF1189" s="26"/>
      <c r="AG1189" s="26"/>
      <c r="AH1189" s="26"/>
      <c r="AI1189" s="26"/>
      <c r="AJ1189" s="26"/>
      <c r="AK1189" s="26"/>
      <c r="AL1189" s="26"/>
      <c r="AM1189" s="26"/>
      <c r="AN1189" s="26"/>
    </row>
    <row r="1190">
      <c r="A1190" s="31"/>
      <c r="B1190" s="32"/>
      <c r="C1190" s="33"/>
      <c r="D1190" s="33"/>
      <c r="E1190" s="27"/>
      <c r="F1190" s="29"/>
      <c r="G1190" s="34"/>
      <c r="H1190" s="34"/>
      <c r="I1190" s="34"/>
      <c r="J1190" s="21"/>
      <c r="K1190" s="22"/>
      <c r="L1190" s="23"/>
      <c r="M1190" s="24"/>
      <c r="N1190" s="25"/>
      <c r="O1190" s="26"/>
      <c r="P1190" s="26"/>
      <c r="Q1190" s="25"/>
      <c r="R1190" s="25"/>
      <c r="S1190" s="26"/>
      <c r="T1190" s="26"/>
      <c r="U1190" s="26"/>
      <c r="V1190" s="26"/>
      <c r="W1190" s="26"/>
      <c r="X1190" s="26"/>
      <c r="Y1190" s="26"/>
      <c r="Z1190" s="26"/>
      <c r="AA1190" s="26"/>
      <c r="AB1190" s="26"/>
      <c r="AC1190" s="26"/>
      <c r="AD1190" s="26"/>
      <c r="AE1190" s="26"/>
      <c r="AF1190" s="26"/>
      <c r="AG1190" s="26"/>
      <c r="AH1190" s="26"/>
      <c r="AI1190" s="26"/>
      <c r="AJ1190" s="26"/>
      <c r="AK1190" s="26"/>
      <c r="AL1190" s="26"/>
      <c r="AM1190" s="26"/>
      <c r="AN1190" s="26"/>
    </row>
    <row r="1191">
      <c r="A1191" s="31"/>
      <c r="B1191" s="32"/>
      <c r="C1191" s="33"/>
      <c r="D1191" s="33"/>
      <c r="E1191" s="27"/>
      <c r="F1191" s="29"/>
      <c r="G1191" s="34"/>
      <c r="H1191" s="34"/>
      <c r="I1191" s="34"/>
      <c r="J1191" s="21"/>
      <c r="K1191" s="22"/>
      <c r="L1191" s="23"/>
      <c r="M1191" s="24"/>
      <c r="N1191" s="25"/>
      <c r="O1191" s="26"/>
      <c r="P1191" s="26"/>
      <c r="Q1191" s="25"/>
      <c r="R1191" s="25"/>
      <c r="S1191" s="26"/>
      <c r="T1191" s="26"/>
      <c r="U1191" s="26"/>
      <c r="V1191" s="26"/>
      <c r="W1191" s="26"/>
      <c r="X1191" s="26"/>
      <c r="Y1191" s="26"/>
      <c r="Z1191" s="26"/>
      <c r="AA1191" s="26"/>
      <c r="AB1191" s="26"/>
      <c r="AC1191" s="26"/>
      <c r="AD1191" s="26"/>
      <c r="AE1191" s="26"/>
      <c r="AF1191" s="26"/>
      <c r="AG1191" s="26"/>
      <c r="AH1191" s="26"/>
      <c r="AI1191" s="26"/>
      <c r="AJ1191" s="26"/>
      <c r="AK1191" s="26"/>
      <c r="AL1191" s="26"/>
      <c r="AM1191" s="26"/>
      <c r="AN1191" s="26"/>
    </row>
    <row r="1192">
      <c r="A1192" s="31"/>
      <c r="B1192" s="32"/>
      <c r="C1192" s="33"/>
      <c r="D1192" s="33"/>
      <c r="E1192" s="27"/>
      <c r="F1192" s="29"/>
      <c r="G1192" s="34"/>
      <c r="H1192" s="34"/>
      <c r="I1192" s="34"/>
      <c r="J1192" s="21"/>
      <c r="K1192" s="22"/>
      <c r="L1192" s="23"/>
      <c r="M1192" s="24"/>
      <c r="N1192" s="25"/>
      <c r="O1192" s="26"/>
      <c r="P1192" s="26"/>
      <c r="Q1192" s="25"/>
      <c r="R1192" s="25"/>
      <c r="S1192" s="26"/>
      <c r="T1192" s="26"/>
      <c r="U1192" s="26"/>
      <c r="V1192" s="26"/>
      <c r="W1192" s="26"/>
      <c r="X1192" s="26"/>
      <c r="Y1192" s="26"/>
      <c r="Z1192" s="26"/>
      <c r="AA1192" s="26"/>
      <c r="AB1192" s="26"/>
      <c r="AC1192" s="26"/>
      <c r="AD1192" s="26"/>
      <c r="AE1192" s="26"/>
      <c r="AF1192" s="26"/>
      <c r="AG1192" s="26"/>
      <c r="AH1192" s="26"/>
      <c r="AI1192" s="26"/>
      <c r="AJ1192" s="26"/>
      <c r="AK1192" s="26"/>
      <c r="AL1192" s="26"/>
      <c r="AM1192" s="26"/>
      <c r="AN1192" s="26"/>
    </row>
    <row r="1193">
      <c r="A1193" s="31"/>
      <c r="B1193" s="32"/>
      <c r="C1193" s="33"/>
      <c r="D1193" s="33"/>
      <c r="E1193" s="27"/>
      <c r="F1193" s="29"/>
      <c r="G1193" s="34"/>
      <c r="H1193" s="34"/>
      <c r="I1193" s="34"/>
      <c r="J1193" s="21"/>
      <c r="K1193" s="22"/>
      <c r="L1193" s="23"/>
      <c r="M1193" s="24"/>
      <c r="N1193" s="25"/>
      <c r="O1193" s="26"/>
      <c r="P1193" s="26"/>
      <c r="Q1193" s="25"/>
      <c r="R1193" s="25"/>
      <c r="S1193" s="26"/>
      <c r="T1193" s="26"/>
      <c r="U1193" s="26"/>
      <c r="V1193" s="26"/>
      <c r="W1193" s="26"/>
      <c r="X1193" s="26"/>
      <c r="Y1193" s="26"/>
      <c r="Z1193" s="26"/>
      <c r="AA1193" s="26"/>
      <c r="AB1193" s="26"/>
      <c r="AC1193" s="26"/>
      <c r="AD1193" s="26"/>
      <c r="AE1193" s="26"/>
      <c r="AF1193" s="26"/>
      <c r="AG1193" s="26"/>
      <c r="AH1193" s="26"/>
      <c r="AI1193" s="26"/>
      <c r="AJ1193" s="26"/>
      <c r="AK1193" s="26"/>
      <c r="AL1193" s="26"/>
      <c r="AM1193" s="26"/>
      <c r="AN1193" s="26"/>
    </row>
    <row r="1194">
      <c r="A1194" s="31"/>
      <c r="B1194" s="32"/>
      <c r="C1194" s="33"/>
      <c r="D1194" s="33"/>
      <c r="E1194" s="27"/>
      <c r="F1194" s="29"/>
      <c r="G1194" s="34"/>
      <c r="H1194" s="34"/>
      <c r="I1194" s="34"/>
      <c r="J1194" s="21"/>
      <c r="K1194" s="22"/>
      <c r="L1194" s="23"/>
      <c r="M1194" s="24"/>
      <c r="N1194" s="25"/>
      <c r="O1194" s="26"/>
      <c r="P1194" s="26"/>
      <c r="Q1194" s="25"/>
      <c r="R1194" s="25"/>
      <c r="S1194" s="26"/>
      <c r="T1194" s="26"/>
      <c r="U1194" s="26"/>
      <c r="V1194" s="26"/>
      <c r="W1194" s="26"/>
      <c r="X1194" s="26"/>
      <c r="Y1194" s="26"/>
      <c r="Z1194" s="26"/>
      <c r="AA1194" s="26"/>
      <c r="AB1194" s="26"/>
      <c r="AC1194" s="26"/>
      <c r="AD1194" s="26"/>
      <c r="AE1194" s="26"/>
      <c r="AF1194" s="26"/>
      <c r="AG1194" s="26"/>
      <c r="AH1194" s="26"/>
      <c r="AI1194" s="26"/>
      <c r="AJ1194" s="26"/>
      <c r="AK1194" s="26"/>
      <c r="AL1194" s="26"/>
      <c r="AM1194" s="26"/>
      <c r="AN1194" s="26"/>
    </row>
    <row r="1195">
      <c r="A1195" s="31"/>
      <c r="B1195" s="32"/>
      <c r="C1195" s="33"/>
      <c r="D1195" s="33"/>
      <c r="E1195" s="27"/>
      <c r="F1195" s="29"/>
      <c r="G1195" s="34"/>
      <c r="H1195" s="34"/>
      <c r="I1195" s="34"/>
      <c r="J1195" s="21"/>
      <c r="K1195" s="22"/>
      <c r="L1195" s="23"/>
      <c r="M1195" s="24"/>
      <c r="N1195" s="25"/>
      <c r="O1195" s="26"/>
      <c r="P1195" s="26"/>
      <c r="Q1195" s="25"/>
      <c r="R1195" s="25"/>
      <c r="S1195" s="26"/>
      <c r="T1195" s="26"/>
      <c r="U1195" s="26"/>
      <c r="V1195" s="26"/>
      <c r="W1195" s="26"/>
      <c r="X1195" s="26"/>
      <c r="Y1195" s="26"/>
      <c r="Z1195" s="26"/>
      <c r="AA1195" s="26"/>
      <c r="AB1195" s="26"/>
      <c r="AC1195" s="26"/>
      <c r="AD1195" s="26"/>
      <c r="AE1195" s="26"/>
      <c r="AF1195" s="26"/>
      <c r="AG1195" s="26"/>
      <c r="AH1195" s="26"/>
      <c r="AI1195" s="26"/>
      <c r="AJ1195" s="26"/>
      <c r="AK1195" s="26"/>
      <c r="AL1195" s="26"/>
      <c r="AM1195" s="26"/>
      <c r="AN1195" s="26"/>
    </row>
    <row r="1196">
      <c r="A1196" s="31"/>
      <c r="B1196" s="32"/>
      <c r="C1196" s="33"/>
      <c r="D1196" s="33"/>
      <c r="E1196" s="27"/>
      <c r="F1196" s="29"/>
      <c r="G1196" s="34"/>
      <c r="H1196" s="34"/>
      <c r="I1196" s="34"/>
      <c r="J1196" s="21"/>
      <c r="K1196" s="22"/>
      <c r="L1196" s="23"/>
      <c r="M1196" s="24"/>
      <c r="N1196" s="25"/>
      <c r="O1196" s="26"/>
      <c r="P1196" s="26"/>
      <c r="Q1196" s="25"/>
      <c r="R1196" s="25"/>
      <c r="S1196" s="26"/>
      <c r="T1196" s="26"/>
      <c r="U1196" s="26"/>
      <c r="V1196" s="26"/>
      <c r="W1196" s="26"/>
      <c r="X1196" s="26"/>
      <c r="Y1196" s="26"/>
      <c r="Z1196" s="26"/>
      <c r="AA1196" s="26"/>
      <c r="AB1196" s="26"/>
      <c r="AC1196" s="26"/>
      <c r="AD1196" s="26"/>
      <c r="AE1196" s="26"/>
      <c r="AF1196" s="26"/>
      <c r="AG1196" s="26"/>
      <c r="AH1196" s="26"/>
      <c r="AI1196" s="26"/>
      <c r="AJ1196" s="26"/>
      <c r="AK1196" s="26"/>
      <c r="AL1196" s="26"/>
      <c r="AM1196" s="26"/>
      <c r="AN1196" s="26"/>
    </row>
    <row r="1197">
      <c r="A1197" s="31"/>
      <c r="B1197" s="32"/>
      <c r="C1197" s="33"/>
      <c r="D1197" s="33"/>
      <c r="E1197" s="27"/>
      <c r="F1197" s="29"/>
      <c r="G1197" s="34"/>
      <c r="H1197" s="34"/>
      <c r="I1197" s="34"/>
      <c r="J1197" s="21"/>
      <c r="K1197" s="22"/>
      <c r="L1197" s="23"/>
      <c r="M1197" s="24"/>
      <c r="N1197" s="25"/>
      <c r="O1197" s="26"/>
      <c r="P1197" s="26"/>
      <c r="Q1197" s="25"/>
      <c r="R1197" s="25"/>
      <c r="S1197" s="26"/>
      <c r="T1197" s="26"/>
      <c r="U1197" s="26"/>
      <c r="V1197" s="26"/>
      <c r="W1197" s="26"/>
      <c r="X1197" s="26"/>
      <c r="Y1197" s="26"/>
      <c r="Z1197" s="26"/>
      <c r="AA1197" s="26"/>
      <c r="AB1197" s="26"/>
      <c r="AC1197" s="26"/>
      <c r="AD1197" s="26"/>
      <c r="AE1197" s="26"/>
      <c r="AF1197" s="26"/>
      <c r="AG1197" s="26"/>
      <c r="AH1197" s="26"/>
      <c r="AI1197" s="26"/>
      <c r="AJ1197" s="26"/>
      <c r="AK1197" s="26"/>
      <c r="AL1197" s="26"/>
      <c r="AM1197" s="26"/>
      <c r="AN1197" s="26"/>
    </row>
    <row r="1198">
      <c r="A1198" s="31"/>
      <c r="B1198" s="32"/>
      <c r="C1198" s="33"/>
      <c r="D1198" s="33"/>
      <c r="E1198" s="27"/>
      <c r="F1198" s="29"/>
      <c r="G1198" s="34"/>
      <c r="H1198" s="34"/>
      <c r="I1198" s="34"/>
      <c r="J1198" s="21"/>
      <c r="K1198" s="22"/>
      <c r="L1198" s="23"/>
      <c r="M1198" s="24"/>
      <c r="N1198" s="25"/>
      <c r="O1198" s="26"/>
      <c r="P1198" s="26"/>
      <c r="Q1198" s="25"/>
      <c r="R1198" s="25"/>
      <c r="S1198" s="26"/>
      <c r="T1198" s="26"/>
      <c r="U1198" s="26"/>
      <c r="V1198" s="26"/>
      <c r="W1198" s="26"/>
      <c r="X1198" s="26"/>
      <c r="Y1198" s="26"/>
      <c r="Z1198" s="26"/>
      <c r="AA1198" s="26"/>
      <c r="AB1198" s="26"/>
      <c r="AC1198" s="26"/>
      <c r="AD1198" s="26"/>
      <c r="AE1198" s="26"/>
      <c r="AF1198" s="26"/>
      <c r="AG1198" s="26"/>
      <c r="AH1198" s="26"/>
      <c r="AI1198" s="26"/>
      <c r="AJ1198" s="26"/>
      <c r="AK1198" s="26"/>
      <c r="AL1198" s="26"/>
      <c r="AM1198" s="26"/>
      <c r="AN1198" s="26"/>
    </row>
    <row r="1199">
      <c r="A1199" s="31"/>
      <c r="B1199" s="32"/>
      <c r="C1199" s="33"/>
      <c r="D1199" s="33"/>
      <c r="E1199" s="27"/>
      <c r="F1199" s="29"/>
      <c r="G1199" s="34"/>
      <c r="H1199" s="34"/>
      <c r="I1199" s="34"/>
      <c r="J1199" s="21"/>
      <c r="K1199" s="22"/>
      <c r="L1199" s="23"/>
      <c r="M1199" s="24"/>
      <c r="N1199" s="25"/>
      <c r="O1199" s="26"/>
      <c r="P1199" s="26"/>
      <c r="Q1199" s="25"/>
      <c r="R1199" s="25"/>
      <c r="S1199" s="26"/>
      <c r="T1199" s="26"/>
      <c r="U1199" s="26"/>
      <c r="V1199" s="26"/>
      <c r="W1199" s="26"/>
      <c r="X1199" s="26"/>
      <c r="Y1199" s="26"/>
      <c r="Z1199" s="26"/>
      <c r="AA1199" s="26"/>
      <c r="AB1199" s="26"/>
      <c r="AC1199" s="26"/>
      <c r="AD1199" s="26"/>
      <c r="AE1199" s="26"/>
      <c r="AF1199" s="26"/>
      <c r="AG1199" s="26"/>
      <c r="AH1199" s="26"/>
      <c r="AI1199" s="26"/>
      <c r="AJ1199" s="26"/>
      <c r="AK1199" s="26"/>
      <c r="AL1199" s="26"/>
      <c r="AM1199" s="26"/>
      <c r="AN1199" s="26"/>
    </row>
    <row r="1200">
      <c r="A1200" s="31"/>
      <c r="B1200" s="32"/>
      <c r="C1200" s="33"/>
      <c r="D1200" s="33"/>
      <c r="E1200" s="27"/>
      <c r="F1200" s="29"/>
      <c r="G1200" s="34"/>
      <c r="H1200" s="34"/>
      <c r="I1200" s="34"/>
      <c r="J1200" s="21"/>
      <c r="K1200" s="22"/>
      <c r="L1200" s="23"/>
      <c r="M1200" s="24"/>
      <c r="N1200" s="25"/>
      <c r="O1200" s="26"/>
      <c r="P1200" s="26"/>
      <c r="Q1200" s="25"/>
      <c r="R1200" s="25"/>
      <c r="S1200" s="26"/>
      <c r="T1200" s="26"/>
      <c r="U1200" s="26"/>
      <c r="V1200" s="26"/>
      <c r="W1200" s="26"/>
      <c r="X1200" s="26"/>
      <c r="Y1200" s="26"/>
      <c r="Z1200" s="26"/>
      <c r="AA1200" s="26"/>
      <c r="AB1200" s="26"/>
      <c r="AC1200" s="26"/>
      <c r="AD1200" s="26"/>
      <c r="AE1200" s="26"/>
      <c r="AF1200" s="26"/>
      <c r="AG1200" s="26"/>
      <c r="AH1200" s="26"/>
      <c r="AI1200" s="26"/>
      <c r="AJ1200" s="26"/>
      <c r="AK1200" s="26"/>
      <c r="AL1200" s="26"/>
      <c r="AM1200" s="26"/>
      <c r="AN1200" s="26"/>
    </row>
    <row r="1201">
      <c r="A1201" s="31"/>
      <c r="B1201" s="32"/>
      <c r="C1201" s="33"/>
      <c r="D1201" s="33"/>
      <c r="E1201" s="27"/>
      <c r="F1201" s="29"/>
      <c r="G1201" s="34"/>
      <c r="H1201" s="34"/>
      <c r="I1201" s="34"/>
      <c r="J1201" s="21"/>
      <c r="K1201" s="22"/>
      <c r="L1201" s="23"/>
      <c r="M1201" s="24"/>
      <c r="N1201" s="25"/>
      <c r="O1201" s="26"/>
      <c r="P1201" s="26"/>
      <c r="Q1201" s="25"/>
      <c r="R1201" s="25"/>
      <c r="S1201" s="26"/>
      <c r="T1201" s="26"/>
      <c r="U1201" s="26"/>
      <c r="V1201" s="26"/>
      <c r="W1201" s="26"/>
      <c r="X1201" s="26"/>
      <c r="Y1201" s="26"/>
      <c r="Z1201" s="26"/>
      <c r="AA1201" s="26"/>
      <c r="AB1201" s="26"/>
      <c r="AC1201" s="26"/>
      <c r="AD1201" s="26"/>
      <c r="AE1201" s="26"/>
      <c r="AF1201" s="26"/>
      <c r="AG1201" s="26"/>
      <c r="AH1201" s="26"/>
      <c r="AI1201" s="26"/>
      <c r="AJ1201" s="26"/>
      <c r="AK1201" s="26"/>
      <c r="AL1201" s="26"/>
      <c r="AM1201" s="26"/>
      <c r="AN1201" s="26"/>
    </row>
    <row r="1202">
      <c r="A1202" s="31"/>
      <c r="B1202" s="32"/>
      <c r="C1202" s="33"/>
      <c r="D1202" s="33"/>
      <c r="E1202" s="27"/>
      <c r="F1202" s="29"/>
      <c r="G1202" s="34"/>
      <c r="H1202" s="34"/>
      <c r="I1202" s="34"/>
      <c r="J1202" s="21"/>
      <c r="K1202" s="22"/>
      <c r="L1202" s="23"/>
      <c r="M1202" s="24"/>
      <c r="N1202" s="25"/>
      <c r="O1202" s="26"/>
      <c r="P1202" s="26"/>
      <c r="Q1202" s="25"/>
      <c r="R1202" s="25"/>
      <c r="S1202" s="26"/>
      <c r="T1202" s="26"/>
      <c r="U1202" s="26"/>
      <c r="V1202" s="26"/>
      <c r="W1202" s="26"/>
      <c r="X1202" s="26"/>
      <c r="Y1202" s="26"/>
      <c r="Z1202" s="26"/>
      <c r="AA1202" s="26"/>
      <c r="AB1202" s="26"/>
      <c r="AC1202" s="26"/>
      <c r="AD1202" s="26"/>
      <c r="AE1202" s="26"/>
      <c r="AF1202" s="26"/>
      <c r="AG1202" s="26"/>
      <c r="AH1202" s="26"/>
      <c r="AI1202" s="26"/>
      <c r="AJ1202" s="26"/>
      <c r="AK1202" s="26"/>
      <c r="AL1202" s="26"/>
      <c r="AM1202" s="26"/>
      <c r="AN1202" s="26"/>
    </row>
    <row r="1203">
      <c r="A1203" s="31"/>
      <c r="B1203" s="32"/>
      <c r="C1203" s="33"/>
      <c r="D1203" s="33"/>
      <c r="E1203" s="27"/>
      <c r="F1203" s="29"/>
      <c r="G1203" s="34"/>
      <c r="H1203" s="34"/>
      <c r="I1203" s="34"/>
      <c r="J1203" s="21"/>
      <c r="K1203" s="22"/>
      <c r="L1203" s="23"/>
      <c r="M1203" s="24"/>
      <c r="N1203" s="25"/>
      <c r="O1203" s="26"/>
      <c r="P1203" s="26"/>
      <c r="Q1203" s="25"/>
      <c r="R1203" s="25"/>
      <c r="S1203" s="26"/>
      <c r="T1203" s="26"/>
      <c r="U1203" s="26"/>
      <c r="V1203" s="26"/>
      <c r="W1203" s="26"/>
      <c r="X1203" s="26"/>
      <c r="Y1203" s="26"/>
      <c r="Z1203" s="26"/>
      <c r="AA1203" s="26"/>
      <c r="AB1203" s="26"/>
      <c r="AC1203" s="26"/>
      <c r="AD1203" s="26"/>
      <c r="AE1203" s="26"/>
      <c r="AF1203" s="26"/>
      <c r="AG1203" s="26"/>
      <c r="AH1203" s="26"/>
      <c r="AI1203" s="26"/>
      <c r="AJ1203" s="26"/>
      <c r="AK1203" s="26"/>
      <c r="AL1203" s="26"/>
      <c r="AM1203" s="26"/>
      <c r="AN1203" s="26"/>
    </row>
    <row r="1204">
      <c r="A1204" s="31"/>
      <c r="B1204" s="32"/>
      <c r="C1204" s="33"/>
      <c r="D1204" s="33"/>
      <c r="E1204" s="27"/>
      <c r="F1204" s="29"/>
      <c r="G1204" s="34"/>
      <c r="H1204" s="34"/>
      <c r="I1204" s="34"/>
      <c r="J1204" s="21"/>
      <c r="K1204" s="22"/>
      <c r="L1204" s="23"/>
      <c r="M1204" s="24"/>
      <c r="N1204" s="25"/>
      <c r="O1204" s="26"/>
      <c r="P1204" s="26"/>
      <c r="Q1204" s="25"/>
      <c r="R1204" s="25"/>
      <c r="S1204" s="26"/>
      <c r="T1204" s="26"/>
      <c r="U1204" s="26"/>
      <c r="V1204" s="26"/>
      <c r="W1204" s="26"/>
      <c r="X1204" s="26"/>
      <c r="Y1204" s="26"/>
      <c r="Z1204" s="26"/>
      <c r="AA1204" s="26"/>
      <c r="AB1204" s="26"/>
      <c r="AC1204" s="26"/>
      <c r="AD1204" s="26"/>
      <c r="AE1204" s="26"/>
      <c r="AF1204" s="26"/>
      <c r="AG1204" s="26"/>
      <c r="AH1204" s="26"/>
      <c r="AI1204" s="26"/>
      <c r="AJ1204" s="26"/>
      <c r="AK1204" s="26"/>
      <c r="AL1204" s="26"/>
      <c r="AM1204" s="26"/>
      <c r="AN1204" s="26"/>
    </row>
    <row r="1205">
      <c r="A1205" s="31"/>
      <c r="B1205" s="32"/>
      <c r="C1205" s="33"/>
      <c r="D1205" s="33"/>
      <c r="E1205" s="27"/>
      <c r="F1205" s="29"/>
      <c r="G1205" s="34"/>
      <c r="H1205" s="34"/>
      <c r="I1205" s="34"/>
      <c r="J1205" s="21"/>
      <c r="K1205" s="22"/>
      <c r="L1205" s="23"/>
      <c r="M1205" s="24"/>
      <c r="N1205" s="25"/>
      <c r="O1205" s="26"/>
      <c r="P1205" s="26"/>
      <c r="Q1205" s="25"/>
      <c r="R1205" s="25"/>
      <c r="S1205" s="26"/>
      <c r="T1205" s="26"/>
      <c r="U1205" s="26"/>
      <c r="V1205" s="26"/>
      <c r="W1205" s="26"/>
      <c r="X1205" s="26"/>
      <c r="Y1205" s="26"/>
      <c r="Z1205" s="26"/>
      <c r="AA1205" s="26"/>
      <c r="AB1205" s="26"/>
      <c r="AC1205" s="26"/>
      <c r="AD1205" s="26"/>
      <c r="AE1205" s="26"/>
      <c r="AF1205" s="26"/>
      <c r="AG1205" s="26"/>
      <c r="AH1205" s="26"/>
      <c r="AI1205" s="26"/>
      <c r="AJ1205" s="26"/>
      <c r="AK1205" s="26"/>
      <c r="AL1205" s="26"/>
      <c r="AM1205" s="26"/>
      <c r="AN1205" s="26"/>
    </row>
    <row r="1206">
      <c r="A1206" s="31"/>
      <c r="B1206" s="32"/>
      <c r="C1206" s="33"/>
      <c r="D1206" s="33"/>
      <c r="E1206" s="27"/>
      <c r="F1206" s="29"/>
      <c r="G1206" s="34"/>
      <c r="H1206" s="34"/>
      <c r="I1206" s="34"/>
      <c r="J1206" s="21"/>
      <c r="K1206" s="22"/>
      <c r="L1206" s="23"/>
      <c r="M1206" s="24"/>
      <c r="N1206" s="25"/>
      <c r="O1206" s="26"/>
      <c r="P1206" s="26"/>
      <c r="Q1206" s="25"/>
      <c r="R1206" s="25"/>
      <c r="S1206" s="26"/>
      <c r="T1206" s="26"/>
      <c r="U1206" s="26"/>
      <c r="V1206" s="26"/>
      <c r="W1206" s="26"/>
      <c r="X1206" s="26"/>
      <c r="Y1206" s="26"/>
      <c r="Z1206" s="26"/>
      <c r="AA1206" s="26"/>
      <c r="AB1206" s="26"/>
      <c r="AC1206" s="26"/>
      <c r="AD1206" s="26"/>
      <c r="AE1206" s="26"/>
      <c r="AF1206" s="26"/>
      <c r="AG1206" s="26"/>
      <c r="AH1206" s="26"/>
      <c r="AI1206" s="26"/>
      <c r="AJ1206" s="26"/>
      <c r="AK1206" s="26"/>
      <c r="AL1206" s="26"/>
      <c r="AM1206" s="26"/>
      <c r="AN1206" s="26"/>
    </row>
    <row r="1207">
      <c r="A1207" s="31"/>
      <c r="B1207" s="32"/>
      <c r="C1207" s="33"/>
      <c r="D1207" s="33"/>
      <c r="E1207" s="27"/>
      <c r="F1207" s="29"/>
      <c r="G1207" s="34"/>
      <c r="H1207" s="34"/>
      <c r="I1207" s="34"/>
      <c r="J1207" s="21"/>
      <c r="K1207" s="22"/>
      <c r="L1207" s="23"/>
      <c r="M1207" s="24"/>
      <c r="N1207" s="25"/>
      <c r="O1207" s="26"/>
      <c r="P1207" s="26"/>
      <c r="Q1207" s="25"/>
      <c r="R1207" s="25"/>
      <c r="S1207" s="26"/>
      <c r="T1207" s="26"/>
      <c r="U1207" s="26"/>
      <c r="V1207" s="26"/>
      <c r="W1207" s="26"/>
      <c r="X1207" s="26"/>
      <c r="Y1207" s="26"/>
      <c r="Z1207" s="26"/>
      <c r="AA1207" s="26"/>
      <c r="AB1207" s="26"/>
      <c r="AC1207" s="26"/>
      <c r="AD1207" s="26"/>
      <c r="AE1207" s="26"/>
      <c r="AF1207" s="26"/>
      <c r="AG1207" s="26"/>
      <c r="AH1207" s="26"/>
      <c r="AI1207" s="26"/>
      <c r="AJ1207" s="26"/>
      <c r="AK1207" s="26"/>
      <c r="AL1207" s="26"/>
      <c r="AM1207" s="26"/>
      <c r="AN1207" s="26"/>
    </row>
    <row r="1208">
      <c r="A1208" s="31"/>
      <c r="B1208" s="32"/>
      <c r="C1208" s="33"/>
      <c r="D1208" s="33"/>
      <c r="E1208" s="27"/>
      <c r="F1208" s="29"/>
      <c r="G1208" s="34"/>
      <c r="H1208" s="34"/>
      <c r="I1208" s="34"/>
      <c r="J1208" s="21"/>
      <c r="K1208" s="22"/>
      <c r="L1208" s="23"/>
      <c r="M1208" s="24"/>
      <c r="N1208" s="25"/>
      <c r="O1208" s="26"/>
      <c r="P1208" s="26"/>
      <c r="Q1208" s="25"/>
      <c r="R1208" s="25"/>
      <c r="S1208" s="26"/>
      <c r="T1208" s="26"/>
      <c r="U1208" s="26"/>
      <c r="V1208" s="26"/>
      <c r="W1208" s="26"/>
      <c r="X1208" s="26"/>
      <c r="Y1208" s="26"/>
      <c r="Z1208" s="26"/>
      <c r="AA1208" s="26"/>
      <c r="AB1208" s="26"/>
      <c r="AC1208" s="26"/>
      <c r="AD1208" s="26"/>
      <c r="AE1208" s="26"/>
      <c r="AF1208" s="26"/>
      <c r="AG1208" s="26"/>
      <c r="AH1208" s="26"/>
      <c r="AI1208" s="26"/>
      <c r="AJ1208" s="26"/>
      <c r="AK1208" s="26"/>
      <c r="AL1208" s="26"/>
      <c r="AM1208" s="26"/>
      <c r="AN1208" s="26"/>
    </row>
    <row r="1209">
      <c r="A1209" s="31"/>
      <c r="B1209" s="32"/>
      <c r="C1209" s="33"/>
      <c r="D1209" s="33"/>
      <c r="E1209" s="27"/>
      <c r="F1209" s="29"/>
      <c r="G1209" s="34"/>
      <c r="H1209" s="34"/>
      <c r="I1209" s="34"/>
      <c r="J1209" s="21"/>
      <c r="K1209" s="22"/>
      <c r="L1209" s="23"/>
      <c r="M1209" s="24"/>
      <c r="N1209" s="25"/>
      <c r="O1209" s="26"/>
      <c r="P1209" s="26"/>
      <c r="Q1209" s="25"/>
      <c r="R1209" s="25"/>
      <c r="S1209" s="26"/>
      <c r="T1209" s="26"/>
      <c r="U1209" s="26"/>
      <c r="V1209" s="26"/>
      <c r="W1209" s="26"/>
      <c r="X1209" s="26"/>
      <c r="Y1209" s="26"/>
      <c r="Z1209" s="26"/>
      <c r="AA1209" s="26"/>
      <c r="AB1209" s="26"/>
      <c r="AC1209" s="26"/>
      <c r="AD1209" s="26"/>
      <c r="AE1209" s="26"/>
      <c r="AF1209" s="26"/>
      <c r="AG1209" s="26"/>
      <c r="AH1209" s="26"/>
      <c r="AI1209" s="26"/>
      <c r="AJ1209" s="26"/>
      <c r="AK1209" s="26"/>
      <c r="AL1209" s="26"/>
      <c r="AM1209" s="26"/>
      <c r="AN1209" s="26"/>
    </row>
    <row r="1210">
      <c r="A1210" s="31"/>
      <c r="B1210" s="32"/>
      <c r="C1210" s="33"/>
      <c r="D1210" s="33"/>
      <c r="E1210" s="27"/>
      <c r="F1210" s="29"/>
      <c r="G1210" s="34"/>
      <c r="H1210" s="34"/>
      <c r="I1210" s="34"/>
      <c r="J1210" s="21"/>
      <c r="K1210" s="22"/>
      <c r="L1210" s="23"/>
      <c r="M1210" s="24"/>
      <c r="N1210" s="25"/>
      <c r="O1210" s="26"/>
      <c r="P1210" s="26"/>
      <c r="Q1210" s="25"/>
      <c r="R1210" s="25"/>
      <c r="S1210" s="26"/>
      <c r="T1210" s="26"/>
      <c r="U1210" s="26"/>
      <c r="V1210" s="26"/>
      <c r="W1210" s="26"/>
      <c r="X1210" s="26"/>
      <c r="Y1210" s="26"/>
      <c r="Z1210" s="26"/>
      <c r="AA1210" s="26"/>
      <c r="AB1210" s="26"/>
      <c r="AC1210" s="26"/>
      <c r="AD1210" s="26"/>
      <c r="AE1210" s="26"/>
      <c r="AF1210" s="26"/>
      <c r="AG1210" s="26"/>
      <c r="AH1210" s="26"/>
      <c r="AI1210" s="26"/>
      <c r="AJ1210" s="26"/>
      <c r="AK1210" s="26"/>
      <c r="AL1210" s="26"/>
      <c r="AM1210" s="26"/>
      <c r="AN1210" s="26"/>
    </row>
    <row r="1211">
      <c r="A1211" s="31"/>
      <c r="B1211" s="32"/>
      <c r="C1211" s="33"/>
      <c r="D1211" s="33"/>
      <c r="E1211" s="27"/>
      <c r="F1211" s="29"/>
      <c r="G1211" s="34"/>
      <c r="H1211" s="34"/>
      <c r="I1211" s="34"/>
      <c r="J1211" s="21"/>
      <c r="K1211" s="22"/>
      <c r="L1211" s="23"/>
      <c r="M1211" s="24"/>
      <c r="N1211" s="25"/>
      <c r="O1211" s="26"/>
      <c r="P1211" s="26"/>
      <c r="Q1211" s="25"/>
      <c r="R1211" s="25"/>
      <c r="S1211" s="26"/>
      <c r="T1211" s="26"/>
      <c r="U1211" s="26"/>
      <c r="V1211" s="26"/>
      <c r="W1211" s="26"/>
      <c r="X1211" s="26"/>
      <c r="Y1211" s="26"/>
      <c r="Z1211" s="26"/>
      <c r="AA1211" s="26"/>
      <c r="AB1211" s="26"/>
      <c r="AC1211" s="26"/>
      <c r="AD1211" s="26"/>
      <c r="AE1211" s="26"/>
      <c r="AF1211" s="26"/>
      <c r="AG1211" s="26"/>
      <c r="AH1211" s="26"/>
      <c r="AI1211" s="26"/>
      <c r="AJ1211" s="26"/>
      <c r="AK1211" s="26"/>
      <c r="AL1211" s="26"/>
      <c r="AM1211" s="26"/>
      <c r="AN1211" s="26"/>
    </row>
    <row r="1212">
      <c r="A1212" s="31"/>
      <c r="B1212" s="32"/>
      <c r="C1212" s="33"/>
      <c r="D1212" s="33"/>
      <c r="E1212" s="27"/>
      <c r="F1212" s="29"/>
      <c r="G1212" s="34"/>
      <c r="H1212" s="34"/>
      <c r="I1212" s="34"/>
      <c r="J1212" s="21"/>
      <c r="K1212" s="22"/>
      <c r="L1212" s="23"/>
      <c r="M1212" s="24"/>
      <c r="N1212" s="25"/>
      <c r="O1212" s="26"/>
      <c r="P1212" s="26"/>
      <c r="Q1212" s="25"/>
      <c r="R1212" s="25"/>
      <c r="S1212" s="26"/>
      <c r="T1212" s="26"/>
      <c r="U1212" s="26"/>
      <c r="V1212" s="26"/>
      <c r="W1212" s="26"/>
      <c r="X1212" s="26"/>
      <c r="Y1212" s="26"/>
      <c r="Z1212" s="26"/>
      <c r="AA1212" s="26"/>
      <c r="AB1212" s="26"/>
      <c r="AC1212" s="26"/>
      <c r="AD1212" s="26"/>
      <c r="AE1212" s="26"/>
      <c r="AF1212" s="26"/>
      <c r="AG1212" s="26"/>
      <c r="AH1212" s="26"/>
      <c r="AI1212" s="26"/>
      <c r="AJ1212" s="26"/>
      <c r="AK1212" s="26"/>
      <c r="AL1212" s="26"/>
      <c r="AM1212" s="26"/>
      <c r="AN1212" s="26"/>
    </row>
    <row r="1213">
      <c r="A1213" s="31"/>
      <c r="B1213" s="32"/>
      <c r="C1213" s="33"/>
      <c r="D1213" s="33"/>
      <c r="E1213" s="27"/>
      <c r="F1213" s="29"/>
      <c r="G1213" s="34"/>
      <c r="H1213" s="34"/>
      <c r="I1213" s="34"/>
      <c r="J1213" s="21"/>
      <c r="K1213" s="22"/>
      <c r="L1213" s="23"/>
      <c r="M1213" s="24"/>
      <c r="N1213" s="25"/>
      <c r="O1213" s="26"/>
      <c r="P1213" s="26"/>
      <c r="Q1213" s="25"/>
      <c r="R1213" s="25"/>
      <c r="S1213" s="26"/>
      <c r="T1213" s="26"/>
      <c r="U1213" s="26"/>
      <c r="V1213" s="26"/>
      <c r="W1213" s="26"/>
      <c r="X1213" s="26"/>
      <c r="Y1213" s="26"/>
      <c r="Z1213" s="26"/>
      <c r="AA1213" s="26"/>
      <c r="AB1213" s="26"/>
      <c r="AC1213" s="26"/>
      <c r="AD1213" s="26"/>
      <c r="AE1213" s="26"/>
      <c r="AF1213" s="26"/>
      <c r="AG1213" s="26"/>
      <c r="AH1213" s="26"/>
      <c r="AI1213" s="26"/>
      <c r="AJ1213" s="26"/>
      <c r="AK1213" s="26"/>
      <c r="AL1213" s="26"/>
      <c r="AM1213" s="26"/>
      <c r="AN1213" s="26"/>
    </row>
    <row r="1214">
      <c r="A1214" s="31"/>
      <c r="B1214" s="32"/>
      <c r="C1214" s="33"/>
      <c r="D1214" s="33"/>
      <c r="E1214" s="27"/>
      <c r="F1214" s="29"/>
      <c r="G1214" s="34"/>
      <c r="H1214" s="34"/>
      <c r="I1214" s="34"/>
      <c r="J1214" s="21"/>
      <c r="K1214" s="22"/>
      <c r="L1214" s="23"/>
      <c r="M1214" s="24"/>
      <c r="N1214" s="25"/>
      <c r="O1214" s="26"/>
      <c r="P1214" s="26"/>
      <c r="Q1214" s="25"/>
      <c r="R1214" s="25"/>
      <c r="S1214" s="26"/>
      <c r="T1214" s="26"/>
      <c r="U1214" s="26"/>
      <c r="V1214" s="26"/>
      <c r="W1214" s="26"/>
      <c r="X1214" s="26"/>
      <c r="Y1214" s="26"/>
      <c r="Z1214" s="26"/>
      <c r="AA1214" s="26"/>
      <c r="AB1214" s="26"/>
      <c r="AC1214" s="26"/>
      <c r="AD1214" s="26"/>
      <c r="AE1214" s="26"/>
      <c r="AF1214" s="26"/>
      <c r="AG1214" s="26"/>
      <c r="AH1214" s="26"/>
      <c r="AI1214" s="26"/>
      <c r="AJ1214" s="26"/>
      <c r="AK1214" s="26"/>
      <c r="AL1214" s="26"/>
      <c r="AM1214" s="26"/>
      <c r="AN1214" s="26"/>
    </row>
    <row r="1215">
      <c r="A1215" s="31"/>
      <c r="B1215" s="32"/>
      <c r="C1215" s="33"/>
      <c r="D1215" s="33"/>
      <c r="E1215" s="27"/>
      <c r="F1215" s="29"/>
      <c r="G1215" s="34"/>
      <c r="H1215" s="34"/>
      <c r="I1215" s="34"/>
      <c r="J1215" s="21"/>
      <c r="K1215" s="22"/>
      <c r="L1215" s="23"/>
      <c r="M1215" s="24"/>
      <c r="N1215" s="25"/>
      <c r="O1215" s="26"/>
      <c r="P1215" s="26"/>
      <c r="Q1215" s="25"/>
      <c r="R1215" s="25"/>
      <c r="S1215" s="26"/>
      <c r="T1215" s="26"/>
      <c r="U1215" s="26"/>
      <c r="V1215" s="26"/>
      <c r="W1215" s="26"/>
      <c r="X1215" s="26"/>
      <c r="Y1215" s="26"/>
      <c r="Z1215" s="26"/>
      <c r="AA1215" s="26"/>
      <c r="AB1215" s="26"/>
      <c r="AC1215" s="26"/>
      <c r="AD1215" s="26"/>
      <c r="AE1215" s="26"/>
      <c r="AF1215" s="26"/>
      <c r="AG1215" s="26"/>
      <c r="AH1215" s="26"/>
      <c r="AI1215" s="26"/>
      <c r="AJ1215" s="26"/>
      <c r="AK1215" s="26"/>
      <c r="AL1215" s="26"/>
      <c r="AM1215" s="26"/>
      <c r="AN1215" s="26"/>
    </row>
    <row r="1216">
      <c r="A1216" s="31"/>
      <c r="B1216" s="32"/>
      <c r="C1216" s="33"/>
      <c r="D1216" s="33"/>
      <c r="E1216" s="27"/>
      <c r="F1216" s="29"/>
      <c r="G1216" s="34"/>
      <c r="H1216" s="34"/>
      <c r="I1216" s="34"/>
      <c r="J1216" s="21"/>
      <c r="K1216" s="22"/>
      <c r="L1216" s="23"/>
      <c r="M1216" s="24"/>
      <c r="N1216" s="25"/>
      <c r="O1216" s="26"/>
      <c r="P1216" s="26"/>
      <c r="Q1216" s="25"/>
      <c r="R1216" s="25"/>
      <c r="S1216" s="26"/>
      <c r="T1216" s="26"/>
      <c r="U1216" s="26"/>
      <c r="V1216" s="26"/>
      <c r="W1216" s="26"/>
      <c r="X1216" s="26"/>
      <c r="Y1216" s="26"/>
      <c r="Z1216" s="26"/>
      <c r="AA1216" s="26"/>
      <c r="AB1216" s="26"/>
      <c r="AC1216" s="26"/>
      <c r="AD1216" s="26"/>
      <c r="AE1216" s="26"/>
      <c r="AF1216" s="26"/>
      <c r="AG1216" s="26"/>
      <c r="AH1216" s="26"/>
      <c r="AI1216" s="26"/>
      <c r="AJ1216" s="26"/>
      <c r="AK1216" s="26"/>
      <c r="AL1216" s="26"/>
      <c r="AM1216" s="26"/>
      <c r="AN1216" s="26"/>
    </row>
    <row r="1217">
      <c r="A1217" s="31"/>
      <c r="B1217" s="32"/>
      <c r="C1217" s="33"/>
      <c r="D1217" s="33"/>
      <c r="E1217" s="27"/>
      <c r="F1217" s="29"/>
      <c r="G1217" s="34"/>
      <c r="H1217" s="34"/>
      <c r="I1217" s="34"/>
      <c r="J1217" s="21"/>
      <c r="K1217" s="22"/>
      <c r="L1217" s="23"/>
      <c r="M1217" s="24"/>
      <c r="N1217" s="25"/>
      <c r="O1217" s="26"/>
      <c r="P1217" s="26"/>
      <c r="Q1217" s="25"/>
      <c r="R1217" s="25"/>
      <c r="S1217" s="26"/>
      <c r="T1217" s="26"/>
      <c r="U1217" s="26"/>
      <c r="V1217" s="26"/>
      <c r="W1217" s="26"/>
      <c r="X1217" s="26"/>
      <c r="Y1217" s="26"/>
      <c r="Z1217" s="26"/>
      <c r="AA1217" s="26"/>
      <c r="AB1217" s="26"/>
      <c r="AC1217" s="26"/>
      <c r="AD1217" s="26"/>
      <c r="AE1217" s="26"/>
      <c r="AF1217" s="26"/>
      <c r="AG1217" s="26"/>
      <c r="AH1217" s="26"/>
      <c r="AI1217" s="26"/>
      <c r="AJ1217" s="26"/>
      <c r="AK1217" s="26"/>
      <c r="AL1217" s="26"/>
      <c r="AM1217" s="26"/>
      <c r="AN1217" s="26"/>
    </row>
    <row r="1218">
      <c r="A1218" s="31"/>
      <c r="B1218" s="32"/>
      <c r="C1218" s="33"/>
      <c r="D1218" s="33"/>
      <c r="E1218" s="27"/>
      <c r="F1218" s="29"/>
      <c r="G1218" s="34"/>
      <c r="H1218" s="34"/>
      <c r="I1218" s="34"/>
      <c r="J1218" s="21"/>
      <c r="K1218" s="22"/>
      <c r="L1218" s="23"/>
      <c r="M1218" s="24"/>
      <c r="N1218" s="25"/>
      <c r="O1218" s="26"/>
      <c r="P1218" s="26"/>
      <c r="Q1218" s="25"/>
      <c r="R1218" s="25"/>
      <c r="S1218" s="26"/>
      <c r="T1218" s="26"/>
      <c r="U1218" s="26"/>
      <c r="V1218" s="26"/>
      <c r="W1218" s="26"/>
      <c r="X1218" s="26"/>
      <c r="Y1218" s="26"/>
      <c r="Z1218" s="26"/>
      <c r="AA1218" s="26"/>
      <c r="AB1218" s="26"/>
      <c r="AC1218" s="26"/>
      <c r="AD1218" s="26"/>
      <c r="AE1218" s="26"/>
      <c r="AF1218" s="26"/>
      <c r="AG1218" s="26"/>
      <c r="AH1218" s="26"/>
      <c r="AI1218" s="26"/>
      <c r="AJ1218" s="26"/>
      <c r="AK1218" s="26"/>
      <c r="AL1218" s="26"/>
      <c r="AM1218" s="26"/>
      <c r="AN1218" s="26"/>
    </row>
    <row r="1219">
      <c r="A1219" s="31"/>
      <c r="B1219" s="32"/>
      <c r="C1219" s="33"/>
      <c r="D1219" s="33"/>
      <c r="E1219" s="27"/>
      <c r="F1219" s="29"/>
      <c r="G1219" s="34"/>
      <c r="H1219" s="34"/>
      <c r="I1219" s="34"/>
      <c r="J1219" s="21"/>
      <c r="K1219" s="22"/>
      <c r="L1219" s="23"/>
      <c r="M1219" s="24"/>
      <c r="N1219" s="25"/>
      <c r="O1219" s="26"/>
      <c r="P1219" s="26"/>
      <c r="Q1219" s="25"/>
      <c r="R1219" s="25"/>
      <c r="S1219" s="26"/>
      <c r="T1219" s="26"/>
      <c r="U1219" s="26"/>
      <c r="V1219" s="26"/>
      <c r="W1219" s="26"/>
      <c r="X1219" s="26"/>
      <c r="Y1219" s="26"/>
      <c r="Z1219" s="26"/>
      <c r="AA1219" s="26"/>
      <c r="AB1219" s="26"/>
      <c r="AC1219" s="26"/>
      <c r="AD1219" s="26"/>
      <c r="AE1219" s="26"/>
      <c r="AF1219" s="26"/>
      <c r="AG1219" s="26"/>
      <c r="AH1219" s="26"/>
      <c r="AI1219" s="26"/>
      <c r="AJ1219" s="26"/>
      <c r="AK1219" s="26"/>
      <c r="AL1219" s="26"/>
      <c r="AM1219" s="26"/>
      <c r="AN1219" s="26"/>
    </row>
    <row r="1220">
      <c r="A1220" s="31"/>
      <c r="B1220" s="32"/>
      <c r="C1220" s="33"/>
      <c r="D1220" s="33"/>
      <c r="E1220" s="27"/>
      <c r="F1220" s="29"/>
      <c r="G1220" s="34"/>
      <c r="H1220" s="34"/>
      <c r="I1220" s="34"/>
      <c r="J1220" s="21"/>
      <c r="K1220" s="22"/>
      <c r="L1220" s="23"/>
      <c r="M1220" s="24"/>
      <c r="N1220" s="25"/>
      <c r="O1220" s="26"/>
      <c r="P1220" s="26"/>
      <c r="Q1220" s="25"/>
      <c r="R1220" s="25"/>
      <c r="S1220" s="26"/>
      <c r="T1220" s="26"/>
      <c r="U1220" s="26"/>
      <c r="V1220" s="26"/>
      <c r="W1220" s="26"/>
      <c r="X1220" s="26"/>
      <c r="Y1220" s="26"/>
      <c r="Z1220" s="26"/>
      <c r="AA1220" s="26"/>
      <c r="AB1220" s="26"/>
      <c r="AC1220" s="26"/>
      <c r="AD1220" s="26"/>
      <c r="AE1220" s="26"/>
      <c r="AF1220" s="26"/>
      <c r="AG1220" s="26"/>
      <c r="AH1220" s="26"/>
      <c r="AI1220" s="26"/>
      <c r="AJ1220" s="26"/>
      <c r="AK1220" s="26"/>
      <c r="AL1220" s="26"/>
      <c r="AM1220" s="26"/>
      <c r="AN1220" s="26"/>
    </row>
    <row r="1221">
      <c r="A1221" s="31"/>
      <c r="B1221" s="32"/>
      <c r="C1221" s="33"/>
      <c r="D1221" s="33"/>
      <c r="E1221" s="27"/>
      <c r="F1221" s="29"/>
      <c r="G1221" s="34"/>
      <c r="H1221" s="34"/>
      <c r="I1221" s="34"/>
      <c r="J1221" s="21"/>
      <c r="K1221" s="22"/>
      <c r="L1221" s="23"/>
      <c r="M1221" s="24"/>
      <c r="N1221" s="25"/>
      <c r="O1221" s="26"/>
      <c r="P1221" s="26"/>
      <c r="Q1221" s="25"/>
      <c r="R1221" s="25"/>
      <c r="S1221" s="26"/>
      <c r="T1221" s="26"/>
      <c r="U1221" s="26"/>
      <c r="V1221" s="26"/>
      <c r="W1221" s="26"/>
      <c r="X1221" s="26"/>
      <c r="Y1221" s="26"/>
      <c r="Z1221" s="26"/>
      <c r="AA1221" s="26"/>
      <c r="AB1221" s="26"/>
      <c r="AC1221" s="26"/>
      <c r="AD1221" s="26"/>
      <c r="AE1221" s="26"/>
      <c r="AF1221" s="26"/>
      <c r="AG1221" s="26"/>
      <c r="AH1221" s="26"/>
      <c r="AI1221" s="26"/>
      <c r="AJ1221" s="26"/>
      <c r="AK1221" s="26"/>
      <c r="AL1221" s="26"/>
      <c r="AM1221" s="26"/>
      <c r="AN1221" s="26"/>
    </row>
    <row r="1222">
      <c r="A1222" s="31"/>
      <c r="B1222" s="32"/>
      <c r="C1222" s="33"/>
      <c r="D1222" s="33"/>
      <c r="E1222" s="27"/>
      <c r="F1222" s="29"/>
      <c r="G1222" s="34"/>
      <c r="H1222" s="34"/>
      <c r="I1222" s="34"/>
      <c r="J1222" s="21"/>
      <c r="K1222" s="22"/>
      <c r="L1222" s="23"/>
      <c r="M1222" s="24"/>
      <c r="N1222" s="25"/>
      <c r="O1222" s="26"/>
      <c r="P1222" s="26"/>
      <c r="Q1222" s="25"/>
      <c r="R1222" s="25"/>
      <c r="S1222" s="26"/>
      <c r="T1222" s="26"/>
      <c r="U1222" s="26"/>
      <c r="V1222" s="26"/>
      <c r="W1222" s="26"/>
      <c r="X1222" s="26"/>
      <c r="Y1222" s="26"/>
      <c r="Z1222" s="26"/>
      <c r="AA1222" s="26"/>
      <c r="AB1222" s="26"/>
      <c r="AC1222" s="26"/>
      <c r="AD1222" s="26"/>
      <c r="AE1222" s="26"/>
      <c r="AF1222" s="26"/>
      <c r="AG1222" s="26"/>
      <c r="AH1222" s="26"/>
      <c r="AI1222" s="26"/>
      <c r="AJ1222" s="26"/>
      <c r="AK1222" s="26"/>
      <c r="AL1222" s="26"/>
      <c r="AM1222" s="26"/>
      <c r="AN1222" s="26"/>
    </row>
    <row r="1223">
      <c r="A1223" s="31"/>
      <c r="B1223" s="32"/>
      <c r="C1223" s="33"/>
      <c r="D1223" s="33"/>
      <c r="E1223" s="27"/>
      <c r="F1223" s="29"/>
      <c r="G1223" s="34"/>
      <c r="H1223" s="34"/>
      <c r="I1223" s="34"/>
      <c r="J1223" s="21"/>
      <c r="K1223" s="22"/>
      <c r="L1223" s="23"/>
      <c r="M1223" s="24"/>
      <c r="N1223" s="25"/>
      <c r="O1223" s="26"/>
      <c r="P1223" s="26"/>
      <c r="Q1223" s="25"/>
      <c r="R1223" s="25"/>
      <c r="S1223" s="26"/>
      <c r="T1223" s="26"/>
      <c r="U1223" s="26"/>
      <c r="V1223" s="26"/>
      <c r="W1223" s="26"/>
      <c r="X1223" s="26"/>
      <c r="Y1223" s="26"/>
      <c r="Z1223" s="26"/>
      <c r="AA1223" s="26"/>
      <c r="AB1223" s="26"/>
      <c r="AC1223" s="26"/>
      <c r="AD1223" s="26"/>
      <c r="AE1223" s="26"/>
      <c r="AF1223" s="26"/>
      <c r="AG1223" s="26"/>
      <c r="AH1223" s="26"/>
      <c r="AI1223" s="26"/>
      <c r="AJ1223" s="26"/>
      <c r="AK1223" s="26"/>
      <c r="AL1223" s="26"/>
      <c r="AM1223" s="26"/>
      <c r="AN1223" s="26"/>
    </row>
    <row r="1224">
      <c r="A1224" s="31"/>
      <c r="B1224" s="32"/>
      <c r="C1224" s="33"/>
      <c r="D1224" s="33"/>
      <c r="E1224" s="27"/>
      <c r="F1224" s="29"/>
      <c r="G1224" s="34"/>
      <c r="H1224" s="34"/>
      <c r="I1224" s="34"/>
      <c r="J1224" s="21"/>
      <c r="K1224" s="22"/>
      <c r="L1224" s="23"/>
      <c r="M1224" s="24"/>
      <c r="N1224" s="25"/>
      <c r="O1224" s="26"/>
      <c r="P1224" s="26"/>
      <c r="Q1224" s="25"/>
      <c r="R1224" s="25"/>
      <c r="S1224" s="26"/>
      <c r="T1224" s="26"/>
      <c r="U1224" s="26"/>
      <c r="V1224" s="26"/>
      <c r="W1224" s="26"/>
      <c r="X1224" s="26"/>
      <c r="Y1224" s="26"/>
      <c r="Z1224" s="26"/>
      <c r="AA1224" s="26"/>
      <c r="AB1224" s="26"/>
      <c r="AC1224" s="26"/>
      <c r="AD1224" s="26"/>
      <c r="AE1224" s="26"/>
      <c r="AF1224" s="26"/>
      <c r="AG1224" s="26"/>
      <c r="AH1224" s="26"/>
      <c r="AI1224" s="26"/>
      <c r="AJ1224" s="26"/>
      <c r="AK1224" s="26"/>
      <c r="AL1224" s="26"/>
      <c r="AM1224" s="26"/>
      <c r="AN1224" s="26"/>
    </row>
    <row r="1225">
      <c r="A1225" s="31"/>
      <c r="B1225" s="32"/>
      <c r="C1225" s="33"/>
      <c r="D1225" s="33"/>
      <c r="E1225" s="27"/>
      <c r="F1225" s="29"/>
      <c r="G1225" s="34"/>
      <c r="H1225" s="34"/>
      <c r="I1225" s="34"/>
      <c r="J1225" s="21"/>
      <c r="K1225" s="22"/>
      <c r="L1225" s="23"/>
      <c r="M1225" s="24"/>
      <c r="N1225" s="25"/>
      <c r="O1225" s="26"/>
      <c r="P1225" s="26"/>
      <c r="Q1225" s="25"/>
      <c r="R1225" s="25"/>
      <c r="S1225" s="26"/>
      <c r="T1225" s="26"/>
      <c r="U1225" s="26"/>
      <c r="V1225" s="26"/>
      <c r="W1225" s="26"/>
      <c r="X1225" s="26"/>
      <c r="Y1225" s="26"/>
      <c r="Z1225" s="26"/>
      <c r="AA1225" s="26"/>
      <c r="AB1225" s="26"/>
      <c r="AC1225" s="26"/>
      <c r="AD1225" s="26"/>
      <c r="AE1225" s="26"/>
      <c r="AF1225" s="26"/>
      <c r="AG1225" s="26"/>
      <c r="AH1225" s="26"/>
      <c r="AI1225" s="26"/>
      <c r="AJ1225" s="26"/>
      <c r="AK1225" s="26"/>
      <c r="AL1225" s="26"/>
      <c r="AM1225" s="26"/>
      <c r="AN1225" s="26"/>
    </row>
    <row r="1226">
      <c r="A1226" s="31"/>
      <c r="B1226" s="32"/>
      <c r="C1226" s="33"/>
      <c r="D1226" s="33"/>
      <c r="E1226" s="27"/>
      <c r="F1226" s="29"/>
      <c r="G1226" s="34"/>
      <c r="H1226" s="34"/>
      <c r="I1226" s="34"/>
      <c r="J1226" s="21"/>
      <c r="K1226" s="22"/>
      <c r="L1226" s="23"/>
      <c r="M1226" s="24"/>
      <c r="N1226" s="25"/>
      <c r="O1226" s="26"/>
      <c r="P1226" s="26"/>
      <c r="Q1226" s="25"/>
      <c r="R1226" s="25"/>
      <c r="S1226" s="26"/>
      <c r="T1226" s="26"/>
      <c r="U1226" s="26"/>
      <c r="V1226" s="26"/>
      <c r="W1226" s="26"/>
      <c r="X1226" s="26"/>
      <c r="Y1226" s="26"/>
      <c r="Z1226" s="26"/>
      <c r="AA1226" s="26"/>
      <c r="AB1226" s="26"/>
      <c r="AC1226" s="26"/>
      <c r="AD1226" s="26"/>
      <c r="AE1226" s="26"/>
      <c r="AF1226" s="26"/>
      <c r="AG1226" s="26"/>
      <c r="AH1226" s="26"/>
      <c r="AI1226" s="26"/>
      <c r="AJ1226" s="26"/>
      <c r="AK1226" s="26"/>
      <c r="AL1226" s="26"/>
      <c r="AM1226" s="26"/>
      <c r="AN1226" s="26"/>
    </row>
    <row r="1227">
      <c r="A1227" s="31"/>
      <c r="B1227" s="32"/>
      <c r="C1227" s="33"/>
      <c r="D1227" s="33"/>
      <c r="E1227" s="27"/>
      <c r="F1227" s="29"/>
      <c r="G1227" s="34"/>
      <c r="H1227" s="34"/>
      <c r="I1227" s="34"/>
      <c r="J1227" s="21"/>
      <c r="K1227" s="22"/>
      <c r="L1227" s="23"/>
      <c r="M1227" s="24"/>
      <c r="N1227" s="25"/>
      <c r="O1227" s="26"/>
      <c r="P1227" s="26"/>
      <c r="Q1227" s="25"/>
      <c r="R1227" s="25"/>
      <c r="S1227" s="26"/>
      <c r="T1227" s="26"/>
      <c r="U1227" s="26"/>
      <c r="V1227" s="26"/>
      <c r="W1227" s="26"/>
      <c r="X1227" s="26"/>
      <c r="Y1227" s="26"/>
      <c r="Z1227" s="26"/>
      <c r="AA1227" s="26"/>
      <c r="AB1227" s="26"/>
      <c r="AC1227" s="26"/>
      <c r="AD1227" s="26"/>
      <c r="AE1227" s="26"/>
      <c r="AF1227" s="26"/>
      <c r="AG1227" s="26"/>
      <c r="AH1227" s="26"/>
      <c r="AI1227" s="26"/>
      <c r="AJ1227" s="26"/>
      <c r="AK1227" s="26"/>
      <c r="AL1227" s="26"/>
      <c r="AM1227" s="26"/>
      <c r="AN1227" s="26"/>
    </row>
    <row r="1228">
      <c r="A1228" s="31"/>
      <c r="B1228" s="32"/>
      <c r="C1228" s="33"/>
      <c r="D1228" s="33"/>
      <c r="E1228" s="27"/>
      <c r="F1228" s="29"/>
      <c r="G1228" s="34"/>
      <c r="H1228" s="34"/>
      <c r="I1228" s="34"/>
      <c r="J1228" s="21"/>
      <c r="K1228" s="22"/>
      <c r="L1228" s="23"/>
      <c r="M1228" s="24"/>
      <c r="N1228" s="25"/>
      <c r="O1228" s="26"/>
      <c r="P1228" s="26"/>
      <c r="Q1228" s="25"/>
      <c r="R1228" s="25"/>
      <c r="S1228" s="26"/>
      <c r="T1228" s="26"/>
      <c r="U1228" s="26"/>
      <c r="V1228" s="26"/>
      <c r="W1228" s="26"/>
      <c r="X1228" s="26"/>
      <c r="Y1228" s="26"/>
      <c r="Z1228" s="26"/>
      <c r="AA1228" s="26"/>
      <c r="AB1228" s="26"/>
      <c r="AC1228" s="26"/>
      <c r="AD1228" s="26"/>
      <c r="AE1228" s="26"/>
      <c r="AF1228" s="26"/>
      <c r="AG1228" s="26"/>
      <c r="AH1228" s="26"/>
      <c r="AI1228" s="26"/>
      <c r="AJ1228" s="26"/>
      <c r="AK1228" s="26"/>
      <c r="AL1228" s="26"/>
      <c r="AM1228" s="26"/>
      <c r="AN1228" s="26"/>
    </row>
    <row r="1229">
      <c r="A1229" s="31"/>
      <c r="B1229" s="32"/>
      <c r="C1229" s="33"/>
      <c r="D1229" s="33"/>
      <c r="E1229" s="27"/>
      <c r="F1229" s="29"/>
      <c r="G1229" s="34"/>
      <c r="H1229" s="34"/>
      <c r="I1229" s="34"/>
      <c r="J1229" s="21"/>
      <c r="K1229" s="22"/>
      <c r="L1229" s="23"/>
      <c r="M1229" s="24"/>
      <c r="N1229" s="25"/>
      <c r="O1229" s="26"/>
      <c r="P1229" s="26"/>
      <c r="Q1229" s="25"/>
      <c r="R1229" s="25"/>
      <c r="S1229" s="26"/>
      <c r="T1229" s="26"/>
      <c r="U1229" s="26"/>
      <c r="V1229" s="26"/>
      <c r="W1229" s="26"/>
      <c r="X1229" s="26"/>
      <c r="Y1229" s="26"/>
      <c r="Z1229" s="26"/>
      <c r="AA1229" s="26"/>
      <c r="AB1229" s="26"/>
      <c r="AC1229" s="26"/>
      <c r="AD1229" s="26"/>
      <c r="AE1229" s="26"/>
      <c r="AF1229" s="26"/>
      <c r="AG1229" s="26"/>
      <c r="AH1229" s="26"/>
      <c r="AI1229" s="26"/>
      <c r="AJ1229" s="26"/>
      <c r="AK1229" s="26"/>
      <c r="AL1229" s="26"/>
      <c r="AM1229" s="26"/>
      <c r="AN1229" s="26"/>
    </row>
    <row r="1230">
      <c r="A1230" s="31"/>
      <c r="B1230" s="32"/>
      <c r="C1230" s="33"/>
      <c r="D1230" s="33"/>
      <c r="E1230" s="27"/>
      <c r="F1230" s="29"/>
      <c r="G1230" s="34"/>
      <c r="H1230" s="34"/>
      <c r="I1230" s="34"/>
      <c r="J1230" s="21"/>
      <c r="K1230" s="22"/>
      <c r="L1230" s="23"/>
      <c r="M1230" s="24"/>
      <c r="N1230" s="25"/>
      <c r="O1230" s="26"/>
      <c r="P1230" s="26"/>
      <c r="Q1230" s="25"/>
      <c r="R1230" s="25"/>
      <c r="S1230" s="26"/>
      <c r="T1230" s="26"/>
      <c r="U1230" s="26"/>
      <c r="V1230" s="26"/>
      <c r="W1230" s="26"/>
      <c r="X1230" s="26"/>
      <c r="Y1230" s="26"/>
      <c r="Z1230" s="26"/>
      <c r="AA1230" s="26"/>
      <c r="AB1230" s="26"/>
      <c r="AC1230" s="26"/>
      <c r="AD1230" s="26"/>
      <c r="AE1230" s="26"/>
      <c r="AF1230" s="26"/>
      <c r="AG1230" s="26"/>
      <c r="AH1230" s="26"/>
      <c r="AI1230" s="26"/>
      <c r="AJ1230" s="26"/>
      <c r="AK1230" s="26"/>
      <c r="AL1230" s="26"/>
      <c r="AM1230" s="26"/>
      <c r="AN1230" s="26"/>
    </row>
    <row r="1231">
      <c r="A1231" s="31"/>
      <c r="B1231" s="32"/>
      <c r="C1231" s="33"/>
      <c r="D1231" s="33"/>
      <c r="E1231" s="27"/>
      <c r="F1231" s="29"/>
      <c r="G1231" s="34"/>
      <c r="H1231" s="34"/>
      <c r="I1231" s="34"/>
      <c r="J1231" s="21"/>
      <c r="K1231" s="22"/>
      <c r="L1231" s="23"/>
      <c r="M1231" s="24"/>
      <c r="N1231" s="25"/>
      <c r="O1231" s="26"/>
      <c r="P1231" s="26"/>
      <c r="Q1231" s="25"/>
      <c r="R1231" s="25"/>
      <c r="S1231" s="26"/>
      <c r="T1231" s="26"/>
      <c r="U1231" s="26"/>
      <c r="V1231" s="26"/>
      <c r="W1231" s="26"/>
      <c r="X1231" s="26"/>
      <c r="Y1231" s="26"/>
      <c r="Z1231" s="26"/>
      <c r="AA1231" s="26"/>
      <c r="AB1231" s="26"/>
      <c r="AC1231" s="26"/>
      <c r="AD1231" s="26"/>
      <c r="AE1231" s="26"/>
      <c r="AF1231" s="26"/>
      <c r="AG1231" s="26"/>
      <c r="AH1231" s="26"/>
      <c r="AI1231" s="26"/>
      <c r="AJ1231" s="26"/>
      <c r="AK1231" s="26"/>
      <c r="AL1231" s="26"/>
      <c r="AM1231" s="26"/>
      <c r="AN1231" s="26"/>
    </row>
    <row r="1232">
      <c r="A1232" s="31"/>
      <c r="B1232" s="32"/>
      <c r="C1232" s="33"/>
      <c r="D1232" s="33"/>
      <c r="E1232" s="27"/>
      <c r="F1232" s="29"/>
      <c r="G1232" s="34"/>
      <c r="H1232" s="34"/>
      <c r="I1232" s="34"/>
      <c r="J1232" s="21"/>
      <c r="K1232" s="22"/>
      <c r="L1232" s="23"/>
      <c r="M1232" s="24"/>
      <c r="N1232" s="25"/>
      <c r="O1232" s="26"/>
      <c r="P1232" s="26"/>
      <c r="Q1232" s="25"/>
      <c r="R1232" s="25"/>
      <c r="S1232" s="26"/>
      <c r="T1232" s="26"/>
      <c r="U1232" s="26"/>
      <c r="V1232" s="26"/>
      <c r="W1232" s="26"/>
      <c r="X1232" s="26"/>
      <c r="Y1232" s="26"/>
      <c r="Z1232" s="26"/>
      <c r="AA1232" s="26"/>
      <c r="AB1232" s="26"/>
      <c r="AC1232" s="26"/>
      <c r="AD1232" s="26"/>
      <c r="AE1232" s="26"/>
      <c r="AF1232" s="26"/>
      <c r="AG1232" s="26"/>
      <c r="AH1232" s="26"/>
      <c r="AI1232" s="26"/>
      <c r="AJ1232" s="26"/>
      <c r="AK1232" s="26"/>
      <c r="AL1232" s="26"/>
      <c r="AM1232" s="26"/>
      <c r="AN1232" s="26"/>
    </row>
    <row r="1233">
      <c r="A1233" s="31"/>
      <c r="B1233" s="32"/>
      <c r="C1233" s="33"/>
      <c r="D1233" s="33"/>
      <c r="E1233" s="27"/>
      <c r="F1233" s="29"/>
      <c r="G1233" s="34"/>
      <c r="H1233" s="34"/>
      <c r="I1233" s="34"/>
      <c r="J1233" s="21"/>
      <c r="K1233" s="22"/>
      <c r="L1233" s="23"/>
      <c r="M1233" s="24"/>
      <c r="N1233" s="25"/>
      <c r="O1233" s="26"/>
      <c r="P1233" s="26"/>
      <c r="Q1233" s="25"/>
      <c r="R1233" s="25"/>
      <c r="S1233" s="26"/>
      <c r="T1233" s="26"/>
      <c r="U1233" s="26"/>
      <c r="V1233" s="26"/>
      <c r="W1233" s="26"/>
      <c r="X1233" s="26"/>
      <c r="Y1233" s="26"/>
      <c r="Z1233" s="26"/>
      <c r="AA1233" s="26"/>
      <c r="AB1233" s="26"/>
      <c r="AC1233" s="26"/>
      <c r="AD1233" s="26"/>
      <c r="AE1233" s="26"/>
      <c r="AF1233" s="26"/>
      <c r="AG1233" s="26"/>
      <c r="AH1233" s="26"/>
      <c r="AI1233" s="26"/>
      <c r="AJ1233" s="26"/>
      <c r="AK1233" s="26"/>
      <c r="AL1233" s="26"/>
      <c r="AM1233" s="26"/>
      <c r="AN1233" s="26"/>
    </row>
    <row r="1234">
      <c r="A1234" s="31"/>
      <c r="B1234" s="32"/>
      <c r="C1234" s="33"/>
      <c r="D1234" s="33"/>
      <c r="E1234" s="27"/>
      <c r="F1234" s="29"/>
      <c r="G1234" s="34"/>
      <c r="H1234" s="34"/>
      <c r="I1234" s="34"/>
      <c r="J1234" s="21"/>
      <c r="K1234" s="22"/>
      <c r="L1234" s="23"/>
      <c r="M1234" s="24"/>
      <c r="N1234" s="25"/>
      <c r="O1234" s="26"/>
      <c r="P1234" s="26"/>
      <c r="Q1234" s="25"/>
      <c r="R1234" s="25"/>
      <c r="S1234" s="26"/>
      <c r="T1234" s="26"/>
      <c r="U1234" s="26"/>
      <c r="V1234" s="26"/>
      <c r="W1234" s="26"/>
      <c r="X1234" s="26"/>
      <c r="Y1234" s="26"/>
      <c r="Z1234" s="26"/>
      <c r="AA1234" s="26"/>
      <c r="AB1234" s="26"/>
      <c r="AC1234" s="26"/>
      <c r="AD1234" s="26"/>
      <c r="AE1234" s="26"/>
      <c r="AF1234" s="26"/>
      <c r="AG1234" s="26"/>
      <c r="AH1234" s="26"/>
      <c r="AI1234" s="26"/>
      <c r="AJ1234" s="26"/>
      <c r="AK1234" s="26"/>
      <c r="AL1234" s="26"/>
      <c r="AM1234" s="26"/>
      <c r="AN1234" s="26"/>
    </row>
    <row r="1235">
      <c r="A1235" s="31"/>
      <c r="B1235" s="32"/>
      <c r="C1235" s="33"/>
      <c r="D1235" s="33"/>
      <c r="E1235" s="27"/>
      <c r="F1235" s="29"/>
      <c r="G1235" s="34"/>
      <c r="H1235" s="34"/>
      <c r="I1235" s="34"/>
      <c r="J1235" s="21"/>
      <c r="K1235" s="22"/>
      <c r="L1235" s="23"/>
      <c r="M1235" s="24"/>
      <c r="N1235" s="25"/>
      <c r="O1235" s="26"/>
      <c r="P1235" s="26"/>
      <c r="Q1235" s="25"/>
      <c r="R1235" s="25"/>
      <c r="S1235" s="26"/>
      <c r="T1235" s="26"/>
      <c r="U1235" s="26"/>
      <c r="V1235" s="26"/>
      <c r="W1235" s="26"/>
      <c r="X1235" s="26"/>
      <c r="Y1235" s="26"/>
      <c r="Z1235" s="26"/>
      <c r="AA1235" s="26"/>
      <c r="AB1235" s="26"/>
      <c r="AC1235" s="26"/>
      <c r="AD1235" s="26"/>
      <c r="AE1235" s="26"/>
      <c r="AF1235" s="26"/>
      <c r="AG1235" s="26"/>
      <c r="AH1235" s="26"/>
      <c r="AI1235" s="26"/>
      <c r="AJ1235" s="26"/>
      <c r="AK1235" s="26"/>
      <c r="AL1235" s="26"/>
      <c r="AM1235" s="26"/>
      <c r="AN1235" s="26"/>
    </row>
    <row r="1236">
      <c r="A1236" s="31"/>
      <c r="B1236" s="32"/>
      <c r="C1236" s="33"/>
      <c r="D1236" s="33"/>
      <c r="E1236" s="27"/>
      <c r="F1236" s="29"/>
      <c r="G1236" s="34"/>
      <c r="H1236" s="34"/>
      <c r="I1236" s="34"/>
      <c r="J1236" s="21"/>
      <c r="K1236" s="22"/>
      <c r="L1236" s="23"/>
      <c r="M1236" s="24"/>
      <c r="N1236" s="25"/>
      <c r="O1236" s="26"/>
      <c r="P1236" s="26"/>
      <c r="Q1236" s="25"/>
      <c r="R1236" s="25"/>
      <c r="S1236" s="26"/>
      <c r="T1236" s="26"/>
      <c r="U1236" s="26"/>
      <c r="V1236" s="26"/>
      <c r="W1236" s="26"/>
      <c r="X1236" s="26"/>
      <c r="Y1236" s="26"/>
      <c r="Z1236" s="26"/>
      <c r="AA1236" s="26"/>
      <c r="AB1236" s="26"/>
      <c r="AC1236" s="26"/>
      <c r="AD1236" s="26"/>
      <c r="AE1236" s="26"/>
      <c r="AF1236" s="26"/>
      <c r="AG1236" s="26"/>
      <c r="AH1236" s="26"/>
      <c r="AI1236" s="26"/>
      <c r="AJ1236" s="26"/>
      <c r="AK1236" s="26"/>
      <c r="AL1236" s="26"/>
      <c r="AM1236" s="26"/>
      <c r="AN1236" s="26"/>
    </row>
    <row r="1237">
      <c r="A1237" s="31"/>
      <c r="B1237" s="32"/>
      <c r="C1237" s="33"/>
      <c r="D1237" s="33"/>
      <c r="E1237" s="27"/>
      <c r="F1237" s="29"/>
      <c r="G1237" s="34"/>
      <c r="H1237" s="34"/>
      <c r="I1237" s="34"/>
      <c r="J1237" s="21"/>
      <c r="K1237" s="22"/>
      <c r="L1237" s="23"/>
      <c r="M1237" s="24"/>
      <c r="N1237" s="25"/>
      <c r="O1237" s="26"/>
      <c r="P1237" s="26"/>
      <c r="Q1237" s="25"/>
      <c r="R1237" s="25"/>
      <c r="S1237" s="26"/>
      <c r="T1237" s="26"/>
      <c r="U1237" s="26"/>
      <c r="V1237" s="26"/>
      <c r="W1237" s="26"/>
      <c r="X1237" s="26"/>
      <c r="Y1237" s="26"/>
      <c r="Z1237" s="26"/>
      <c r="AA1237" s="26"/>
      <c r="AB1237" s="26"/>
      <c r="AC1237" s="26"/>
      <c r="AD1237" s="26"/>
      <c r="AE1237" s="26"/>
      <c r="AF1237" s="26"/>
      <c r="AG1237" s="26"/>
      <c r="AH1237" s="26"/>
      <c r="AI1237" s="26"/>
      <c r="AJ1237" s="26"/>
      <c r="AK1237" s="26"/>
      <c r="AL1237" s="26"/>
      <c r="AM1237" s="26"/>
      <c r="AN1237" s="26"/>
    </row>
    <row r="1238">
      <c r="A1238" s="31"/>
      <c r="B1238" s="32"/>
      <c r="C1238" s="33"/>
      <c r="D1238" s="33"/>
      <c r="E1238" s="27"/>
      <c r="F1238" s="29"/>
      <c r="G1238" s="34"/>
      <c r="H1238" s="34"/>
      <c r="I1238" s="34"/>
      <c r="J1238" s="21"/>
      <c r="K1238" s="22"/>
      <c r="L1238" s="23"/>
      <c r="M1238" s="24"/>
      <c r="N1238" s="25"/>
      <c r="O1238" s="26"/>
      <c r="P1238" s="26"/>
      <c r="Q1238" s="25"/>
      <c r="R1238" s="25"/>
      <c r="S1238" s="26"/>
      <c r="T1238" s="26"/>
      <c r="U1238" s="26"/>
      <c r="V1238" s="26"/>
      <c r="W1238" s="26"/>
      <c r="X1238" s="26"/>
      <c r="Y1238" s="26"/>
      <c r="Z1238" s="26"/>
      <c r="AA1238" s="26"/>
      <c r="AB1238" s="26"/>
      <c r="AC1238" s="26"/>
      <c r="AD1238" s="26"/>
      <c r="AE1238" s="26"/>
      <c r="AF1238" s="26"/>
      <c r="AG1238" s="26"/>
      <c r="AH1238" s="26"/>
      <c r="AI1238" s="26"/>
      <c r="AJ1238" s="26"/>
      <c r="AK1238" s="26"/>
      <c r="AL1238" s="26"/>
      <c r="AM1238" s="26"/>
      <c r="AN1238" s="26"/>
    </row>
    <row r="1239">
      <c r="A1239" s="31"/>
      <c r="B1239" s="32"/>
      <c r="C1239" s="33"/>
      <c r="D1239" s="33"/>
      <c r="E1239" s="27"/>
      <c r="F1239" s="29"/>
      <c r="G1239" s="34"/>
      <c r="H1239" s="34"/>
      <c r="I1239" s="34"/>
      <c r="J1239" s="21"/>
      <c r="K1239" s="22"/>
      <c r="L1239" s="23"/>
      <c r="M1239" s="24"/>
      <c r="N1239" s="25"/>
      <c r="O1239" s="26"/>
      <c r="P1239" s="26"/>
      <c r="Q1239" s="25"/>
      <c r="R1239" s="25"/>
      <c r="S1239" s="26"/>
      <c r="T1239" s="26"/>
      <c r="U1239" s="26"/>
      <c r="V1239" s="26"/>
      <c r="W1239" s="26"/>
      <c r="X1239" s="26"/>
      <c r="Y1239" s="26"/>
      <c r="Z1239" s="26"/>
      <c r="AA1239" s="26"/>
      <c r="AB1239" s="26"/>
      <c r="AC1239" s="26"/>
      <c r="AD1239" s="26"/>
      <c r="AE1239" s="26"/>
      <c r="AF1239" s="26"/>
      <c r="AG1239" s="26"/>
      <c r="AH1239" s="26"/>
      <c r="AI1239" s="26"/>
      <c r="AJ1239" s="26"/>
      <c r="AK1239" s="26"/>
      <c r="AL1239" s="26"/>
      <c r="AM1239" s="26"/>
      <c r="AN1239" s="26"/>
    </row>
    <row r="1240">
      <c r="A1240" s="31"/>
      <c r="B1240" s="32"/>
      <c r="C1240" s="33"/>
      <c r="D1240" s="33"/>
      <c r="E1240" s="27"/>
      <c r="F1240" s="29"/>
      <c r="G1240" s="34"/>
      <c r="H1240" s="34"/>
      <c r="I1240" s="34"/>
      <c r="J1240" s="21"/>
      <c r="K1240" s="22"/>
      <c r="L1240" s="23"/>
      <c r="M1240" s="24"/>
      <c r="N1240" s="25"/>
      <c r="O1240" s="26"/>
      <c r="P1240" s="26"/>
      <c r="Q1240" s="25"/>
      <c r="R1240" s="25"/>
      <c r="S1240" s="26"/>
      <c r="T1240" s="26"/>
      <c r="U1240" s="26"/>
      <c r="V1240" s="26"/>
      <c r="W1240" s="26"/>
      <c r="X1240" s="26"/>
      <c r="Y1240" s="26"/>
      <c r="Z1240" s="26"/>
      <c r="AA1240" s="26"/>
      <c r="AB1240" s="26"/>
      <c r="AC1240" s="26"/>
      <c r="AD1240" s="26"/>
      <c r="AE1240" s="26"/>
      <c r="AF1240" s="26"/>
      <c r="AG1240" s="26"/>
      <c r="AH1240" s="26"/>
      <c r="AI1240" s="26"/>
      <c r="AJ1240" s="26"/>
      <c r="AK1240" s="26"/>
      <c r="AL1240" s="26"/>
      <c r="AM1240" s="26"/>
      <c r="AN1240" s="26"/>
    </row>
    <row r="1241">
      <c r="A1241" s="31"/>
      <c r="B1241" s="32"/>
      <c r="C1241" s="33"/>
      <c r="D1241" s="33"/>
      <c r="E1241" s="27"/>
      <c r="F1241" s="29"/>
      <c r="G1241" s="34"/>
      <c r="H1241" s="34"/>
      <c r="I1241" s="34"/>
      <c r="J1241" s="21"/>
      <c r="K1241" s="22"/>
      <c r="L1241" s="23"/>
      <c r="M1241" s="24"/>
      <c r="N1241" s="25"/>
      <c r="O1241" s="26"/>
      <c r="P1241" s="26"/>
      <c r="Q1241" s="25"/>
      <c r="R1241" s="25"/>
      <c r="S1241" s="26"/>
      <c r="T1241" s="26"/>
      <c r="U1241" s="26"/>
      <c r="V1241" s="26"/>
      <c r="W1241" s="26"/>
      <c r="X1241" s="26"/>
      <c r="Y1241" s="26"/>
      <c r="Z1241" s="26"/>
      <c r="AA1241" s="26"/>
      <c r="AB1241" s="26"/>
      <c r="AC1241" s="26"/>
      <c r="AD1241" s="26"/>
      <c r="AE1241" s="26"/>
      <c r="AF1241" s="26"/>
      <c r="AG1241" s="26"/>
      <c r="AH1241" s="26"/>
      <c r="AI1241" s="26"/>
      <c r="AJ1241" s="26"/>
      <c r="AK1241" s="26"/>
      <c r="AL1241" s="26"/>
      <c r="AM1241" s="26"/>
      <c r="AN1241" s="26"/>
    </row>
    <row r="1242">
      <c r="A1242" s="31"/>
      <c r="B1242" s="32"/>
      <c r="C1242" s="33"/>
      <c r="D1242" s="33"/>
      <c r="E1242" s="27"/>
      <c r="F1242" s="29"/>
      <c r="G1242" s="34"/>
      <c r="H1242" s="34"/>
      <c r="I1242" s="34"/>
      <c r="J1242" s="21"/>
      <c r="K1242" s="22"/>
      <c r="L1242" s="23"/>
      <c r="M1242" s="24"/>
      <c r="N1242" s="25"/>
      <c r="O1242" s="26"/>
      <c r="P1242" s="26"/>
      <c r="Q1242" s="25"/>
      <c r="R1242" s="25"/>
      <c r="S1242" s="26"/>
      <c r="T1242" s="26"/>
      <c r="U1242" s="26"/>
      <c r="V1242" s="26"/>
      <c r="W1242" s="26"/>
      <c r="X1242" s="26"/>
      <c r="Y1242" s="26"/>
      <c r="Z1242" s="26"/>
      <c r="AA1242" s="26"/>
      <c r="AB1242" s="26"/>
      <c r="AC1242" s="26"/>
      <c r="AD1242" s="26"/>
      <c r="AE1242" s="26"/>
      <c r="AF1242" s="26"/>
      <c r="AG1242" s="26"/>
      <c r="AH1242" s="26"/>
      <c r="AI1242" s="26"/>
      <c r="AJ1242" s="26"/>
      <c r="AK1242" s="26"/>
      <c r="AL1242" s="26"/>
      <c r="AM1242" s="26"/>
      <c r="AN1242" s="26"/>
    </row>
    <row r="1243">
      <c r="A1243" s="31"/>
      <c r="B1243" s="32"/>
      <c r="C1243" s="33"/>
      <c r="D1243" s="33"/>
      <c r="E1243" s="27"/>
      <c r="F1243" s="29"/>
      <c r="G1243" s="34"/>
      <c r="H1243" s="34"/>
      <c r="I1243" s="34"/>
      <c r="J1243" s="21"/>
      <c r="K1243" s="22"/>
      <c r="L1243" s="23"/>
      <c r="M1243" s="24"/>
      <c r="N1243" s="25"/>
      <c r="O1243" s="26"/>
      <c r="P1243" s="26"/>
      <c r="Q1243" s="25"/>
      <c r="R1243" s="25"/>
      <c r="S1243" s="26"/>
      <c r="T1243" s="26"/>
      <c r="U1243" s="26"/>
      <c r="V1243" s="26"/>
      <c r="W1243" s="26"/>
      <c r="X1243" s="26"/>
      <c r="Y1243" s="26"/>
      <c r="Z1243" s="26"/>
      <c r="AA1243" s="26"/>
      <c r="AB1243" s="26"/>
      <c r="AC1243" s="26"/>
      <c r="AD1243" s="26"/>
      <c r="AE1243" s="26"/>
      <c r="AF1243" s="26"/>
      <c r="AG1243" s="26"/>
      <c r="AH1243" s="26"/>
      <c r="AI1243" s="26"/>
      <c r="AJ1243" s="26"/>
      <c r="AK1243" s="26"/>
      <c r="AL1243" s="26"/>
      <c r="AM1243" s="26"/>
      <c r="AN1243" s="26"/>
    </row>
    <row r="1244">
      <c r="A1244" s="31"/>
      <c r="B1244" s="32"/>
      <c r="C1244" s="33"/>
      <c r="D1244" s="33"/>
      <c r="E1244" s="27"/>
      <c r="F1244" s="29"/>
      <c r="G1244" s="34"/>
      <c r="H1244" s="34"/>
      <c r="I1244" s="34"/>
      <c r="J1244" s="21"/>
      <c r="K1244" s="22"/>
      <c r="L1244" s="23"/>
      <c r="M1244" s="24"/>
      <c r="N1244" s="25"/>
      <c r="O1244" s="26"/>
      <c r="P1244" s="26"/>
      <c r="Q1244" s="25"/>
      <c r="R1244" s="25"/>
      <c r="S1244" s="26"/>
      <c r="T1244" s="26"/>
      <c r="U1244" s="26"/>
      <c r="V1244" s="26"/>
      <c r="W1244" s="26"/>
      <c r="X1244" s="26"/>
      <c r="Y1244" s="26"/>
      <c r="Z1244" s="26"/>
      <c r="AA1244" s="26"/>
      <c r="AB1244" s="26"/>
      <c r="AC1244" s="26"/>
      <c r="AD1244" s="26"/>
      <c r="AE1244" s="26"/>
      <c r="AF1244" s="26"/>
      <c r="AG1244" s="26"/>
      <c r="AH1244" s="26"/>
      <c r="AI1244" s="26"/>
      <c r="AJ1244" s="26"/>
      <c r="AK1244" s="26"/>
      <c r="AL1244" s="26"/>
      <c r="AM1244" s="26"/>
      <c r="AN1244" s="26"/>
    </row>
    <row r="1245">
      <c r="A1245" s="31"/>
      <c r="B1245" s="32"/>
      <c r="C1245" s="33"/>
      <c r="D1245" s="33"/>
      <c r="E1245" s="27"/>
      <c r="F1245" s="29"/>
      <c r="G1245" s="34"/>
      <c r="H1245" s="34"/>
      <c r="I1245" s="34"/>
      <c r="J1245" s="21"/>
      <c r="K1245" s="22"/>
      <c r="L1245" s="23"/>
      <c r="M1245" s="24"/>
      <c r="N1245" s="25"/>
      <c r="O1245" s="26"/>
      <c r="P1245" s="26"/>
      <c r="Q1245" s="25"/>
      <c r="R1245" s="25"/>
      <c r="S1245" s="26"/>
      <c r="T1245" s="26"/>
      <c r="U1245" s="26"/>
      <c r="V1245" s="26"/>
      <c r="W1245" s="26"/>
      <c r="X1245" s="26"/>
      <c r="Y1245" s="26"/>
      <c r="Z1245" s="26"/>
      <c r="AA1245" s="26"/>
      <c r="AB1245" s="26"/>
      <c r="AC1245" s="26"/>
      <c r="AD1245" s="26"/>
      <c r="AE1245" s="26"/>
      <c r="AF1245" s="26"/>
      <c r="AG1245" s="26"/>
      <c r="AH1245" s="26"/>
      <c r="AI1245" s="26"/>
      <c r="AJ1245" s="26"/>
      <c r="AK1245" s="26"/>
      <c r="AL1245" s="26"/>
      <c r="AM1245" s="26"/>
      <c r="AN1245" s="26"/>
    </row>
    <row r="1246">
      <c r="A1246" s="31"/>
      <c r="B1246" s="32"/>
      <c r="C1246" s="33"/>
      <c r="D1246" s="33"/>
      <c r="E1246" s="27"/>
      <c r="F1246" s="29"/>
      <c r="G1246" s="34"/>
      <c r="H1246" s="34"/>
      <c r="I1246" s="34"/>
      <c r="J1246" s="21"/>
      <c r="K1246" s="22"/>
      <c r="L1246" s="23"/>
      <c r="M1246" s="24"/>
      <c r="N1246" s="25"/>
      <c r="O1246" s="26"/>
      <c r="P1246" s="26"/>
      <c r="Q1246" s="25"/>
      <c r="R1246" s="25"/>
      <c r="S1246" s="26"/>
      <c r="T1246" s="26"/>
      <c r="U1246" s="26"/>
      <c r="V1246" s="26"/>
      <c r="W1246" s="26"/>
      <c r="X1246" s="26"/>
      <c r="Y1246" s="26"/>
      <c r="Z1246" s="26"/>
      <c r="AA1246" s="26"/>
      <c r="AB1246" s="26"/>
      <c r="AC1246" s="26"/>
      <c r="AD1246" s="26"/>
      <c r="AE1246" s="26"/>
      <c r="AF1246" s="26"/>
      <c r="AG1246" s="26"/>
      <c r="AH1246" s="26"/>
      <c r="AI1246" s="26"/>
      <c r="AJ1246" s="26"/>
      <c r="AK1246" s="26"/>
      <c r="AL1246" s="26"/>
      <c r="AM1246" s="26"/>
      <c r="AN1246" s="26"/>
    </row>
    <row r="1247">
      <c r="A1247" s="31"/>
      <c r="B1247" s="32"/>
      <c r="C1247" s="33"/>
      <c r="D1247" s="33"/>
      <c r="E1247" s="27"/>
      <c r="F1247" s="29"/>
      <c r="G1247" s="34"/>
      <c r="H1247" s="34"/>
      <c r="I1247" s="34"/>
      <c r="J1247" s="21"/>
      <c r="K1247" s="22"/>
      <c r="L1247" s="23"/>
      <c r="M1247" s="24"/>
      <c r="N1247" s="25"/>
      <c r="O1247" s="26"/>
      <c r="P1247" s="26"/>
      <c r="Q1247" s="25"/>
      <c r="R1247" s="25"/>
      <c r="S1247" s="26"/>
      <c r="T1247" s="26"/>
      <c r="U1247" s="26"/>
      <c r="V1247" s="26"/>
      <c r="W1247" s="26"/>
      <c r="X1247" s="26"/>
      <c r="Y1247" s="26"/>
      <c r="Z1247" s="26"/>
      <c r="AA1247" s="26"/>
      <c r="AB1247" s="26"/>
      <c r="AC1247" s="26"/>
      <c r="AD1247" s="26"/>
      <c r="AE1247" s="26"/>
      <c r="AF1247" s="26"/>
      <c r="AG1247" s="26"/>
      <c r="AH1247" s="26"/>
      <c r="AI1247" s="26"/>
      <c r="AJ1247" s="26"/>
      <c r="AK1247" s="26"/>
      <c r="AL1247" s="26"/>
      <c r="AM1247" s="26"/>
      <c r="AN1247" s="26"/>
    </row>
    <row r="1248">
      <c r="A1248" s="31"/>
      <c r="B1248" s="32"/>
      <c r="C1248" s="33"/>
      <c r="D1248" s="33"/>
      <c r="E1248" s="27"/>
      <c r="F1248" s="29"/>
      <c r="G1248" s="34"/>
      <c r="H1248" s="34"/>
      <c r="I1248" s="34"/>
      <c r="J1248" s="21"/>
      <c r="K1248" s="22"/>
      <c r="L1248" s="23"/>
      <c r="M1248" s="24"/>
      <c r="N1248" s="25"/>
      <c r="O1248" s="26"/>
      <c r="P1248" s="26"/>
      <c r="Q1248" s="25"/>
      <c r="R1248" s="25"/>
      <c r="S1248" s="26"/>
      <c r="T1248" s="26"/>
      <c r="U1248" s="26"/>
      <c r="V1248" s="26"/>
      <c r="W1248" s="26"/>
      <c r="X1248" s="26"/>
      <c r="Y1248" s="26"/>
      <c r="Z1248" s="26"/>
      <c r="AA1248" s="26"/>
      <c r="AB1248" s="26"/>
      <c r="AC1248" s="26"/>
      <c r="AD1248" s="26"/>
      <c r="AE1248" s="26"/>
      <c r="AF1248" s="26"/>
      <c r="AG1248" s="26"/>
      <c r="AH1248" s="26"/>
      <c r="AI1248" s="26"/>
      <c r="AJ1248" s="26"/>
      <c r="AK1248" s="26"/>
      <c r="AL1248" s="26"/>
      <c r="AM1248" s="26"/>
      <c r="AN1248" s="26"/>
    </row>
    <row r="1249">
      <c r="A1249" s="31"/>
      <c r="B1249" s="32"/>
      <c r="C1249" s="33"/>
      <c r="D1249" s="33"/>
      <c r="E1249" s="27"/>
      <c r="F1249" s="29"/>
      <c r="G1249" s="34"/>
      <c r="H1249" s="34"/>
      <c r="I1249" s="34"/>
      <c r="J1249" s="21"/>
      <c r="K1249" s="22"/>
      <c r="L1249" s="23"/>
      <c r="M1249" s="24"/>
      <c r="N1249" s="25"/>
      <c r="O1249" s="26"/>
      <c r="P1249" s="26"/>
      <c r="Q1249" s="25"/>
      <c r="R1249" s="25"/>
      <c r="S1249" s="26"/>
      <c r="T1249" s="26"/>
      <c r="U1249" s="26"/>
      <c r="V1249" s="26"/>
      <c r="W1249" s="26"/>
      <c r="X1249" s="26"/>
      <c r="Y1249" s="26"/>
      <c r="Z1249" s="26"/>
      <c r="AA1249" s="26"/>
      <c r="AB1249" s="26"/>
      <c r="AC1249" s="26"/>
      <c r="AD1249" s="26"/>
      <c r="AE1249" s="26"/>
      <c r="AF1249" s="26"/>
      <c r="AG1249" s="26"/>
      <c r="AH1249" s="26"/>
      <c r="AI1249" s="26"/>
      <c r="AJ1249" s="26"/>
      <c r="AK1249" s="26"/>
      <c r="AL1249" s="26"/>
      <c r="AM1249" s="26"/>
      <c r="AN1249" s="26"/>
    </row>
    <row r="1250">
      <c r="A1250" s="31"/>
      <c r="B1250" s="32"/>
      <c r="C1250" s="33"/>
      <c r="D1250" s="33"/>
      <c r="E1250" s="27"/>
      <c r="F1250" s="29"/>
      <c r="G1250" s="34"/>
      <c r="H1250" s="34"/>
      <c r="I1250" s="34"/>
      <c r="J1250" s="21"/>
      <c r="K1250" s="22"/>
      <c r="L1250" s="23"/>
      <c r="M1250" s="24"/>
      <c r="N1250" s="25"/>
      <c r="O1250" s="26"/>
      <c r="P1250" s="26"/>
      <c r="Q1250" s="25"/>
      <c r="R1250" s="25"/>
      <c r="S1250" s="26"/>
      <c r="T1250" s="26"/>
      <c r="U1250" s="26"/>
      <c r="V1250" s="26"/>
      <c r="W1250" s="26"/>
      <c r="X1250" s="26"/>
      <c r="Y1250" s="26"/>
      <c r="Z1250" s="26"/>
      <c r="AA1250" s="26"/>
      <c r="AB1250" s="26"/>
      <c r="AC1250" s="26"/>
      <c r="AD1250" s="26"/>
      <c r="AE1250" s="26"/>
      <c r="AF1250" s="26"/>
      <c r="AG1250" s="26"/>
      <c r="AH1250" s="26"/>
      <c r="AI1250" s="26"/>
      <c r="AJ1250" s="26"/>
      <c r="AK1250" s="26"/>
      <c r="AL1250" s="26"/>
      <c r="AM1250" s="26"/>
      <c r="AN1250" s="26"/>
    </row>
    <row r="1251">
      <c r="A1251" s="31"/>
      <c r="B1251" s="32"/>
      <c r="C1251" s="33"/>
      <c r="D1251" s="33"/>
      <c r="E1251" s="27"/>
      <c r="F1251" s="29"/>
      <c r="G1251" s="34"/>
      <c r="H1251" s="34"/>
      <c r="I1251" s="34"/>
      <c r="J1251" s="21"/>
      <c r="K1251" s="22"/>
      <c r="L1251" s="23"/>
      <c r="M1251" s="24"/>
      <c r="N1251" s="25"/>
      <c r="O1251" s="26"/>
      <c r="P1251" s="26"/>
      <c r="Q1251" s="25"/>
      <c r="R1251" s="25"/>
      <c r="S1251" s="26"/>
      <c r="T1251" s="26"/>
      <c r="U1251" s="26"/>
      <c r="V1251" s="26"/>
      <c r="W1251" s="26"/>
      <c r="X1251" s="26"/>
      <c r="Y1251" s="26"/>
      <c r="Z1251" s="26"/>
      <c r="AA1251" s="26"/>
      <c r="AB1251" s="26"/>
      <c r="AC1251" s="26"/>
      <c r="AD1251" s="26"/>
      <c r="AE1251" s="26"/>
      <c r="AF1251" s="26"/>
      <c r="AG1251" s="26"/>
      <c r="AH1251" s="26"/>
      <c r="AI1251" s="26"/>
      <c r="AJ1251" s="26"/>
      <c r="AK1251" s="26"/>
      <c r="AL1251" s="26"/>
      <c r="AM1251" s="26"/>
      <c r="AN1251" s="26"/>
    </row>
    <row r="1252">
      <c r="A1252" s="31"/>
      <c r="B1252" s="32"/>
      <c r="C1252" s="33"/>
      <c r="D1252" s="33"/>
      <c r="E1252" s="27"/>
      <c r="F1252" s="29"/>
      <c r="G1252" s="34"/>
      <c r="H1252" s="34"/>
      <c r="I1252" s="34"/>
      <c r="J1252" s="21"/>
      <c r="K1252" s="22"/>
      <c r="L1252" s="23"/>
      <c r="M1252" s="24"/>
      <c r="N1252" s="25"/>
      <c r="O1252" s="26"/>
      <c r="P1252" s="26"/>
      <c r="Q1252" s="25"/>
      <c r="R1252" s="25"/>
      <c r="S1252" s="26"/>
      <c r="T1252" s="26"/>
      <c r="U1252" s="26"/>
      <c r="V1252" s="26"/>
      <c r="W1252" s="26"/>
      <c r="X1252" s="26"/>
      <c r="Y1252" s="26"/>
      <c r="Z1252" s="26"/>
      <c r="AA1252" s="26"/>
      <c r="AB1252" s="26"/>
      <c r="AC1252" s="26"/>
      <c r="AD1252" s="26"/>
      <c r="AE1252" s="26"/>
      <c r="AF1252" s="26"/>
      <c r="AG1252" s="26"/>
      <c r="AH1252" s="26"/>
      <c r="AI1252" s="26"/>
      <c r="AJ1252" s="26"/>
      <c r="AK1252" s="26"/>
      <c r="AL1252" s="26"/>
      <c r="AM1252" s="26"/>
      <c r="AN1252" s="26"/>
    </row>
    <row r="1253">
      <c r="A1253" s="31"/>
      <c r="B1253" s="32"/>
      <c r="C1253" s="33"/>
      <c r="D1253" s="33"/>
      <c r="E1253" s="27"/>
      <c r="F1253" s="29"/>
      <c r="G1253" s="34"/>
      <c r="H1253" s="34"/>
      <c r="I1253" s="34"/>
      <c r="J1253" s="21"/>
      <c r="K1253" s="22"/>
      <c r="L1253" s="23"/>
      <c r="M1253" s="24"/>
      <c r="N1253" s="25"/>
      <c r="O1253" s="26"/>
      <c r="P1253" s="26"/>
      <c r="Q1253" s="25"/>
      <c r="R1253" s="25"/>
      <c r="S1253" s="26"/>
      <c r="T1253" s="26"/>
      <c r="U1253" s="26"/>
      <c r="V1253" s="26"/>
      <c r="W1253" s="26"/>
      <c r="X1253" s="26"/>
      <c r="Y1253" s="26"/>
      <c r="Z1253" s="26"/>
      <c r="AA1253" s="26"/>
      <c r="AB1253" s="26"/>
      <c r="AC1253" s="26"/>
      <c r="AD1253" s="26"/>
      <c r="AE1253" s="26"/>
      <c r="AF1253" s="26"/>
      <c r="AG1253" s="26"/>
      <c r="AH1253" s="26"/>
      <c r="AI1253" s="26"/>
      <c r="AJ1253" s="26"/>
      <c r="AK1253" s="26"/>
      <c r="AL1253" s="26"/>
      <c r="AM1253" s="26"/>
      <c r="AN1253" s="26"/>
    </row>
    <row r="1254">
      <c r="A1254" s="31"/>
      <c r="B1254" s="32"/>
      <c r="C1254" s="33"/>
      <c r="D1254" s="33"/>
      <c r="E1254" s="27"/>
      <c r="F1254" s="29"/>
      <c r="G1254" s="34"/>
      <c r="H1254" s="34"/>
      <c r="I1254" s="34"/>
      <c r="J1254" s="21"/>
      <c r="K1254" s="22"/>
      <c r="L1254" s="23"/>
      <c r="M1254" s="24"/>
      <c r="N1254" s="25"/>
      <c r="O1254" s="26"/>
      <c r="P1254" s="26"/>
      <c r="Q1254" s="25"/>
      <c r="R1254" s="25"/>
      <c r="S1254" s="26"/>
      <c r="T1254" s="26"/>
      <c r="U1254" s="26"/>
      <c r="V1254" s="26"/>
      <c r="W1254" s="26"/>
      <c r="X1254" s="26"/>
      <c r="Y1254" s="26"/>
      <c r="Z1254" s="26"/>
      <c r="AA1254" s="26"/>
      <c r="AB1254" s="26"/>
      <c r="AC1254" s="26"/>
      <c r="AD1254" s="26"/>
      <c r="AE1254" s="26"/>
      <c r="AF1254" s="26"/>
      <c r="AG1254" s="26"/>
      <c r="AH1254" s="26"/>
      <c r="AI1254" s="26"/>
      <c r="AJ1254" s="26"/>
      <c r="AK1254" s="26"/>
      <c r="AL1254" s="26"/>
      <c r="AM1254" s="26"/>
      <c r="AN1254" s="26"/>
    </row>
    <row r="1255">
      <c r="A1255" s="31"/>
      <c r="B1255" s="32"/>
      <c r="C1255" s="33"/>
      <c r="D1255" s="33"/>
      <c r="E1255" s="27"/>
      <c r="F1255" s="29"/>
      <c r="G1255" s="34"/>
      <c r="H1255" s="34"/>
      <c r="I1255" s="34"/>
      <c r="J1255" s="21"/>
      <c r="K1255" s="22"/>
      <c r="L1255" s="23"/>
      <c r="M1255" s="24"/>
      <c r="N1255" s="25"/>
      <c r="O1255" s="26"/>
      <c r="P1255" s="26"/>
      <c r="Q1255" s="25"/>
      <c r="R1255" s="25"/>
      <c r="S1255" s="26"/>
      <c r="T1255" s="26"/>
      <c r="U1255" s="26"/>
      <c r="V1255" s="26"/>
      <c r="W1255" s="26"/>
      <c r="X1255" s="26"/>
      <c r="Y1255" s="26"/>
      <c r="Z1255" s="26"/>
      <c r="AA1255" s="26"/>
      <c r="AB1255" s="26"/>
      <c r="AC1255" s="26"/>
      <c r="AD1255" s="26"/>
      <c r="AE1255" s="26"/>
      <c r="AF1255" s="26"/>
      <c r="AG1255" s="26"/>
      <c r="AH1255" s="26"/>
      <c r="AI1255" s="26"/>
      <c r="AJ1255" s="26"/>
      <c r="AK1255" s="26"/>
      <c r="AL1255" s="26"/>
      <c r="AM1255" s="26"/>
      <c r="AN1255" s="26"/>
    </row>
    <row r="1256">
      <c r="A1256" s="31"/>
      <c r="B1256" s="32"/>
      <c r="C1256" s="33"/>
      <c r="D1256" s="33"/>
      <c r="E1256" s="27"/>
      <c r="F1256" s="29"/>
      <c r="G1256" s="34"/>
      <c r="H1256" s="34"/>
      <c r="I1256" s="34"/>
      <c r="J1256" s="21"/>
      <c r="K1256" s="22"/>
      <c r="L1256" s="23"/>
      <c r="M1256" s="24"/>
      <c r="N1256" s="25"/>
      <c r="O1256" s="26"/>
      <c r="P1256" s="26"/>
      <c r="Q1256" s="25"/>
      <c r="R1256" s="25"/>
      <c r="S1256" s="26"/>
      <c r="T1256" s="26"/>
      <c r="U1256" s="26"/>
      <c r="V1256" s="26"/>
      <c r="W1256" s="26"/>
      <c r="X1256" s="26"/>
      <c r="Y1256" s="26"/>
      <c r="Z1256" s="26"/>
      <c r="AA1256" s="26"/>
      <c r="AB1256" s="26"/>
      <c r="AC1256" s="26"/>
      <c r="AD1256" s="26"/>
      <c r="AE1256" s="26"/>
      <c r="AF1256" s="26"/>
      <c r="AG1256" s="26"/>
      <c r="AH1256" s="26"/>
      <c r="AI1256" s="26"/>
      <c r="AJ1256" s="26"/>
      <c r="AK1256" s="26"/>
      <c r="AL1256" s="26"/>
      <c r="AM1256" s="26"/>
      <c r="AN1256" s="26"/>
    </row>
    <row r="1257">
      <c r="A1257" s="31"/>
      <c r="B1257" s="32"/>
      <c r="C1257" s="33"/>
      <c r="D1257" s="33"/>
      <c r="E1257" s="27"/>
      <c r="F1257" s="29"/>
      <c r="G1257" s="34"/>
      <c r="H1257" s="34"/>
      <c r="I1257" s="34"/>
      <c r="J1257" s="21"/>
      <c r="K1257" s="22"/>
      <c r="L1257" s="23"/>
      <c r="M1257" s="24"/>
      <c r="N1257" s="25"/>
      <c r="O1257" s="26"/>
      <c r="P1257" s="26"/>
      <c r="Q1257" s="25"/>
      <c r="R1257" s="25"/>
      <c r="S1257" s="26"/>
      <c r="T1257" s="26"/>
      <c r="U1257" s="26"/>
      <c r="V1257" s="26"/>
      <c r="W1257" s="26"/>
      <c r="X1257" s="26"/>
      <c r="Y1257" s="26"/>
      <c r="Z1257" s="26"/>
      <c r="AA1257" s="26"/>
      <c r="AB1257" s="26"/>
      <c r="AC1257" s="26"/>
      <c r="AD1257" s="26"/>
      <c r="AE1257" s="26"/>
      <c r="AF1257" s="26"/>
      <c r="AG1257" s="26"/>
      <c r="AH1257" s="26"/>
      <c r="AI1257" s="26"/>
      <c r="AJ1257" s="26"/>
      <c r="AK1257" s="26"/>
      <c r="AL1257" s="26"/>
      <c r="AM1257" s="26"/>
      <c r="AN1257" s="26"/>
    </row>
    <row r="1258">
      <c r="A1258" s="31"/>
      <c r="B1258" s="32"/>
      <c r="C1258" s="33"/>
      <c r="D1258" s="33"/>
      <c r="E1258" s="27"/>
      <c r="F1258" s="29"/>
      <c r="G1258" s="34"/>
      <c r="H1258" s="34"/>
      <c r="I1258" s="34"/>
      <c r="J1258" s="21"/>
      <c r="K1258" s="22"/>
      <c r="L1258" s="23"/>
      <c r="M1258" s="24"/>
      <c r="N1258" s="25"/>
      <c r="O1258" s="26"/>
      <c r="P1258" s="26"/>
      <c r="Q1258" s="25"/>
      <c r="R1258" s="25"/>
      <c r="S1258" s="26"/>
      <c r="T1258" s="26"/>
      <c r="U1258" s="26"/>
      <c r="V1258" s="26"/>
      <c r="W1258" s="26"/>
      <c r="X1258" s="26"/>
      <c r="Y1258" s="26"/>
      <c r="Z1258" s="26"/>
      <c r="AA1258" s="26"/>
      <c r="AB1258" s="26"/>
      <c r="AC1258" s="26"/>
      <c r="AD1258" s="26"/>
      <c r="AE1258" s="26"/>
      <c r="AF1258" s="26"/>
      <c r="AG1258" s="26"/>
      <c r="AH1258" s="26"/>
      <c r="AI1258" s="26"/>
      <c r="AJ1258" s="26"/>
      <c r="AK1258" s="26"/>
      <c r="AL1258" s="26"/>
      <c r="AM1258" s="26"/>
      <c r="AN1258" s="26"/>
    </row>
    <row r="1259">
      <c r="A1259" s="31"/>
      <c r="B1259" s="32"/>
      <c r="C1259" s="33"/>
      <c r="D1259" s="33"/>
      <c r="E1259" s="27"/>
      <c r="F1259" s="29"/>
      <c r="G1259" s="34"/>
      <c r="H1259" s="34"/>
      <c r="I1259" s="34"/>
      <c r="J1259" s="21"/>
      <c r="K1259" s="22"/>
      <c r="L1259" s="23"/>
      <c r="M1259" s="24"/>
      <c r="N1259" s="25"/>
      <c r="O1259" s="26"/>
      <c r="P1259" s="26"/>
      <c r="Q1259" s="25"/>
      <c r="R1259" s="25"/>
      <c r="S1259" s="26"/>
      <c r="T1259" s="26"/>
      <c r="U1259" s="26"/>
      <c r="V1259" s="26"/>
      <c r="W1259" s="26"/>
      <c r="X1259" s="26"/>
      <c r="Y1259" s="26"/>
      <c r="Z1259" s="26"/>
      <c r="AA1259" s="26"/>
      <c r="AB1259" s="26"/>
      <c r="AC1259" s="26"/>
      <c r="AD1259" s="26"/>
      <c r="AE1259" s="26"/>
      <c r="AF1259" s="26"/>
      <c r="AG1259" s="26"/>
      <c r="AH1259" s="26"/>
      <c r="AI1259" s="26"/>
      <c r="AJ1259" s="26"/>
      <c r="AK1259" s="26"/>
      <c r="AL1259" s="26"/>
      <c r="AM1259" s="26"/>
      <c r="AN1259" s="26"/>
    </row>
    <row r="1260">
      <c r="A1260" s="31"/>
      <c r="B1260" s="32"/>
      <c r="C1260" s="33"/>
      <c r="D1260" s="33"/>
      <c r="E1260" s="27"/>
      <c r="F1260" s="29"/>
      <c r="G1260" s="34"/>
      <c r="H1260" s="34"/>
      <c r="I1260" s="34"/>
      <c r="J1260" s="21"/>
      <c r="K1260" s="22"/>
      <c r="L1260" s="23"/>
      <c r="M1260" s="24"/>
      <c r="N1260" s="25"/>
      <c r="O1260" s="26"/>
      <c r="P1260" s="26"/>
      <c r="Q1260" s="25"/>
      <c r="R1260" s="25"/>
      <c r="S1260" s="26"/>
      <c r="T1260" s="26"/>
      <c r="U1260" s="26"/>
      <c r="V1260" s="26"/>
      <c r="W1260" s="26"/>
      <c r="X1260" s="26"/>
      <c r="Y1260" s="26"/>
      <c r="Z1260" s="26"/>
      <c r="AA1260" s="26"/>
      <c r="AB1260" s="26"/>
      <c r="AC1260" s="26"/>
      <c r="AD1260" s="26"/>
      <c r="AE1260" s="26"/>
      <c r="AF1260" s="26"/>
      <c r="AG1260" s="26"/>
      <c r="AH1260" s="26"/>
      <c r="AI1260" s="26"/>
      <c r="AJ1260" s="26"/>
      <c r="AK1260" s="26"/>
      <c r="AL1260" s="26"/>
      <c r="AM1260" s="26"/>
      <c r="AN1260" s="26"/>
    </row>
    <row r="1261">
      <c r="A1261" s="31"/>
      <c r="B1261" s="32"/>
      <c r="C1261" s="33"/>
      <c r="D1261" s="33"/>
      <c r="E1261" s="27"/>
      <c r="F1261" s="29"/>
      <c r="G1261" s="34"/>
      <c r="H1261" s="34"/>
      <c r="I1261" s="34"/>
      <c r="J1261" s="21"/>
      <c r="K1261" s="22"/>
      <c r="L1261" s="23"/>
      <c r="M1261" s="24"/>
      <c r="N1261" s="25"/>
      <c r="O1261" s="26"/>
      <c r="P1261" s="26"/>
      <c r="Q1261" s="25"/>
      <c r="R1261" s="25"/>
      <c r="S1261" s="26"/>
      <c r="T1261" s="26"/>
      <c r="U1261" s="26"/>
      <c r="V1261" s="26"/>
      <c r="W1261" s="26"/>
      <c r="X1261" s="26"/>
      <c r="Y1261" s="26"/>
      <c r="Z1261" s="26"/>
      <c r="AA1261" s="26"/>
      <c r="AB1261" s="26"/>
      <c r="AC1261" s="26"/>
      <c r="AD1261" s="26"/>
      <c r="AE1261" s="26"/>
      <c r="AF1261" s="26"/>
      <c r="AG1261" s="26"/>
      <c r="AH1261" s="26"/>
      <c r="AI1261" s="26"/>
      <c r="AJ1261" s="26"/>
      <c r="AK1261" s="26"/>
      <c r="AL1261" s="26"/>
      <c r="AM1261" s="26"/>
      <c r="AN1261" s="26"/>
    </row>
    <row r="1262">
      <c r="A1262" s="31"/>
      <c r="B1262" s="32"/>
      <c r="C1262" s="33"/>
      <c r="D1262" s="33"/>
      <c r="E1262" s="27"/>
      <c r="F1262" s="29"/>
      <c r="G1262" s="34"/>
      <c r="H1262" s="34"/>
      <c r="I1262" s="34"/>
      <c r="J1262" s="21"/>
      <c r="K1262" s="22"/>
      <c r="L1262" s="23"/>
      <c r="M1262" s="24"/>
      <c r="N1262" s="25"/>
      <c r="O1262" s="26"/>
      <c r="P1262" s="26"/>
      <c r="Q1262" s="25"/>
      <c r="R1262" s="25"/>
      <c r="S1262" s="26"/>
      <c r="T1262" s="26"/>
      <c r="U1262" s="26"/>
      <c r="V1262" s="26"/>
      <c r="W1262" s="26"/>
      <c r="X1262" s="26"/>
      <c r="Y1262" s="26"/>
      <c r="Z1262" s="26"/>
      <c r="AA1262" s="26"/>
      <c r="AB1262" s="26"/>
      <c r="AC1262" s="26"/>
      <c r="AD1262" s="26"/>
      <c r="AE1262" s="26"/>
      <c r="AF1262" s="26"/>
      <c r="AG1262" s="26"/>
      <c r="AH1262" s="26"/>
      <c r="AI1262" s="26"/>
      <c r="AJ1262" s="26"/>
      <c r="AK1262" s="26"/>
      <c r="AL1262" s="26"/>
      <c r="AM1262" s="26"/>
      <c r="AN1262" s="26"/>
    </row>
    <row r="1263">
      <c r="A1263" s="31"/>
      <c r="B1263" s="32"/>
      <c r="C1263" s="33"/>
      <c r="D1263" s="33"/>
      <c r="E1263" s="27"/>
      <c r="F1263" s="29"/>
      <c r="G1263" s="34"/>
      <c r="H1263" s="34"/>
      <c r="I1263" s="34"/>
      <c r="J1263" s="21"/>
      <c r="K1263" s="22"/>
      <c r="L1263" s="23"/>
      <c r="M1263" s="24"/>
      <c r="N1263" s="25"/>
      <c r="O1263" s="26"/>
      <c r="P1263" s="26"/>
      <c r="Q1263" s="25"/>
      <c r="R1263" s="25"/>
      <c r="S1263" s="26"/>
      <c r="T1263" s="26"/>
      <c r="U1263" s="26"/>
      <c r="V1263" s="26"/>
      <c r="W1263" s="26"/>
      <c r="X1263" s="26"/>
      <c r="Y1263" s="26"/>
      <c r="Z1263" s="26"/>
      <c r="AA1263" s="26"/>
      <c r="AB1263" s="26"/>
      <c r="AC1263" s="26"/>
      <c r="AD1263" s="26"/>
      <c r="AE1263" s="26"/>
      <c r="AF1263" s="26"/>
      <c r="AG1263" s="26"/>
      <c r="AH1263" s="26"/>
      <c r="AI1263" s="26"/>
      <c r="AJ1263" s="26"/>
      <c r="AK1263" s="26"/>
      <c r="AL1263" s="26"/>
      <c r="AM1263" s="26"/>
      <c r="AN1263" s="26"/>
    </row>
    <row r="1264">
      <c r="A1264" s="31"/>
      <c r="B1264" s="32"/>
      <c r="C1264" s="33"/>
      <c r="D1264" s="33"/>
      <c r="E1264" s="27"/>
      <c r="F1264" s="29"/>
      <c r="G1264" s="34"/>
      <c r="H1264" s="34"/>
      <c r="I1264" s="34"/>
      <c r="J1264" s="21"/>
      <c r="K1264" s="22"/>
      <c r="L1264" s="23"/>
      <c r="M1264" s="24"/>
      <c r="N1264" s="25"/>
      <c r="O1264" s="26"/>
      <c r="P1264" s="26"/>
      <c r="Q1264" s="25"/>
      <c r="R1264" s="25"/>
      <c r="S1264" s="26"/>
      <c r="T1264" s="26"/>
      <c r="U1264" s="26"/>
      <c r="V1264" s="26"/>
      <c r="W1264" s="26"/>
      <c r="X1264" s="26"/>
      <c r="Y1264" s="26"/>
      <c r="Z1264" s="26"/>
      <c r="AA1264" s="26"/>
      <c r="AB1264" s="26"/>
      <c r="AC1264" s="26"/>
      <c r="AD1264" s="26"/>
      <c r="AE1264" s="26"/>
      <c r="AF1264" s="26"/>
      <c r="AG1264" s="26"/>
      <c r="AH1264" s="26"/>
      <c r="AI1264" s="26"/>
      <c r="AJ1264" s="26"/>
      <c r="AK1264" s="26"/>
      <c r="AL1264" s="26"/>
      <c r="AM1264" s="26"/>
      <c r="AN1264" s="26"/>
    </row>
    <row r="1265">
      <c r="A1265" s="31"/>
      <c r="B1265" s="32"/>
      <c r="C1265" s="33"/>
      <c r="D1265" s="33"/>
      <c r="E1265" s="27"/>
      <c r="F1265" s="29"/>
      <c r="G1265" s="34"/>
      <c r="H1265" s="34"/>
      <c r="I1265" s="34"/>
      <c r="J1265" s="21"/>
      <c r="K1265" s="22"/>
      <c r="L1265" s="23"/>
      <c r="M1265" s="24"/>
      <c r="N1265" s="25"/>
      <c r="O1265" s="26"/>
      <c r="P1265" s="26"/>
      <c r="Q1265" s="25"/>
      <c r="R1265" s="25"/>
      <c r="S1265" s="26"/>
      <c r="T1265" s="26"/>
      <c r="U1265" s="26"/>
      <c r="V1265" s="26"/>
      <c r="W1265" s="26"/>
      <c r="X1265" s="26"/>
      <c r="Y1265" s="26"/>
      <c r="Z1265" s="26"/>
      <c r="AA1265" s="26"/>
      <c r="AB1265" s="26"/>
      <c r="AC1265" s="26"/>
      <c r="AD1265" s="26"/>
      <c r="AE1265" s="26"/>
      <c r="AF1265" s="26"/>
      <c r="AG1265" s="26"/>
      <c r="AH1265" s="26"/>
      <c r="AI1265" s="26"/>
      <c r="AJ1265" s="26"/>
      <c r="AK1265" s="26"/>
      <c r="AL1265" s="26"/>
      <c r="AM1265" s="26"/>
      <c r="AN1265" s="26"/>
    </row>
    <row r="1266">
      <c r="A1266" s="31"/>
      <c r="B1266" s="32"/>
      <c r="C1266" s="33"/>
      <c r="D1266" s="33"/>
      <c r="E1266" s="27"/>
      <c r="F1266" s="29"/>
      <c r="G1266" s="34"/>
      <c r="H1266" s="34"/>
      <c r="I1266" s="34"/>
      <c r="J1266" s="21"/>
      <c r="K1266" s="22"/>
      <c r="L1266" s="23"/>
      <c r="M1266" s="24"/>
      <c r="N1266" s="25"/>
      <c r="O1266" s="26"/>
      <c r="P1266" s="26"/>
      <c r="Q1266" s="25"/>
      <c r="R1266" s="25"/>
      <c r="S1266" s="26"/>
      <c r="T1266" s="26"/>
      <c r="U1266" s="26"/>
      <c r="V1266" s="26"/>
      <c r="W1266" s="26"/>
      <c r="X1266" s="26"/>
      <c r="Y1266" s="26"/>
      <c r="Z1266" s="26"/>
      <c r="AA1266" s="26"/>
      <c r="AB1266" s="26"/>
      <c r="AC1266" s="26"/>
      <c r="AD1266" s="26"/>
      <c r="AE1266" s="26"/>
      <c r="AF1266" s="26"/>
      <c r="AG1266" s="26"/>
      <c r="AH1266" s="26"/>
      <c r="AI1266" s="26"/>
      <c r="AJ1266" s="26"/>
      <c r="AK1266" s="26"/>
      <c r="AL1266" s="26"/>
      <c r="AM1266" s="26"/>
      <c r="AN1266" s="26"/>
    </row>
    <row r="1267">
      <c r="A1267" s="31"/>
      <c r="B1267" s="32"/>
      <c r="C1267" s="33"/>
      <c r="D1267" s="33"/>
      <c r="E1267" s="27"/>
      <c r="F1267" s="29"/>
      <c r="G1267" s="34"/>
      <c r="H1267" s="34"/>
      <c r="I1267" s="34"/>
      <c r="J1267" s="21"/>
      <c r="K1267" s="22"/>
      <c r="L1267" s="23"/>
      <c r="M1267" s="24"/>
      <c r="N1267" s="25"/>
      <c r="O1267" s="26"/>
      <c r="P1267" s="26"/>
      <c r="Q1267" s="25"/>
      <c r="R1267" s="25"/>
      <c r="S1267" s="26"/>
      <c r="T1267" s="26"/>
      <c r="U1267" s="26"/>
      <c r="V1267" s="26"/>
      <c r="W1267" s="26"/>
      <c r="X1267" s="26"/>
      <c r="Y1267" s="26"/>
      <c r="Z1267" s="26"/>
      <c r="AA1267" s="26"/>
      <c r="AB1267" s="26"/>
      <c r="AC1267" s="26"/>
      <c r="AD1267" s="26"/>
      <c r="AE1267" s="26"/>
      <c r="AF1267" s="26"/>
      <c r="AG1267" s="26"/>
      <c r="AH1267" s="26"/>
      <c r="AI1267" s="26"/>
      <c r="AJ1267" s="26"/>
      <c r="AK1267" s="26"/>
      <c r="AL1267" s="26"/>
      <c r="AM1267" s="26"/>
      <c r="AN1267" s="26"/>
    </row>
    <row r="1268">
      <c r="A1268" s="31"/>
      <c r="B1268" s="32"/>
      <c r="C1268" s="33"/>
      <c r="D1268" s="33"/>
      <c r="E1268" s="27"/>
      <c r="F1268" s="29"/>
      <c r="G1268" s="34"/>
      <c r="H1268" s="34"/>
      <c r="I1268" s="34"/>
      <c r="J1268" s="21"/>
      <c r="K1268" s="22"/>
      <c r="L1268" s="23"/>
      <c r="M1268" s="24"/>
      <c r="N1268" s="25"/>
      <c r="O1268" s="26"/>
      <c r="P1268" s="26"/>
      <c r="Q1268" s="25"/>
      <c r="R1268" s="25"/>
      <c r="S1268" s="26"/>
      <c r="T1268" s="26"/>
      <c r="U1268" s="26"/>
      <c r="V1268" s="26"/>
      <c r="W1268" s="26"/>
      <c r="X1268" s="26"/>
      <c r="Y1268" s="26"/>
      <c r="Z1268" s="26"/>
      <c r="AA1268" s="26"/>
      <c r="AB1268" s="26"/>
      <c r="AC1268" s="26"/>
      <c r="AD1268" s="26"/>
      <c r="AE1268" s="26"/>
      <c r="AF1268" s="26"/>
      <c r="AG1268" s="26"/>
      <c r="AH1268" s="26"/>
      <c r="AI1268" s="26"/>
      <c r="AJ1268" s="26"/>
      <c r="AK1268" s="26"/>
      <c r="AL1268" s="26"/>
      <c r="AM1268" s="26"/>
      <c r="AN1268" s="26"/>
    </row>
    <row r="1269">
      <c r="A1269" s="31"/>
      <c r="B1269" s="32"/>
      <c r="C1269" s="33"/>
      <c r="D1269" s="33"/>
      <c r="E1269" s="27"/>
      <c r="F1269" s="29"/>
      <c r="G1269" s="34"/>
      <c r="H1269" s="34"/>
      <c r="I1269" s="34"/>
      <c r="J1269" s="21"/>
      <c r="K1269" s="22"/>
      <c r="L1269" s="23"/>
      <c r="M1269" s="24"/>
      <c r="N1269" s="25"/>
      <c r="O1269" s="26"/>
      <c r="P1269" s="26"/>
      <c r="Q1269" s="25"/>
      <c r="R1269" s="25"/>
      <c r="S1269" s="26"/>
      <c r="T1269" s="26"/>
      <c r="U1269" s="26"/>
      <c r="V1269" s="26"/>
      <c r="W1269" s="26"/>
      <c r="X1269" s="26"/>
      <c r="Y1269" s="26"/>
      <c r="Z1269" s="26"/>
      <c r="AA1269" s="26"/>
      <c r="AB1269" s="26"/>
      <c r="AC1269" s="26"/>
      <c r="AD1269" s="26"/>
      <c r="AE1269" s="26"/>
      <c r="AF1269" s="26"/>
      <c r="AG1269" s="26"/>
      <c r="AH1269" s="26"/>
      <c r="AI1269" s="26"/>
      <c r="AJ1269" s="26"/>
      <c r="AK1269" s="26"/>
      <c r="AL1269" s="26"/>
      <c r="AM1269" s="26"/>
      <c r="AN1269" s="26"/>
    </row>
    <row r="1270">
      <c r="A1270" s="31"/>
      <c r="B1270" s="32"/>
      <c r="C1270" s="33"/>
      <c r="D1270" s="33"/>
      <c r="E1270" s="27"/>
      <c r="F1270" s="29"/>
      <c r="G1270" s="34"/>
      <c r="H1270" s="34"/>
      <c r="I1270" s="34"/>
      <c r="J1270" s="21"/>
      <c r="K1270" s="22"/>
      <c r="L1270" s="23"/>
      <c r="M1270" s="24"/>
      <c r="N1270" s="25"/>
      <c r="O1270" s="26"/>
      <c r="P1270" s="26"/>
      <c r="Q1270" s="25"/>
      <c r="R1270" s="25"/>
      <c r="S1270" s="26"/>
      <c r="T1270" s="26"/>
      <c r="U1270" s="26"/>
      <c r="V1270" s="26"/>
      <c r="W1270" s="26"/>
      <c r="X1270" s="26"/>
      <c r="Y1270" s="26"/>
      <c r="Z1270" s="26"/>
      <c r="AA1270" s="26"/>
      <c r="AB1270" s="26"/>
      <c r="AC1270" s="26"/>
      <c r="AD1270" s="26"/>
      <c r="AE1270" s="26"/>
      <c r="AF1270" s="26"/>
      <c r="AG1270" s="26"/>
      <c r="AH1270" s="26"/>
      <c r="AI1270" s="26"/>
      <c r="AJ1270" s="26"/>
      <c r="AK1270" s="26"/>
      <c r="AL1270" s="26"/>
      <c r="AM1270" s="26"/>
      <c r="AN1270" s="26"/>
    </row>
    <row r="1271">
      <c r="A1271" s="31"/>
      <c r="B1271" s="32"/>
      <c r="C1271" s="33"/>
      <c r="D1271" s="33"/>
      <c r="E1271" s="27"/>
      <c r="F1271" s="29"/>
      <c r="G1271" s="34"/>
      <c r="H1271" s="34"/>
      <c r="I1271" s="34"/>
      <c r="J1271" s="21"/>
      <c r="K1271" s="22"/>
      <c r="L1271" s="23"/>
      <c r="M1271" s="24"/>
      <c r="N1271" s="25"/>
      <c r="O1271" s="26"/>
      <c r="P1271" s="26"/>
      <c r="Q1271" s="25"/>
      <c r="R1271" s="25"/>
      <c r="S1271" s="26"/>
      <c r="T1271" s="26"/>
      <c r="U1271" s="26"/>
      <c r="V1271" s="26"/>
      <c r="W1271" s="26"/>
      <c r="X1271" s="26"/>
      <c r="Y1271" s="26"/>
      <c r="Z1271" s="26"/>
      <c r="AA1271" s="26"/>
      <c r="AB1271" s="26"/>
      <c r="AC1271" s="26"/>
      <c r="AD1271" s="26"/>
      <c r="AE1271" s="26"/>
      <c r="AF1271" s="26"/>
      <c r="AG1271" s="26"/>
      <c r="AH1271" s="26"/>
      <c r="AI1271" s="26"/>
      <c r="AJ1271" s="26"/>
      <c r="AK1271" s="26"/>
      <c r="AL1271" s="26"/>
      <c r="AM1271" s="26"/>
      <c r="AN1271" s="26"/>
    </row>
    <row r="1272">
      <c r="A1272" s="31"/>
      <c r="B1272" s="32"/>
      <c r="C1272" s="33"/>
      <c r="D1272" s="33"/>
      <c r="E1272" s="27"/>
      <c r="F1272" s="29"/>
      <c r="G1272" s="34"/>
      <c r="H1272" s="34"/>
      <c r="I1272" s="34"/>
      <c r="J1272" s="21"/>
      <c r="K1272" s="22"/>
      <c r="L1272" s="23"/>
      <c r="M1272" s="24"/>
      <c r="N1272" s="25"/>
      <c r="O1272" s="26"/>
      <c r="P1272" s="26"/>
      <c r="Q1272" s="25"/>
      <c r="R1272" s="25"/>
      <c r="S1272" s="26"/>
      <c r="T1272" s="26"/>
      <c r="U1272" s="26"/>
      <c r="V1272" s="26"/>
      <c r="W1272" s="26"/>
      <c r="X1272" s="26"/>
      <c r="Y1272" s="26"/>
      <c r="Z1272" s="26"/>
      <c r="AA1272" s="26"/>
      <c r="AB1272" s="26"/>
      <c r="AC1272" s="26"/>
      <c r="AD1272" s="26"/>
      <c r="AE1272" s="26"/>
      <c r="AF1272" s="26"/>
      <c r="AG1272" s="26"/>
      <c r="AH1272" s="26"/>
      <c r="AI1272" s="26"/>
      <c r="AJ1272" s="26"/>
      <c r="AK1272" s="26"/>
      <c r="AL1272" s="26"/>
      <c r="AM1272" s="26"/>
      <c r="AN1272" s="26"/>
    </row>
    <row r="1273">
      <c r="A1273" s="31"/>
      <c r="B1273" s="32"/>
      <c r="C1273" s="33"/>
      <c r="D1273" s="33"/>
      <c r="E1273" s="27"/>
      <c r="F1273" s="29"/>
      <c r="G1273" s="34"/>
      <c r="H1273" s="34"/>
      <c r="I1273" s="34"/>
      <c r="J1273" s="21"/>
      <c r="K1273" s="22"/>
      <c r="L1273" s="23"/>
      <c r="M1273" s="24"/>
      <c r="N1273" s="25"/>
      <c r="O1273" s="26"/>
      <c r="P1273" s="26"/>
      <c r="Q1273" s="25"/>
      <c r="R1273" s="25"/>
      <c r="S1273" s="26"/>
      <c r="T1273" s="26"/>
      <c r="U1273" s="26"/>
      <c r="V1273" s="26"/>
      <c r="W1273" s="26"/>
      <c r="X1273" s="26"/>
      <c r="Y1273" s="26"/>
      <c r="Z1273" s="26"/>
      <c r="AA1273" s="26"/>
      <c r="AB1273" s="26"/>
      <c r="AC1273" s="26"/>
      <c r="AD1273" s="26"/>
      <c r="AE1273" s="26"/>
      <c r="AF1273" s="26"/>
      <c r="AG1273" s="26"/>
      <c r="AH1273" s="26"/>
      <c r="AI1273" s="26"/>
      <c r="AJ1273" s="26"/>
      <c r="AK1273" s="26"/>
      <c r="AL1273" s="26"/>
      <c r="AM1273" s="26"/>
      <c r="AN1273" s="26"/>
    </row>
    <row r="1274">
      <c r="A1274" s="31"/>
      <c r="B1274" s="32"/>
      <c r="C1274" s="33"/>
      <c r="D1274" s="33"/>
      <c r="E1274" s="27"/>
      <c r="F1274" s="29"/>
      <c r="G1274" s="34"/>
      <c r="H1274" s="34"/>
      <c r="I1274" s="34"/>
      <c r="J1274" s="21"/>
      <c r="K1274" s="22"/>
      <c r="L1274" s="23"/>
      <c r="M1274" s="24"/>
      <c r="N1274" s="25"/>
      <c r="O1274" s="26"/>
      <c r="P1274" s="26"/>
      <c r="Q1274" s="25"/>
      <c r="R1274" s="25"/>
      <c r="S1274" s="26"/>
      <c r="T1274" s="26"/>
      <c r="U1274" s="26"/>
      <c r="V1274" s="26"/>
      <c r="W1274" s="26"/>
      <c r="X1274" s="26"/>
      <c r="Y1274" s="26"/>
      <c r="Z1274" s="26"/>
      <c r="AA1274" s="26"/>
      <c r="AB1274" s="26"/>
      <c r="AC1274" s="26"/>
      <c r="AD1274" s="26"/>
      <c r="AE1274" s="26"/>
      <c r="AF1274" s="26"/>
      <c r="AG1274" s="26"/>
      <c r="AH1274" s="26"/>
      <c r="AI1274" s="26"/>
      <c r="AJ1274" s="26"/>
      <c r="AK1274" s="26"/>
      <c r="AL1274" s="26"/>
      <c r="AM1274" s="26"/>
      <c r="AN1274" s="26"/>
    </row>
    <row r="1275">
      <c r="A1275" s="31"/>
      <c r="B1275" s="32"/>
      <c r="C1275" s="33"/>
      <c r="D1275" s="33"/>
      <c r="E1275" s="27"/>
      <c r="F1275" s="29"/>
      <c r="G1275" s="34"/>
      <c r="H1275" s="34"/>
      <c r="I1275" s="34"/>
      <c r="J1275" s="21"/>
      <c r="K1275" s="22"/>
      <c r="L1275" s="23"/>
      <c r="M1275" s="24"/>
      <c r="N1275" s="25"/>
      <c r="O1275" s="26"/>
      <c r="P1275" s="26"/>
      <c r="Q1275" s="25"/>
      <c r="R1275" s="25"/>
      <c r="S1275" s="26"/>
      <c r="T1275" s="26"/>
      <c r="U1275" s="26"/>
      <c r="V1275" s="26"/>
      <c r="W1275" s="26"/>
      <c r="X1275" s="26"/>
      <c r="Y1275" s="26"/>
      <c r="Z1275" s="26"/>
      <c r="AA1275" s="26"/>
      <c r="AB1275" s="26"/>
      <c r="AC1275" s="26"/>
      <c r="AD1275" s="26"/>
      <c r="AE1275" s="26"/>
      <c r="AF1275" s="26"/>
      <c r="AG1275" s="26"/>
      <c r="AH1275" s="26"/>
      <c r="AI1275" s="26"/>
      <c r="AJ1275" s="26"/>
      <c r="AK1275" s="26"/>
      <c r="AL1275" s="26"/>
      <c r="AM1275" s="26"/>
      <c r="AN1275" s="26"/>
    </row>
    <row r="1276">
      <c r="A1276" s="31"/>
      <c r="B1276" s="32"/>
      <c r="C1276" s="33"/>
      <c r="D1276" s="33"/>
      <c r="E1276" s="27"/>
      <c r="F1276" s="29"/>
      <c r="G1276" s="34"/>
      <c r="H1276" s="34"/>
      <c r="I1276" s="34"/>
      <c r="J1276" s="21"/>
      <c r="K1276" s="22"/>
      <c r="L1276" s="23"/>
      <c r="M1276" s="24"/>
      <c r="N1276" s="25"/>
      <c r="O1276" s="26"/>
      <c r="P1276" s="26"/>
      <c r="Q1276" s="25"/>
      <c r="R1276" s="25"/>
      <c r="S1276" s="26"/>
      <c r="T1276" s="26"/>
      <c r="U1276" s="26"/>
      <c r="V1276" s="26"/>
      <c r="W1276" s="26"/>
      <c r="X1276" s="26"/>
      <c r="Y1276" s="26"/>
      <c r="Z1276" s="26"/>
      <c r="AA1276" s="26"/>
      <c r="AB1276" s="26"/>
      <c r="AC1276" s="26"/>
      <c r="AD1276" s="26"/>
      <c r="AE1276" s="26"/>
      <c r="AF1276" s="26"/>
      <c r="AG1276" s="26"/>
      <c r="AH1276" s="26"/>
      <c r="AI1276" s="26"/>
      <c r="AJ1276" s="26"/>
      <c r="AK1276" s="26"/>
      <c r="AL1276" s="26"/>
      <c r="AM1276" s="26"/>
      <c r="AN1276" s="26"/>
    </row>
    <row r="1277">
      <c r="A1277" s="31"/>
      <c r="B1277" s="32"/>
      <c r="C1277" s="33"/>
      <c r="D1277" s="33"/>
      <c r="E1277" s="27"/>
      <c r="F1277" s="29"/>
      <c r="G1277" s="34"/>
      <c r="H1277" s="34"/>
      <c r="I1277" s="34"/>
      <c r="J1277" s="21"/>
      <c r="K1277" s="22"/>
      <c r="L1277" s="23"/>
      <c r="M1277" s="24"/>
      <c r="N1277" s="25"/>
      <c r="O1277" s="26"/>
      <c r="P1277" s="26"/>
      <c r="Q1277" s="25"/>
      <c r="R1277" s="25"/>
      <c r="S1277" s="26"/>
      <c r="T1277" s="26"/>
      <c r="U1277" s="26"/>
      <c r="V1277" s="26"/>
      <c r="W1277" s="26"/>
      <c r="X1277" s="26"/>
      <c r="Y1277" s="26"/>
      <c r="Z1277" s="26"/>
      <c r="AA1277" s="26"/>
      <c r="AB1277" s="26"/>
      <c r="AC1277" s="26"/>
      <c r="AD1277" s="26"/>
      <c r="AE1277" s="26"/>
      <c r="AF1277" s="26"/>
      <c r="AG1277" s="26"/>
      <c r="AH1277" s="26"/>
      <c r="AI1277" s="26"/>
      <c r="AJ1277" s="26"/>
      <c r="AK1277" s="26"/>
      <c r="AL1277" s="26"/>
      <c r="AM1277" s="26"/>
      <c r="AN1277" s="26"/>
    </row>
    <row r="1278">
      <c r="A1278" s="31"/>
      <c r="B1278" s="32"/>
      <c r="C1278" s="33"/>
      <c r="D1278" s="33"/>
      <c r="E1278" s="27"/>
      <c r="F1278" s="29"/>
      <c r="G1278" s="34"/>
      <c r="H1278" s="34"/>
      <c r="I1278" s="34"/>
      <c r="J1278" s="21"/>
      <c r="K1278" s="22"/>
      <c r="L1278" s="23"/>
      <c r="M1278" s="24"/>
      <c r="N1278" s="25"/>
      <c r="O1278" s="26"/>
      <c r="P1278" s="26"/>
      <c r="Q1278" s="25"/>
      <c r="R1278" s="25"/>
      <c r="S1278" s="26"/>
      <c r="T1278" s="26"/>
      <c r="U1278" s="26"/>
      <c r="V1278" s="26"/>
      <c r="W1278" s="26"/>
      <c r="X1278" s="26"/>
      <c r="Y1278" s="26"/>
      <c r="Z1278" s="26"/>
      <c r="AA1278" s="26"/>
      <c r="AB1278" s="26"/>
      <c r="AC1278" s="26"/>
      <c r="AD1278" s="26"/>
      <c r="AE1278" s="26"/>
      <c r="AF1278" s="26"/>
      <c r="AG1278" s="26"/>
      <c r="AH1278" s="26"/>
      <c r="AI1278" s="26"/>
      <c r="AJ1278" s="26"/>
      <c r="AK1278" s="26"/>
      <c r="AL1278" s="26"/>
      <c r="AM1278" s="26"/>
      <c r="AN1278" s="26"/>
    </row>
    <row r="1279">
      <c r="A1279" s="31"/>
      <c r="B1279" s="32"/>
      <c r="C1279" s="33"/>
      <c r="D1279" s="33"/>
      <c r="E1279" s="27"/>
      <c r="F1279" s="29"/>
      <c r="G1279" s="34"/>
      <c r="H1279" s="34"/>
      <c r="I1279" s="34"/>
      <c r="J1279" s="21"/>
      <c r="K1279" s="22"/>
      <c r="L1279" s="23"/>
      <c r="M1279" s="24"/>
      <c r="N1279" s="25"/>
      <c r="O1279" s="26"/>
      <c r="P1279" s="26"/>
      <c r="Q1279" s="25"/>
      <c r="R1279" s="25"/>
      <c r="S1279" s="26"/>
      <c r="T1279" s="26"/>
      <c r="U1279" s="26"/>
      <c r="V1279" s="26"/>
      <c r="W1279" s="26"/>
      <c r="X1279" s="26"/>
      <c r="Y1279" s="26"/>
      <c r="Z1279" s="26"/>
      <c r="AA1279" s="26"/>
      <c r="AB1279" s="26"/>
      <c r="AC1279" s="26"/>
      <c r="AD1279" s="26"/>
      <c r="AE1279" s="26"/>
      <c r="AF1279" s="26"/>
      <c r="AG1279" s="26"/>
      <c r="AH1279" s="26"/>
      <c r="AI1279" s="26"/>
      <c r="AJ1279" s="26"/>
      <c r="AK1279" s="26"/>
      <c r="AL1279" s="26"/>
      <c r="AM1279" s="26"/>
      <c r="AN1279" s="26"/>
    </row>
    <row r="1280">
      <c r="A1280" s="31"/>
      <c r="B1280" s="32"/>
      <c r="C1280" s="33"/>
      <c r="D1280" s="33"/>
      <c r="E1280" s="27"/>
      <c r="F1280" s="29"/>
      <c r="G1280" s="34"/>
      <c r="H1280" s="34"/>
      <c r="I1280" s="34"/>
      <c r="J1280" s="21"/>
      <c r="K1280" s="22"/>
      <c r="L1280" s="23"/>
      <c r="M1280" s="24"/>
      <c r="N1280" s="25"/>
      <c r="O1280" s="26"/>
      <c r="P1280" s="26"/>
      <c r="Q1280" s="25"/>
      <c r="R1280" s="25"/>
      <c r="S1280" s="26"/>
      <c r="T1280" s="26"/>
      <c r="U1280" s="26"/>
      <c r="V1280" s="26"/>
      <c r="W1280" s="26"/>
      <c r="X1280" s="26"/>
      <c r="Y1280" s="26"/>
      <c r="Z1280" s="26"/>
      <c r="AA1280" s="26"/>
      <c r="AB1280" s="26"/>
      <c r="AC1280" s="26"/>
      <c r="AD1280" s="26"/>
      <c r="AE1280" s="26"/>
      <c r="AF1280" s="26"/>
      <c r="AG1280" s="26"/>
      <c r="AH1280" s="26"/>
      <c r="AI1280" s="26"/>
      <c r="AJ1280" s="26"/>
      <c r="AK1280" s="26"/>
      <c r="AL1280" s="26"/>
      <c r="AM1280" s="26"/>
      <c r="AN1280" s="26"/>
    </row>
    <row r="1281">
      <c r="A1281" s="31"/>
      <c r="B1281" s="32"/>
      <c r="C1281" s="33"/>
      <c r="D1281" s="33"/>
      <c r="E1281" s="27"/>
      <c r="F1281" s="29"/>
      <c r="G1281" s="34"/>
      <c r="H1281" s="34"/>
      <c r="I1281" s="34"/>
      <c r="J1281" s="21"/>
      <c r="K1281" s="22"/>
      <c r="L1281" s="23"/>
      <c r="M1281" s="24"/>
      <c r="N1281" s="25"/>
      <c r="O1281" s="26"/>
      <c r="P1281" s="26"/>
      <c r="Q1281" s="25"/>
      <c r="R1281" s="25"/>
      <c r="S1281" s="26"/>
      <c r="T1281" s="26"/>
      <c r="U1281" s="26"/>
      <c r="V1281" s="26"/>
      <c r="W1281" s="26"/>
      <c r="X1281" s="26"/>
      <c r="Y1281" s="26"/>
      <c r="Z1281" s="26"/>
      <c r="AA1281" s="26"/>
      <c r="AB1281" s="26"/>
      <c r="AC1281" s="26"/>
      <c r="AD1281" s="26"/>
      <c r="AE1281" s="26"/>
      <c r="AF1281" s="26"/>
      <c r="AG1281" s="26"/>
      <c r="AH1281" s="26"/>
      <c r="AI1281" s="26"/>
      <c r="AJ1281" s="26"/>
      <c r="AK1281" s="26"/>
      <c r="AL1281" s="26"/>
      <c r="AM1281" s="26"/>
      <c r="AN1281" s="26"/>
    </row>
    <row r="1282">
      <c r="A1282" s="31"/>
      <c r="B1282" s="32"/>
      <c r="C1282" s="33"/>
      <c r="D1282" s="33"/>
      <c r="E1282" s="27"/>
      <c r="F1282" s="29"/>
      <c r="G1282" s="34"/>
      <c r="H1282" s="34"/>
      <c r="I1282" s="34"/>
      <c r="J1282" s="21"/>
      <c r="K1282" s="22"/>
      <c r="L1282" s="23"/>
      <c r="M1282" s="24"/>
      <c r="N1282" s="25"/>
      <c r="O1282" s="26"/>
      <c r="P1282" s="26"/>
      <c r="Q1282" s="25"/>
      <c r="R1282" s="25"/>
      <c r="S1282" s="26"/>
      <c r="T1282" s="26"/>
      <c r="U1282" s="26"/>
      <c r="V1282" s="26"/>
      <c r="W1282" s="26"/>
      <c r="X1282" s="26"/>
      <c r="Y1282" s="26"/>
      <c r="Z1282" s="26"/>
      <c r="AA1282" s="26"/>
      <c r="AB1282" s="26"/>
      <c r="AC1282" s="26"/>
      <c r="AD1282" s="26"/>
      <c r="AE1282" s="26"/>
      <c r="AF1282" s="26"/>
      <c r="AG1282" s="26"/>
      <c r="AH1282" s="26"/>
      <c r="AI1282" s="26"/>
      <c r="AJ1282" s="26"/>
      <c r="AK1282" s="26"/>
      <c r="AL1282" s="26"/>
      <c r="AM1282" s="26"/>
      <c r="AN1282" s="26"/>
    </row>
    <row r="1283">
      <c r="A1283" s="31"/>
      <c r="B1283" s="32"/>
      <c r="C1283" s="33"/>
      <c r="D1283" s="33"/>
      <c r="E1283" s="27"/>
      <c r="F1283" s="29"/>
      <c r="G1283" s="34"/>
      <c r="H1283" s="34"/>
      <c r="I1283" s="34"/>
      <c r="J1283" s="21"/>
      <c r="K1283" s="22"/>
      <c r="L1283" s="23"/>
      <c r="M1283" s="24"/>
      <c r="N1283" s="25"/>
      <c r="O1283" s="26"/>
      <c r="P1283" s="26"/>
      <c r="Q1283" s="25"/>
      <c r="R1283" s="25"/>
      <c r="S1283" s="26"/>
      <c r="T1283" s="26"/>
      <c r="U1283" s="26"/>
      <c r="V1283" s="26"/>
      <c r="W1283" s="26"/>
      <c r="X1283" s="26"/>
      <c r="Y1283" s="26"/>
      <c r="Z1283" s="26"/>
      <c r="AA1283" s="26"/>
      <c r="AB1283" s="26"/>
      <c r="AC1283" s="26"/>
      <c r="AD1283" s="26"/>
      <c r="AE1283" s="26"/>
      <c r="AF1283" s="26"/>
      <c r="AG1283" s="26"/>
      <c r="AH1283" s="26"/>
      <c r="AI1283" s="26"/>
      <c r="AJ1283" s="26"/>
      <c r="AK1283" s="26"/>
      <c r="AL1283" s="26"/>
      <c r="AM1283" s="26"/>
      <c r="AN1283" s="26"/>
    </row>
    <row r="1284">
      <c r="A1284" s="31"/>
      <c r="B1284" s="32"/>
      <c r="C1284" s="33"/>
      <c r="D1284" s="33"/>
      <c r="E1284" s="27"/>
      <c r="F1284" s="29"/>
      <c r="G1284" s="34"/>
      <c r="H1284" s="34"/>
      <c r="I1284" s="34"/>
      <c r="J1284" s="21"/>
      <c r="K1284" s="22"/>
      <c r="L1284" s="23"/>
      <c r="M1284" s="24"/>
      <c r="N1284" s="25"/>
      <c r="O1284" s="26"/>
      <c r="P1284" s="26"/>
      <c r="Q1284" s="25"/>
      <c r="R1284" s="25"/>
      <c r="S1284" s="26"/>
      <c r="T1284" s="26"/>
      <c r="U1284" s="26"/>
      <c r="V1284" s="26"/>
      <c r="W1284" s="26"/>
      <c r="X1284" s="26"/>
      <c r="Y1284" s="26"/>
      <c r="Z1284" s="26"/>
      <c r="AA1284" s="26"/>
      <c r="AB1284" s="26"/>
      <c r="AC1284" s="26"/>
      <c r="AD1284" s="26"/>
      <c r="AE1284" s="26"/>
      <c r="AF1284" s="26"/>
      <c r="AG1284" s="26"/>
      <c r="AH1284" s="26"/>
      <c r="AI1284" s="26"/>
      <c r="AJ1284" s="26"/>
      <c r="AK1284" s="26"/>
      <c r="AL1284" s="26"/>
      <c r="AM1284" s="26"/>
      <c r="AN1284" s="26"/>
    </row>
    <row r="1285">
      <c r="A1285" s="31"/>
      <c r="B1285" s="32"/>
      <c r="C1285" s="33"/>
      <c r="D1285" s="33"/>
      <c r="E1285" s="27"/>
      <c r="F1285" s="29"/>
      <c r="G1285" s="34"/>
      <c r="H1285" s="34"/>
      <c r="I1285" s="34"/>
      <c r="J1285" s="21"/>
      <c r="K1285" s="22"/>
      <c r="L1285" s="23"/>
      <c r="M1285" s="24"/>
      <c r="N1285" s="25"/>
      <c r="O1285" s="26"/>
      <c r="P1285" s="26"/>
      <c r="Q1285" s="25"/>
      <c r="R1285" s="25"/>
      <c r="S1285" s="26"/>
      <c r="T1285" s="26"/>
      <c r="U1285" s="26"/>
      <c r="V1285" s="26"/>
      <c r="W1285" s="26"/>
      <c r="X1285" s="26"/>
      <c r="Y1285" s="26"/>
      <c r="Z1285" s="26"/>
      <c r="AA1285" s="26"/>
      <c r="AB1285" s="26"/>
      <c r="AC1285" s="26"/>
      <c r="AD1285" s="26"/>
      <c r="AE1285" s="26"/>
      <c r="AF1285" s="26"/>
      <c r="AG1285" s="26"/>
      <c r="AH1285" s="26"/>
      <c r="AI1285" s="26"/>
      <c r="AJ1285" s="26"/>
      <c r="AK1285" s="26"/>
      <c r="AL1285" s="26"/>
      <c r="AM1285" s="26"/>
      <c r="AN1285" s="26"/>
    </row>
    <row r="1286">
      <c r="A1286" s="31"/>
      <c r="B1286" s="32"/>
      <c r="C1286" s="33"/>
      <c r="D1286" s="33"/>
      <c r="E1286" s="27"/>
      <c r="F1286" s="29"/>
      <c r="G1286" s="34"/>
      <c r="H1286" s="34"/>
      <c r="I1286" s="34"/>
      <c r="J1286" s="21"/>
      <c r="K1286" s="22"/>
      <c r="L1286" s="23"/>
      <c r="M1286" s="24"/>
      <c r="N1286" s="25"/>
      <c r="O1286" s="26"/>
      <c r="P1286" s="26"/>
      <c r="Q1286" s="25"/>
      <c r="R1286" s="25"/>
      <c r="S1286" s="26"/>
      <c r="T1286" s="26"/>
      <c r="U1286" s="26"/>
      <c r="V1286" s="26"/>
      <c r="W1286" s="26"/>
      <c r="X1286" s="26"/>
      <c r="Y1286" s="26"/>
      <c r="Z1286" s="26"/>
      <c r="AA1286" s="26"/>
      <c r="AB1286" s="26"/>
      <c r="AC1286" s="26"/>
      <c r="AD1286" s="26"/>
      <c r="AE1286" s="26"/>
      <c r="AF1286" s="26"/>
      <c r="AG1286" s="26"/>
      <c r="AH1286" s="26"/>
      <c r="AI1286" s="26"/>
      <c r="AJ1286" s="26"/>
      <c r="AK1286" s="26"/>
      <c r="AL1286" s="26"/>
      <c r="AM1286" s="26"/>
      <c r="AN1286" s="26"/>
    </row>
    <row r="1287">
      <c r="A1287" s="31"/>
      <c r="B1287" s="32"/>
      <c r="C1287" s="33"/>
      <c r="D1287" s="33"/>
      <c r="E1287" s="27"/>
      <c r="F1287" s="29"/>
      <c r="G1287" s="34"/>
      <c r="H1287" s="34"/>
      <c r="I1287" s="34"/>
      <c r="J1287" s="21"/>
      <c r="K1287" s="22"/>
      <c r="L1287" s="23"/>
      <c r="M1287" s="24"/>
      <c r="N1287" s="25"/>
      <c r="O1287" s="26"/>
      <c r="P1287" s="26"/>
      <c r="Q1287" s="25"/>
      <c r="R1287" s="25"/>
      <c r="S1287" s="26"/>
      <c r="T1287" s="26"/>
      <c r="U1287" s="26"/>
      <c r="V1287" s="26"/>
      <c r="W1287" s="26"/>
      <c r="X1287" s="26"/>
      <c r="Y1287" s="26"/>
      <c r="Z1287" s="26"/>
      <c r="AA1287" s="26"/>
      <c r="AB1287" s="26"/>
      <c r="AC1287" s="26"/>
      <c r="AD1287" s="26"/>
      <c r="AE1287" s="26"/>
      <c r="AF1287" s="26"/>
      <c r="AG1287" s="26"/>
      <c r="AH1287" s="26"/>
      <c r="AI1287" s="26"/>
      <c r="AJ1287" s="26"/>
      <c r="AK1287" s="26"/>
      <c r="AL1287" s="26"/>
      <c r="AM1287" s="26"/>
      <c r="AN1287" s="26"/>
    </row>
    <row r="1288">
      <c r="A1288" s="31"/>
      <c r="B1288" s="32"/>
      <c r="C1288" s="33"/>
      <c r="D1288" s="33"/>
      <c r="E1288" s="27"/>
      <c r="F1288" s="29"/>
      <c r="G1288" s="34"/>
      <c r="H1288" s="34"/>
      <c r="I1288" s="34"/>
      <c r="J1288" s="21"/>
      <c r="K1288" s="22"/>
      <c r="L1288" s="23"/>
      <c r="M1288" s="24"/>
      <c r="N1288" s="25"/>
      <c r="O1288" s="26"/>
      <c r="P1288" s="26"/>
      <c r="Q1288" s="25"/>
      <c r="R1288" s="25"/>
      <c r="S1288" s="26"/>
      <c r="T1288" s="26"/>
      <c r="U1288" s="26"/>
      <c r="V1288" s="26"/>
      <c r="W1288" s="26"/>
      <c r="X1288" s="26"/>
      <c r="Y1288" s="26"/>
      <c r="Z1288" s="26"/>
      <c r="AA1288" s="26"/>
      <c r="AB1288" s="26"/>
      <c r="AC1288" s="26"/>
      <c r="AD1288" s="26"/>
      <c r="AE1288" s="26"/>
      <c r="AF1288" s="26"/>
      <c r="AG1288" s="26"/>
      <c r="AH1288" s="26"/>
      <c r="AI1288" s="26"/>
      <c r="AJ1288" s="26"/>
      <c r="AK1288" s="26"/>
      <c r="AL1288" s="26"/>
      <c r="AM1288" s="26"/>
      <c r="AN1288" s="26"/>
    </row>
    <row r="1289">
      <c r="A1289" s="31"/>
      <c r="B1289" s="32"/>
      <c r="C1289" s="33"/>
      <c r="D1289" s="33"/>
      <c r="E1289" s="27"/>
      <c r="F1289" s="29"/>
      <c r="G1289" s="34"/>
      <c r="H1289" s="34"/>
      <c r="I1289" s="34"/>
      <c r="J1289" s="21"/>
      <c r="K1289" s="22"/>
      <c r="L1289" s="23"/>
      <c r="M1289" s="24"/>
      <c r="N1289" s="25"/>
      <c r="O1289" s="26"/>
      <c r="P1289" s="26"/>
      <c r="Q1289" s="25"/>
      <c r="R1289" s="25"/>
      <c r="S1289" s="26"/>
      <c r="T1289" s="26"/>
      <c r="U1289" s="26"/>
      <c r="V1289" s="26"/>
      <c r="W1289" s="26"/>
      <c r="X1289" s="26"/>
      <c r="Y1289" s="26"/>
      <c r="Z1289" s="26"/>
      <c r="AA1289" s="26"/>
      <c r="AB1289" s="26"/>
      <c r="AC1289" s="26"/>
      <c r="AD1289" s="26"/>
      <c r="AE1289" s="26"/>
      <c r="AF1289" s="26"/>
      <c r="AG1289" s="26"/>
      <c r="AH1289" s="26"/>
      <c r="AI1289" s="26"/>
      <c r="AJ1289" s="26"/>
      <c r="AK1289" s="26"/>
      <c r="AL1289" s="26"/>
      <c r="AM1289" s="26"/>
      <c r="AN1289" s="26"/>
    </row>
    <row r="1290">
      <c r="A1290" s="31"/>
      <c r="B1290" s="32"/>
      <c r="C1290" s="33"/>
      <c r="D1290" s="33"/>
      <c r="E1290" s="27"/>
      <c r="F1290" s="29"/>
      <c r="G1290" s="34"/>
      <c r="H1290" s="34"/>
      <c r="I1290" s="34"/>
      <c r="J1290" s="21"/>
      <c r="K1290" s="22"/>
      <c r="L1290" s="23"/>
      <c r="M1290" s="24"/>
      <c r="N1290" s="25"/>
      <c r="O1290" s="26"/>
      <c r="P1290" s="26"/>
      <c r="Q1290" s="25"/>
      <c r="R1290" s="25"/>
      <c r="S1290" s="26"/>
      <c r="T1290" s="26"/>
      <c r="U1290" s="26"/>
      <c r="V1290" s="26"/>
      <c r="W1290" s="26"/>
      <c r="X1290" s="26"/>
      <c r="Y1290" s="26"/>
      <c r="Z1290" s="26"/>
      <c r="AA1290" s="26"/>
      <c r="AB1290" s="26"/>
      <c r="AC1290" s="26"/>
      <c r="AD1290" s="26"/>
      <c r="AE1290" s="26"/>
      <c r="AF1290" s="26"/>
      <c r="AG1290" s="26"/>
      <c r="AH1290" s="26"/>
      <c r="AI1290" s="26"/>
      <c r="AJ1290" s="26"/>
      <c r="AK1290" s="26"/>
      <c r="AL1290" s="26"/>
      <c r="AM1290" s="26"/>
      <c r="AN1290" s="26"/>
    </row>
    <row r="1291">
      <c r="A1291" s="31"/>
      <c r="B1291" s="32"/>
      <c r="C1291" s="33"/>
      <c r="D1291" s="33"/>
      <c r="E1291" s="27"/>
      <c r="F1291" s="29"/>
      <c r="G1291" s="34"/>
      <c r="H1291" s="34"/>
      <c r="I1291" s="34"/>
      <c r="J1291" s="21"/>
      <c r="K1291" s="22"/>
      <c r="L1291" s="23"/>
      <c r="M1291" s="24"/>
      <c r="N1291" s="25"/>
      <c r="O1291" s="26"/>
      <c r="P1291" s="26"/>
      <c r="Q1291" s="25"/>
      <c r="R1291" s="25"/>
      <c r="S1291" s="26"/>
      <c r="T1291" s="26"/>
      <c r="U1291" s="26"/>
      <c r="V1291" s="26"/>
      <c r="W1291" s="26"/>
      <c r="X1291" s="26"/>
      <c r="Y1291" s="26"/>
      <c r="Z1291" s="26"/>
      <c r="AA1291" s="26"/>
      <c r="AB1291" s="26"/>
      <c r="AC1291" s="26"/>
      <c r="AD1291" s="26"/>
      <c r="AE1291" s="26"/>
      <c r="AF1291" s="26"/>
      <c r="AG1291" s="26"/>
      <c r="AH1291" s="26"/>
      <c r="AI1291" s="26"/>
      <c r="AJ1291" s="26"/>
      <c r="AK1291" s="26"/>
      <c r="AL1291" s="26"/>
      <c r="AM1291" s="26"/>
      <c r="AN1291" s="26"/>
    </row>
    <row r="1292">
      <c r="A1292" s="31"/>
      <c r="B1292" s="32"/>
      <c r="C1292" s="33"/>
      <c r="D1292" s="33"/>
      <c r="E1292" s="27"/>
      <c r="F1292" s="29"/>
      <c r="G1292" s="34"/>
      <c r="H1292" s="34"/>
      <c r="I1292" s="34"/>
      <c r="J1292" s="21"/>
      <c r="K1292" s="22"/>
      <c r="L1292" s="23"/>
      <c r="M1292" s="24"/>
      <c r="N1292" s="25"/>
      <c r="O1292" s="26"/>
      <c r="P1292" s="26"/>
      <c r="Q1292" s="25"/>
      <c r="R1292" s="25"/>
      <c r="S1292" s="26"/>
      <c r="T1292" s="26"/>
      <c r="U1292" s="26"/>
      <c r="V1292" s="26"/>
      <c r="W1292" s="26"/>
      <c r="X1292" s="26"/>
      <c r="Y1292" s="26"/>
      <c r="Z1292" s="26"/>
      <c r="AA1292" s="26"/>
      <c r="AB1292" s="26"/>
      <c r="AC1292" s="26"/>
      <c r="AD1292" s="26"/>
      <c r="AE1292" s="26"/>
      <c r="AF1292" s="26"/>
      <c r="AG1292" s="26"/>
      <c r="AH1292" s="26"/>
      <c r="AI1292" s="26"/>
      <c r="AJ1292" s="26"/>
      <c r="AK1292" s="26"/>
      <c r="AL1292" s="26"/>
      <c r="AM1292" s="26"/>
      <c r="AN1292" s="26"/>
    </row>
    <row r="1293">
      <c r="A1293" s="31"/>
      <c r="B1293" s="32"/>
      <c r="C1293" s="33"/>
      <c r="D1293" s="33"/>
      <c r="E1293" s="27"/>
      <c r="F1293" s="29"/>
      <c r="G1293" s="34"/>
      <c r="H1293" s="34"/>
      <c r="I1293" s="34"/>
      <c r="J1293" s="21"/>
      <c r="K1293" s="22"/>
      <c r="L1293" s="23"/>
      <c r="M1293" s="24"/>
      <c r="N1293" s="25"/>
      <c r="O1293" s="26"/>
      <c r="P1293" s="26"/>
      <c r="Q1293" s="25"/>
      <c r="R1293" s="25"/>
      <c r="S1293" s="26"/>
      <c r="T1293" s="26"/>
      <c r="U1293" s="26"/>
      <c r="V1293" s="26"/>
      <c r="W1293" s="26"/>
      <c r="X1293" s="26"/>
      <c r="Y1293" s="26"/>
      <c r="Z1293" s="26"/>
      <c r="AA1293" s="26"/>
      <c r="AB1293" s="26"/>
      <c r="AC1293" s="26"/>
      <c r="AD1293" s="26"/>
      <c r="AE1293" s="26"/>
      <c r="AF1293" s="26"/>
      <c r="AG1293" s="26"/>
      <c r="AH1293" s="26"/>
      <c r="AI1293" s="26"/>
      <c r="AJ1293" s="26"/>
      <c r="AK1293" s="26"/>
      <c r="AL1293" s="26"/>
      <c r="AM1293" s="26"/>
      <c r="AN1293" s="26"/>
    </row>
    <row r="1294">
      <c r="A1294" s="31"/>
      <c r="B1294" s="32"/>
      <c r="C1294" s="33"/>
      <c r="D1294" s="33"/>
      <c r="E1294" s="27"/>
      <c r="F1294" s="29"/>
      <c r="G1294" s="34"/>
      <c r="H1294" s="34"/>
      <c r="I1294" s="34"/>
      <c r="J1294" s="21"/>
      <c r="K1294" s="22"/>
      <c r="L1294" s="23"/>
      <c r="M1294" s="24"/>
      <c r="N1294" s="25"/>
      <c r="O1294" s="26"/>
      <c r="P1294" s="26"/>
      <c r="Q1294" s="25"/>
      <c r="R1294" s="25"/>
      <c r="S1294" s="26"/>
      <c r="T1294" s="26"/>
      <c r="U1294" s="26"/>
      <c r="V1294" s="26"/>
      <c r="W1294" s="26"/>
      <c r="X1294" s="26"/>
      <c r="Y1294" s="26"/>
      <c r="Z1294" s="26"/>
      <c r="AA1294" s="26"/>
      <c r="AB1294" s="26"/>
      <c r="AC1294" s="26"/>
      <c r="AD1294" s="26"/>
      <c r="AE1294" s="26"/>
      <c r="AF1294" s="26"/>
      <c r="AG1294" s="26"/>
      <c r="AH1294" s="26"/>
      <c r="AI1294" s="26"/>
      <c r="AJ1294" s="26"/>
      <c r="AK1294" s="26"/>
      <c r="AL1294" s="26"/>
      <c r="AM1294" s="26"/>
      <c r="AN1294" s="26"/>
    </row>
    <row r="1295">
      <c r="A1295" s="31"/>
      <c r="B1295" s="32"/>
      <c r="C1295" s="33"/>
      <c r="D1295" s="33"/>
      <c r="E1295" s="27"/>
      <c r="F1295" s="29"/>
      <c r="G1295" s="34"/>
      <c r="H1295" s="34"/>
      <c r="I1295" s="34"/>
      <c r="J1295" s="21"/>
      <c r="K1295" s="22"/>
      <c r="L1295" s="23"/>
      <c r="M1295" s="24"/>
      <c r="N1295" s="25"/>
      <c r="O1295" s="26"/>
      <c r="P1295" s="26"/>
      <c r="Q1295" s="25"/>
      <c r="R1295" s="25"/>
      <c r="S1295" s="26"/>
      <c r="T1295" s="26"/>
      <c r="U1295" s="26"/>
      <c r="V1295" s="26"/>
      <c r="W1295" s="26"/>
      <c r="X1295" s="26"/>
      <c r="Y1295" s="26"/>
      <c r="Z1295" s="26"/>
      <c r="AA1295" s="26"/>
      <c r="AB1295" s="26"/>
      <c r="AC1295" s="26"/>
      <c r="AD1295" s="26"/>
      <c r="AE1295" s="26"/>
      <c r="AF1295" s="26"/>
      <c r="AG1295" s="26"/>
      <c r="AH1295" s="26"/>
      <c r="AI1295" s="26"/>
      <c r="AJ1295" s="26"/>
      <c r="AK1295" s="26"/>
      <c r="AL1295" s="26"/>
      <c r="AM1295" s="26"/>
      <c r="AN1295" s="26"/>
    </row>
    <row r="1296">
      <c r="A1296" s="31"/>
      <c r="B1296" s="32"/>
      <c r="C1296" s="33"/>
      <c r="D1296" s="33"/>
      <c r="E1296" s="27"/>
      <c r="F1296" s="29"/>
      <c r="G1296" s="34"/>
      <c r="H1296" s="34"/>
      <c r="I1296" s="34"/>
      <c r="J1296" s="21"/>
      <c r="K1296" s="22"/>
      <c r="L1296" s="23"/>
      <c r="M1296" s="24"/>
      <c r="N1296" s="25"/>
      <c r="O1296" s="26"/>
      <c r="P1296" s="26"/>
      <c r="Q1296" s="25"/>
      <c r="R1296" s="25"/>
      <c r="S1296" s="26"/>
      <c r="T1296" s="26"/>
      <c r="U1296" s="26"/>
      <c r="V1296" s="26"/>
      <c r="W1296" s="26"/>
      <c r="X1296" s="26"/>
      <c r="Y1296" s="26"/>
      <c r="Z1296" s="26"/>
      <c r="AA1296" s="26"/>
      <c r="AB1296" s="26"/>
      <c r="AC1296" s="26"/>
      <c r="AD1296" s="26"/>
      <c r="AE1296" s="26"/>
      <c r="AF1296" s="26"/>
      <c r="AG1296" s="26"/>
      <c r="AH1296" s="26"/>
      <c r="AI1296" s="26"/>
      <c r="AJ1296" s="26"/>
      <c r="AK1296" s="26"/>
      <c r="AL1296" s="26"/>
      <c r="AM1296" s="26"/>
      <c r="AN1296" s="26"/>
    </row>
    <row r="1297">
      <c r="A1297" s="31"/>
      <c r="B1297" s="32"/>
      <c r="C1297" s="33"/>
      <c r="D1297" s="33"/>
      <c r="E1297" s="27"/>
      <c r="F1297" s="29"/>
      <c r="G1297" s="34"/>
      <c r="H1297" s="34"/>
      <c r="I1297" s="34"/>
      <c r="J1297" s="21"/>
      <c r="K1297" s="22"/>
      <c r="L1297" s="23"/>
      <c r="M1297" s="24"/>
      <c r="N1297" s="25"/>
      <c r="O1297" s="26"/>
      <c r="P1297" s="26"/>
      <c r="Q1297" s="25"/>
      <c r="R1297" s="25"/>
      <c r="S1297" s="26"/>
      <c r="T1297" s="26"/>
      <c r="U1297" s="26"/>
      <c r="V1297" s="26"/>
      <c r="W1297" s="26"/>
      <c r="X1297" s="26"/>
      <c r="Y1297" s="26"/>
      <c r="Z1297" s="26"/>
      <c r="AA1297" s="26"/>
      <c r="AB1297" s="26"/>
      <c r="AC1297" s="26"/>
      <c r="AD1297" s="26"/>
      <c r="AE1297" s="26"/>
      <c r="AF1297" s="26"/>
      <c r="AG1297" s="26"/>
      <c r="AH1297" s="26"/>
      <c r="AI1297" s="26"/>
      <c r="AJ1297" s="26"/>
      <c r="AK1297" s="26"/>
      <c r="AL1297" s="26"/>
      <c r="AM1297" s="26"/>
      <c r="AN1297" s="26"/>
    </row>
    <row r="1298">
      <c r="A1298" s="31"/>
      <c r="B1298" s="32"/>
      <c r="C1298" s="33"/>
      <c r="D1298" s="33"/>
      <c r="E1298" s="27"/>
      <c r="F1298" s="29"/>
      <c r="G1298" s="34"/>
      <c r="H1298" s="34"/>
      <c r="I1298" s="34"/>
      <c r="J1298" s="21"/>
      <c r="K1298" s="22"/>
      <c r="L1298" s="23"/>
      <c r="M1298" s="24"/>
      <c r="N1298" s="25"/>
      <c r="O1298" s="26"/>
      <c r="P1298" s="26"/>
      <c r="Q1298" s="25"/>
      <c r="R1298" s="25"/>
      <c r="S1298" s="26"/>
      <c r="T1298" s="26"/>
      <c r="U1298" s="26"/>
      <c r="V1298" s="26"/>
      <c r="W1298" s="26"/>
      <c r="X1298" s="26"/>
      <c r="Y1298" s="26"/>
      <c r="Z1298" s="26"/>
      <c r="AA1298" s="26"/>
      <c r="AB1298" s="26"/>
      <c r="AC1298" s="26"/>
      <c r="AD1298" s="26"/>
      <c r="AE1298" s="26"/>
      <c r="AF1298" s="26"/>
      <c r="AG1298" s="26"/>
      <c r="AH1298" s="26"/>
      <c r="AI1298" s="26"/>
      <c r="AJ1298" s="26"/>
      <c r="AK1298" s="26"/>
      <c r="AL1298" s="26"/>
      <c r="AM1298" s="26"/>
      <c r="AN1298" s="26"/>
    </row>
    <row r="1299">
      <c r="A1299" s="31"/>
      <c r="B1299" s="32"/>
      <c r="C1299" s="33"/>
      <c r="D1299" s="33"/>
      <c r="E1299" s="27"/>
      <c r="F1299" s="29"/>
      <c r="G1299" s="34"/>
      <c r="H1299" s="34"/>
      <c r="I1299" s="34"/>
      <c r="J1299" s="21"/>
      <c r="K1299" s="22"/>
      <c r="L1299" s="23"/>
      <c r="M1299" s="24"/>
      <c r="N1299" s="25"/>
      <c r="O1299" s="26"/>
      <c r="P1299" s="26"/>
      <c r="Q1299" s="25"/>
      <c r="R1299" s="25"/>
      <c r="S1299" s="26"/>
      <c r="T1299" s="26"/>
      <c r="U1299" s="26"/>
      <c r="V1299" s="26"/>
      <c r="W1299" s="26"/>
      <c r="X1299" s="26"/>
      <c r="Y1299" s="26"/>
      <c r="Z1299" s="26"/>
      <c r="AA1299" s="26"/>
      <c r="AB1299" s="26"/>
      <c r="AC1299" s="26"/>
      <c r="AD1299" s="26"/>
      <c r="AE1299" s="26"/>
      <c r="AF1299" s="26"/>
      <c r="AG1299" s="26"/>
      <c r="AH1299" s="26"/>
      <c r="AI1299" s="26"/>
      <c r="AJ1299" s="26"/>
      <c r="AK1299" s="26"/>
      <c r="AL1299" s="26"/>
      <c r="AM1299" s="26"/>
      <c r="AN1299" s="26"/>
    </row>
    <row r="1300">
      <c r="A1300" s="31"/>
      <c r="B1300" s="32"/>
      <c r="C1300" s="33"/>
      <c r="D1300" s="33"/>
      <c r="E1300" s="27"/>
      <c r="F1300" s="29"/>
      <c r="G1300" s="34"/>
      <c r="H1300" s="34"/>
      <c r="I1300" s="34"/>
      <c r="J1300" s="21"/>
      <c r="K1300" s="22"/>
      <c r="L1300" s="23"/>
      <c r="M1300" s="24"/>
      <c r="N1300" s="25"/>
      <c r="O1300" s="26"/>
      <c r="P1300" s="26"/>
      <c r="Q1300" s="25"/>
      <c r="R1300" s="25"/>
      <c r="S1300" s="26"/>
      <c r="T1300" s="26"/>
      <c r="U1300" s="26"/>
      <c r="V1300" s="26"/>
      <c r="W1300" s="26"/>
      <c r="X1300" s="26"/>
      <c r="Y1300" s="26"/>
      <c r="Z1300" s="26"/>
      <c r="AA1300" s="26"/>
      <c r="AB1300" s="26"/>
      <c r="AC1300" s="26"/>
      <c r="AD1300" s="26"/>
      <c r="AE1300" s="26"/>
      <c r="AF1300" s="26"/>
      <c r="AG1300" s="26"/>
      <c r="AH1300" s="26"/>
      <c r="AI1300" s="26"/>
      <c r="AJ1300" s="26"/>
      <c r="AK1300" s="26"/>
      <c r="AL1300" s="26"/>
      <c r="AM1300" s="26"/>
      <c r="AN1300" s="26"/>
    </row>
    <row r="1301">
      <c r="A1301" s="31"/>
      <c r="B1301" s="32"/>
      <c r="C1301" s="33"/>
      <c r="D1301" s="33"/>
      <c r="E1301" s="27"/>
      <c r="F1301" s="29"/>
      <c r="G1301" s="34"/>
      <c r="H1301" s="34"/>
      <c r="I1301" s="34"/>
      <c r="J1301" s="21"/>
      <c r="K1301" s="22"/>
      <c r="L1301" s="23"/>
      <c r="M1301" s="24"/>
      <c r="N1301" s="25"/>
      <c r="O1301" s="26"/>
      <c r="P1301" s="26"/>
      <c r="Q1301" s="25"/>
      <c r="R1301" s="25"/>
      <c r="S1301" s="26"/>
      <c r="T1301" s="26"/>
      <c r="U1301" s="26"/>
      <c r="V1301" s="26"/>
      <c r="W1301" s="26"/>
      <c r="X1301" s="26"/>
      <c r="Y1301" s="26"/>
      <c r="Z1301" s="26"/>
      <c r="AA1301" s="26"/>
      <c r="AB1301" s="26"/>
      <c r="AC1301" s="26"/>
      <c r="AD1301" s="26"/>
      <c r="AE1301" s="26"/>
      <c r="AF1301" s="26"/>
      <c r="AG1301" s="26"/>
      <c r="AH1301" s="26"/>
      <c r="AI1301" s="26"/>
      <c r="AJ1301" s="26"/>
      <c r="AK1301" s="26"/>
      <c r="AL1301" s="26"/>
      <c r="AM1301" s="26"/>
      <c r="AN1301" s="26"/>
    </row>
    <row r="1302">
      <c r="A1302" s="31"/>
      <c r="B1302" s="32"/>
      <c r="C1302" s="33"/>
      <c r="D1302" s="33"/>
      <c r="E1302" s="27"/>
      <c r="F1302" s="29"/>
      <c r="G1302" s="34"/>
      <c r="H1302" s="34"/>
      <c r="I1302" s="34"/>
      <c r="J1302" s="21"/>
      <c r="K1302" s="22"/>
      <c r="L1302" s="23"/>
      <c r="M1302" s="24"/>
      <c r="N1302" s="25"/>
      <c r="O1302" s="26"/>
      <c r="P1302" s="26"/>
      <c r="Q1302" s="25"/>
      <c r="R1302" s="25"/>
      <c r="S1302" s="26"/>
      <c r="T1302" s="26"/>
      <c r="U1302" s="26"/>
      <c r="V1302" s="26"/>
      <c r="W1302" s="26"/>
      <c r="X1302" s="26"/>
      <c r="Y1302" s="26"/>
      <c r="Z1302" s="26"/>
      <c r="AA1302" s="26"/>
      <c r="AB1302" s="26"/>
      <c r="AC1302" s="26"/>
      <c r="AD1302" s="26"/>
      <c r="AE1302" s="26"/>
      <c r="AF1302" s="26"/>
      <c r="AG1302" s="26"/>
      <c r="AH1302" s="26"/>
      <c r="AI1302" s="26"/>
      <c r="AJ1302" s="26"/>
      <c r="AK1302" s="26"/>
      <c r="AL1302" s="26"/>
      <c r="AM1302" s="26"/>
      <c r="AN1302" s="26"/>
    </row>
  </sheetData>
  <dataValidations>
    <dataValidation type="list" allowBlank="1" showErrorMessage="1" sqref="I2:I1012">
      <formula1>"#1,#2,#3,#4,#5"</formula1>
    </dataValidation>
    <dataValidation type="list" allowBlank="1" sqref="G2:G134">
      <formula1>"Ja,Nei,Usikker"</formula1>
    </dataValidation>
    <dataValidation type="list" allowBlank="1" sqref="H2:H134">
      <formula1>"Booket til time,Ikke fått kontakt,Ikke interessert,Følg opp"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>
        <v>45931.0</v>
      </c>
      <c r="B1" s="36" t="s">
        <v>123</v>
      </c>
      <c r="C1" s="37" t="s">
        <v>124</v>
      </c>
      <c r="D1" s="37" t="s">
        <v>125</v>
      </c>
      <c r="E1" s="38">
        <v>4748354835</v>
      </c>
      <c r="F1" s="39" t="s">
        <v>126</v>
      </c>
      <c r="G1" s="34" t="str">
        <f>IF(NOT(ISERROR(MATCH(D1,'Tannbleking - Oppsalg US'!D:D, 0))), "Ja", "")</f>
        <v>Ja</v>
      </c>
      <c r="H1" s="37" t="s">
        <v>50</v>
      </c>
      <c r="I1" s="37" t="s">
        <v>44</v>
      </c>
      <c r="J1" s="40" t="s">
        <v>127</v>
      </c>
      <c r="K1" s="41"/>
      <c r="L1" s="42" t="s">
        <v>128</v>
      </c>
      <c r="M1" s="43" t="s">
        <v>129</v>
      </c>
      <c r="N1" s="44">
        <v>6.843762966937E12</v>
      </c>
      <c r="O1" s="45" t="str">
        <f t="shared" ref="O1:O569" si="1">TEXT(A1, "dd/mm/yyyy")</f>
        <v>01/10/2025</v>
      </c>
      <c r="P1" s="46" t="str">
        <f>COUNTIFS(L:L,"meta",A:A,"&gt;="&amp;DATE(2025,1,1),A:A,"&lt;"&amp;DATE(2026,1,1))+COUNTIFS(L:L,"ig",A:A,"&gt;="&amp;DATE(2025,1,1),A:A,"&lt;"&amp;DATE(2026,1,1))+COUNTIFS(L:L,"fb",A:A,"&gt;="&amp;DATE(2025,1,1),A:A,"&lt;"&amp;DATE(2026,1,1))</f>
        <v>#ERROR!</v>
      </c>
      <c r="Q1" s="47"/>
      <c r="R1" s="48"/>
      <c r="S1" s="46"/>
      <c r="T1" s="49"/>
      <c r="U1" s="49" t="s">
        <v>130</v>
      </c>
      <c r="V1" s="49" t="s">
        <v>131</v>
      </c>
      <c r="W1" s="46"/>
      <c r="X1" s="49" t="s">
        <v>132</v>
      </c>
      <c r="Y1" s="50" t="s">
        <v>133</v>
      </c>
      <c r="Z1" s="50" t="s">
        <v>134</v>
      </c>
      <c r="AA1" s="46"/>
      <c r="AB1" s="26"/>
      <c r="AC1" s="51" t="s">
        <v>135</v>
      </c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</row>
    <row r="2">
      <c r="A2" s="35">
        <v>45931.0</v>
      </c>
      <c r="B2" s="36" t="s">
        <v>136</v>
      </c>
      <c r="C2" s="37" t="s">
        <v>137</v>
      </c>
      <c r="D2" s="37" t="s">
        <v>138</v>
      </c>
      <c r="E2" s="38">
        <v>4747467165</v>
      </c>
      <c r="F2" s="39" t="s">
        <v>139</v>
      </c>
      <c r="G2" s="37" t="str">
        <f>IF(NOT(ISERROR(MATCH(D2,'Tannbleking - Oppsalg US'!D:D, 0))), "Ja", "")</f>
        <v>Ja</v>
      </c>
      <c r="H2" s="37" t="s">
        <v>43</v>
      </c>
      <c r="I2" s="37" t="s">
        <v>140</v>
      </c>
      <c r="J2" s="40" t="s">
        <v>141</v>
      </c>
      <c r="K2" s="41"/>
      <c r="L2" s="42" t="s">
        <v>128</v>
      </c>
      <c r="M2" s="43" t="s">
        <v>129</v>
      </c>
      <c r="N2" s="44">
        <v>6.843762966937E12</v>
      </c>
      <c r="O2" s="45" t="str">
        <f t="shared" si="1"/>
        <v>01/10/2025</v>
      </c>
      <c r="P2" s="46" t="str">
        <f>COUNTIFS(L:L,"meta",H:H,"Booket til time",A:A,"&gt;="&amp;DATE(2025,1,1),A:A,"&lt;"&amp;DATE(2026,1,1))+COUNTIFS(L:L,"ig",H:H,"Booket til time",A:A,"&gt;="&amp;DATE(2025,1,1),A:A,"&lt;"&amp;DATE(2026,1,1))+COUNTIFS(L:L,"fb",H:H,"Booket til time",A:A,"&gt;="&amp;DATE(2025,1,1),A:A,"&lt;"&amp;DATE(2026,1,1))</f>
        <v>#ERROR!</v>
      </c>
      <c r="Q2" s="47"/>
      <c r="R2" s="48"/>
      <c r="S2" s="46"/>
      <c r="T2" s="49"/>
      <c r="U2" s="49" t="s">
        <v>142</v>
      </c>
      <c r="V2" s="49" t="s">
        <v>143</v>
      </c>
      <c r="W2" s="46"/>
      <c r="X2" s="49" t="s">
        <v>132</v>
      </c>
      <c r="Y2" s="50" t="s">
        <v>133</v>
      </c>
      <c r="Z2" s="50" t="s">
        <v>134</v>
      </c>
      <c r="AA2" s="46"/>
      <c r="AB2" s="26"/>
      <c r="AC2" s="51" t="s">
        <v>144</v>
      </c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</row>
    <row r="3">
      <c r="A3" s="35">
        <v>45931.0</v>
      </c>
      <c r="B3" s="36" t="s">
        <v>145</v>
      </c>
      <c r="C3" s="37" t="s">
        <v>146</v>
      </c>
      <c r="D3" s="37" t="s">
        <v>147</v>
      </c>
      <c r="E3" s="38">
        <v>4790976539</v>
      </c>
      <c r="F3" s="39" t="s">
        <v>148</v>
      </c>
      <c r="G3" s="52" t="str">
        <f>IF(NOT(ISERROR(MATCH(D3,'Tannbleking - Oppsalg US'!D:D, 0))), "Ja", "")</f>
        <v/>
      </c>
      <c r="H3" s="37" t="s">
        <v>50</v>
      </c>
      <c r="I3" s="37" t="s">
        <v>44</v>
      </c>
      <c r="J3" s="40"/>
      <c r="K3" s="41"/>
      <c r="L3" s="42" t="s">
        <v>128</v>
      </c>
      <c r="M3" s="43" t="s">
        <v>129</v>
      </c>
      <c r="N3" s="44">
        <v>6.843762966937E12</v>
      </c>
      <c r="O3" s="45" t="str">
        <f t="shared" si="1"/>
        <v>01/10/2025</v>
      </c>
      <c r="P3" s="46" t="str">
        <f>COUNTIFS(L:L,"meta",A:A,"&gt;="&amp;DATE(2026,1,1),A:A,"&lt;"&amp;DATE(2026,4,1))+COUNTIFS(L:L,"ig",A:A,"&gt;="&amp;DATE(2026,1,1),A:A,"&lt;"&amp;DATE(2026,4,1))+COUNTIFS(L:L,"fb",A:A,"&gt;="&amp;DATE(2026,1,1),A:A,"&lt;"&amp;DATE(2026,4,1))</f>
        <v>#ERROR!</v>
      </c>
      <c r="Q3" s="47"/>
      <c r="R3" s="48"/>
      <c r="S3" s="46"/>
      <c r="T3" s="49"/>
      <c r="U3" s="49" t="s">
        <v>149</v>
      </c>
      <c r="V3" s="49" t="s">
        <v>150</v>
      </c>
      <c r="W3" s="46"/>
      <c r="X3" s="49" t="s">
        <v>132</v>
      </c>
      <c r="Y3" s="50" t="s">
        <v>133</v>
      </c>
      <c r="Z3" s="50" t="s">
        <v>134</v>
      </c>
      <c r="AA3" s="46"/>
      <c r="AB3" s="26"/>
      <c r="AC3" s="51" t="s">
        <v>151</v>
      </c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</row>
    <row r="4">
      <c r="A4" s="35">
        <v>45931.0</v>
      </c>
      <c r="B4" s="36" t="s">
        <v>152</v>
      </c>
      <c r="C4" s="37" t="s">
        <v>153</v>
      </c>
      <c r="D4" s="37" t="s">
        <v>154</v>
      </c>
      <c r="E4" s="38">
        <v>4745225235</v>
      </c>
      <c r="F4" s="39" t="s">
        <v>155</v>
      </c>
      <c r="G4" s="52" t="str">
        <f>IF(NOT(ISERROR(MATCH(D4,'Tannbleking - Oppsalg US'!D:D, 0))), "Ja", "")</f>
        <v/>
      </c>
      <c r="H4" s="37" t="s">
        <v>50</v>
      </c>
      <c r="I4" s="37" t="s">
        <v>44</v>
      </c>
      <c r="J4" s="40"/>
      <c r="K4" s="41"/>
      <c r="L4" s="42" t="s">
        <v>128</v>
      </c>
      <c r="M4" s="43" t="s">
        <v>129</v>
      </c>
      <c r="N4" s="44">
        <v>6.843762966937E12</v>
      </c>
      <c r="O4" s="45" t="str">
        <f t="shared" si="1"/>
        <v>01/10/2025</v>
      </c>
      <c r="P4" s="46" t="str">
        <f>COUNTIFS(L:L,"meta",H:H,"Booket til time",A:A,"&gt;="&amp;DATE(2026,1,1),A:A,"&lt;"&amp;DATE(2026,4,1))+COUNTIFS(L:L,"ig",H:H,"Booket til time",A:A,"&gt;="&amp;DATE(2026,1,1),A:A,"&lt;"&amp;DATE(2026,4,1))+COUNTIFS(L:L,"fb",H:H,"Booket til time",A:A,"&gt;="&amp;DATE(2026,1,1),A:A,"&lt;"&amp;DATE(2026,4,1))</f>
        <v>#ERROR!</v>
      </c>
      <c r="Q4" s="47"/>
      <c r="R4" s="48"/>
      <c r="S4" s="46"/>
      <c r="T4" s="49" t="s">
        <v>156</v>
      </c>
      <c r="U4" s="49" t="s">
        <v>157</v>
      </c>
      <c r="V4" s="49" t="s">
        <v>158</v>
      </c>
      <c r="W4" s="46"/>
      <c r="X4" s="49" t="s">
        <v>132</v>
      </c>
      <c r="Y4" s="50" t="s">
        <v>133</v>
      </c>
      <c r="Z4" s="50" t="s">
        <v>134</v>
      </c>
      <c r="AA4" s="46"/>
      <c r="AB4" s="26"/>
      <c r="AC4" s="51" t="s">
        <v>135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>
      <c r="A5" s="35">
        <v>45931.0</v>
      </c>
      <c r="B5" s="36" t="s">
        <v>159</v>
      </c>
      <c r="C5" s="37" t="s">
        <v>160</v>
      </c>
      <c r="D5" s="37" t="s">
        <v>161</v>
      </c>
      <c r="E5" s="38">
        <v>4747335950</v>
      </c>
      <c r="F5" s="39" t="s">
        <v>162</v>
      </c>
      <c r="G5" s="52" t="str">
        <f>IF(NOT(ISERROR(MATCH(D5,'Tannbleking - Oppsalg US'!D:D, 0))), "Ja", "")</f>
        <v/>
      </c>
      <c r="H5" s="37" t="s">
        <v>90</v>
      </c>
      <c r="I5" s="37" t="s">
        <v>72</v>
      </c>
      <c r="J5" s="40" t="s">
        <v>163</v>
      </c>
      <c r="K5" s="41"/>
      <c r="L5" s="42" t="s">
        <v>128</v>
      </c>
      <c r="M5" s="43" t="s">
        <v>129</v>
      </c>
      <c r="N5" s="44">
        <v>6.843762966937E12</v>
      </c>
      <c r="O5" s="53" t="str">
        <f t="shared" si="1"/>
        <v>01/10/2025</v>
      </c>
      <c r="P5" s="46">
        <f t="shared" ref="P5:P569" si="2">TO_UNIX_TIMESTAMP_DMY_HM(O5, B5)</f>
        <v>1759302780</v>
      </c>
      <c r="Q5" s="47"/>
      <c r="R5" s="48"/>
      <c r="S5" s="46"/>
      <c r="T5" s="49" t="s">
        <v>164</v>
      </c>
      <c r="U5" s="49" t="s">
        <v>165</v>
      </c>
      <c r="V5" s="49" t="s">
        <v>166</v>
      </c>
      <c r="W5" s="46"/>
      <c r="X5" s="49" t="s">
        <v>132</v>
      </c>
      <c r="Y5" s="50" t="s">
        <v>133</v>
      </c>
      <c r="Z5" s="50" t="s">
        <v>134</v>
      </c>
      <c r="AA5" s="46"/>
      <c r="AB5" s="26"/>
      <c r="AC5" s="51" t="s">
        <v>135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</row>
    <row r="6">
      <c r="A6" s="35">
        <v>45932.0</v>
      </c>
      <c r="B6" s="36" t="s">
        <v>167</v>
      </c>
      <c r="C6" s="37" t="s">
        <v>168</v>
      </c>
      <c r="D6" s="37" t="s">
        <v>169</v>
      </c>
      <c r="E6" s="38">
        <v>4798448385</v>
      </c>
      <c r="F6" s="39" t="s">
        <v>170</v>
      </c>
      <c r="G6" s="52" t="str">
        <f>IF(NOT(ISERROR(MATCH(D6,'Tannbleking - Oppsalg US'!D:D, 0))), "Ja", "")</f>
        <v/>
      </c>
      <c r="H6" s="37" t="s">
        <v>50</v>
      </c>
      <c r="I6" s="37" t="s">
        <v>44</v>
      </c>
      <c r="J6" s="40"/>
      <c r="K6" s="41"/>
      <c r="L6" s="42" t="s">
        <v>128</v>
      </c>
      <c r="M6" s="43" t="s">
        <v>129</v>
      </c>
      <c r="N6" s="44">
        <v>6.843762966937E12</v>
      </c>
      <c r="O6" s="53" t="str">
        <f t="shared" si="1"/>
        <v>02/10/2025</v>
      </c>
      <c r="P6" s="46">
        <f t="shared" si="2"/>
        <v>1759392360</v>
      </c>
      <c r="Q6" s="47"/>
      <c r="R6" s="48"/>
      <c r="S6" s="46"/>
      <c r="T6" s="49" t="s">
        <v>171</v>
      </c>
      <c r="U6" s="49" t="s">
        <v>172</v>
      </c>
      <c r="V6" s="49" t="s">
        <v>173</v>
      </c>
      <c r="W6" s="46"/>
      <c r="X6" s="49" t="s">
        <v>132</v>
      </c>
      <c r="Y6" s="50" t="s">
        <v>133</v>
      </c>
      <c r="Z6" s="50" t="s">
        <v>134</v>
      </c>
      <c r="AA6" s="46"/>
      <c r="AB6" s="26"/>
      <c r="AC6" s="51" t="s">
        <v>144</v>
      </c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</row>
    <row r="7">
      <c r="A7" s="35">
        <v>45932.0</v>
      </c>
      <c r="B7" s="36" t="s">
        <v>174</v>
      </c>
      <c r="C7" s="37" t="s">
        <v>175</v>
      </c>
      <c r="D7" s="37" t="s">
        <v>176</v>
      </c>
      <c r="E7" s="38">
        <v>4746261486</v>
      </c>
      <c r="F7" s="39" t="s">
        <v>177</v>
      </c>
      <c r="G7" s="52" t="str">
        <f>IF(NOT(ISERROR(MATCH(D7,'Tannbleking - Oppsalg US'!D:D, 0))), "Ja", "")</f>
        <v/>
      </c>
      <c r="H7" s="37" t="s">
        <v>50</v>
      </c>
      <c r="I7" s="37" t="s">
        <v>44</v>
      </c>
      <c r="J7" s="40"/>
      <c r="K7" s="41"/>
      <c r="L7" s="42" t="s">
        <v>128</v>
      </c>
      <c r="M7" s="43" t="s">
        <v>178</v>
      </c>
      <c r="N7" s="44">
        <v>6.843815997337E12</v>
      </c>
      <c r="O7" s="53" t="str">
        <f t="shared" si="1"/>
        <v>02/10/2025</v>
      </c>
      <c r="P7" s="46">
        <f t="shared" si="2"/>
        <v>1759394820</v>
      </c>
      <c r="Q7" s="47"/>
      <c r="R7" s="48"/>
      <c r="S7" s="46"/>
      <c r="T7" s="49" t="s">
        <v>179</v>
      </c>
      <c r="U7" s="49" t="s">
        <v>180</v>
      </c>
      <c r="V7" s="49" t="s">
        <v>181</v>
      </c>
      <c r="W7" s="46"/>
      <c r="X7" s="49" t="s">
        <v>132</v>
      </c>
      <c r="Y7" s="50" t="s">
        <v>133</v>
      </c>
      <c r="Z7" s="50" t="s">
        <v>134</v>
      </c>
      <c r="AA7" s="46"/>
      <c r="AB7" s="26"/>
      <c r="AC7" s="51" t="s">
        <v>135</v>
      </c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</row>
    <row r="8">
      <c r="A8" s="35">
        <v>45932.0</v>
      </c>
      <c r="B8" s="36" t="s">
        <v>182</v>
      </c>
      <c r="C8" s="37" t="s">
        <v>183</v>
      </c>
      <c r="D8" s="37" t="s">
        <v>184</v>
      </c>
      <c r="E8" s="38">
        <v>4741069170</v>
      </c>
      <c r="F8" s="39" t="s">
        <v>185</v>
      </c>
      <c r="G8" s="52" t="str">
        <f>IF(NOT(ISERROR(MATCH(D8,'Tannbleking - Oppsalg US'!D:D, 0))), "Ja", "")</f>
        <v/>
      </c>
      <c r="H8" s="37" t="s">
        <v>50</v>
      </c>
      <c r="I8" s="37" t="s">
        <v>44</v>
      </c>
      <c r="J8" s="40"/>
      <c r="K8" s="41"/>
      <c r="L8" s="42" t="s">
        <v>128</v>
      </c>
      <c r="M8" s="43" t="s">
        <v>129</v>
      </c>
      <c r="N8" s="44">
        <v>6.843762966937E12</v>
      </c>
      <c r="O8" s="53" t="str">
        <f t="shared" si="1"/>
        <v>02/10/2025</v>
      </c>
      <c r="P8" s="46">
        <f t="shared" si="2"/>
        <v>1759395180</v>
      </c>
      <c r="Q8" s="47"/>
      <c r="R8" s="48"/>
      <c r="S8" s="46"/>
      <c r="T8" s="49" t="s">
        <v>186</v>
      </c>
      <c r="U8" s="49" t="s">
        <v>187</v>
      </c>
      <c r="V8" s="49" t="s">
        <v>188</v>
      </c>
      <c r="W8" s="46"/>
      <c r="X8" s="49" t="s">
        <v>132</v>
      </c>
      <c r="Y8" s="50" t="s">
        <v>133</v>
      </c>
      <c r="Z8" s="50" t="s">
        <v>134</v>
      </c>
      <c r="AA8" s="46"/>
      <c r="AB8" s="26"/>
      <c r="AC8" s="51" t="s">
        <v>144</v>
      </c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</row>
    <row r="9">
      <c r="A9" s="35">
        <v>45932.0</v>
      </c>
      <c r="B9" s="36" t="s">
        <v>189</v>
      </c>
      <c r="C9" s="37" t="s">
        <v>190</v>
      </c>
      <c r="D9" s="37" t="s">
        <v>191</v>
      </c>
      <c r="E9" s="38">
        <v>4741358698</v>
      </c>
      <c r="F9" s="39" t="s">
        <v>148</v>
      </c>
      <c r="G9" s="52" t="str">
        <f>IF(NOT(ISERROR(MATCH(D9,'Tannbleking - Oppsalg US'!D:D, 0))), "Ja", "")</f>
        <v/>
      </c>
      <c r="H9" s="37" t="s">
        <v>50</v>
      </c>
      <c r="I9" s="37" t="s">
        <v>72</v>
      </c>
      <c r="J9" s="40" t="s">
        <v>192</v>
      </c>
      <c r="K9" s="41"/>
      <c r="L9" s="42" t="s">
        <v>128</v>
      </c>
      <c r="M9" s="43" t="s">
        <v>129</v>
      </c>
      <c r="N9" s="44">
        <v>6.843762966937E12</v>
      </c>
      <c r="O9" s="53" t="str">
        <f t="shared" si="1"/>
        <v>02/10/2025</v>
      </c>
      <c r="P9" s="46">
        <f t="shared" si="2"/>
        <v>1759395240</v>
      </c>
      <c r="Q9" s="47"/>
      <c r="R9" s="48"/>
      <c r="S9" s="46"/>
      <c r="T9" s="49" t="s">
        <v>193</v>
      </c>
      <c r="U9" s="49" t="s">
        <v>194</v>
      </c>
      <c r="V9" s="49" t="s">
        <v>195</v>
      </c>
      <c r="W9" s="46"/>
      <c r="X9" s="49" t="s">
        <v>132</v>
      </c>
      <c r="Y9" s="50" t="s">
        <v>133</v>
      </c>
      <c r="Z9" s="50" t="s">
        <v>134</v>
      </c>
      <c r="AA9" s="46"/>
      <c r="AB9" s="26"/>
      <c r="AC9" s="51" t="s">
        <v>135</v>
      </c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</row>
    <row r="10">
      <c r="A10" s="35">
        <v>45932.0</v>
      </c>
      <c r="B10" s="36" t="s">
        <v>196</v>
      </c>
      <c r="C10" s="37" t="s">
        <v>197</v>
      </c>
      <c r="D10" s="37" t="s">
        <v>198</v>
      </c>
      <c r="E10" s="38">
        <v>4746726180</v>
      </c>
      <c r="F10" s="39" t="s">
        <v>199</v>
      </c>
      <c r="G10" s="52" t="str">
        <f>IF(NOT(ISERROR(MATCH(D10,'Tannbleking - Oppsalg US'!D:D, 0))), "Ja", "")</f>
        <v/>
      </c>
      <c r="H10" s="37" t="s">
        <v>50</v>
      </c>
      <c r="I10" s="37" t="s">
        <v>44</v>
      </c>
      <c r="J10" s="40"/>
      <c r="K10" s="41"/>
      <c r="L10" s="42" t="s">
        <v>128</v>
      </c>
      <c r="M10" s="43" t="s">
        <v>129</v>
      </c>
      <c r="N10" s="44">
        <v>6.843762966937E12</v>
      </c>
      <c r="O10" s="53" t="str">
        <f t="shared" si="1"/>
        <v>02/10/2025</v>
      </c>
      <c r="P10" s="46">
        <f t="shared" si="2"/>
        <v>1759404840</v>
      </c>
      <c r="Q10" s="47"/>
      <c r="R10" s="48"/>
      <c r="S10" s="46"/>
      <c r="T10" s="49" t="s">
        <v>200</v>
      </c>
      <c r="U10" s="49" t="s">
        <v>201</v>
      </c>
      <c r="V10" s="49" t="s">
        <v>202</v>
      </c>
      <c r="W10" s="46"/>
      <c r="X10" s="49" t="s">
        <v>132</v>
      </c>
      <c r="Y10" s="50" t="s">
        <v>133</v>
      </c>
      <c r="Z10" s="50" t="s">
        <v>134</v>
      </c>
      <c r="AA10" s="46"/>
      <c r="AB10" s="26"/>
      <c r="AC10" s="51" t="s">
        <v>135</v>
      </c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</row>
    <row r="11">
      <c r="A11" s="35">
        <v>45933.0</v>
      </c>
      <c r="B11" s="36" t="s">
        <v>203</v>
      </c>
      <c r="C11" s="37" t="s">
        <v>204</v>
      </c>
      <c r="D11" s="37" t="s">
        <v>205</v>
      </c>
      <c r="E11" s="38">
        <v>4794213661</v>
      </c>
      <c r="F11" s="39" t="s">
        <v>206</v>
      </c>
      <c r="G11" s="52" t="str">
        <f>IF(NOT(ISERROR(MATCH(D11,'Tannbleking - Oppsalg US'!D:D, 0))), "Ja", "")</f>
        <v/>
      </c>
      <c r="H11" s="37" t="s">
        <v>50</v>
      </c>
      <c r="I11" s="37" t="s">
        <v>44</v>
      </c>
      <c r="J11" s="40"/>
      <c r="K11" s="41"/>
      <c r="L11" s="42" t="s">
        <v>128</v>
      </c>
      <c r="M11" s="43" t="s">
        <v>129</v>
      </c>
      <c r="N11" s="44">
        <v>6.843762966937E12</v>
      </c>
      <c r="O11" s="53" t="str">
        <f t="shared" si="1"/>
        <v>03/10/2025</v>
      </c>
      <c r="P11" s="46">
        <f t="shared" si="2"/>
        <v>1759480020</v>
      </c>
      <c r="Q11" s="47"/>
      <c r="R11" s="48"/>
      <c r="S11" s="46"/>
      <c r="T11" s="49" t="s">
        <v>207</v>
      </c>
      <c r="U11" s="49" t="s">
        <v>208</v>
      </c>
      <c r="V11" s="49" t="s">
        <v>209</v>
      </c>
      <c r="W11" s="46"/>
      <c r="X11" s="49" t="s">
        <v>132</v>
      </c>
      <c r="Y11" s="50" t="s">
        <v>133</v>
      </c>
      <c r="Z11" s="50" t="s">
        <v>134</v>
      </c>
      <c r="AA11" s="46"/>
      <c r="AB11" s="26"/>
      <c r="AC11" s="51" t="s">
        <v>135</v>
      </c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</row>
    <row r="12">
      <c r="A12" s="35">
        <v>45934.0</v>
      </c>
      <c r="B12" s="36" t="s">
        <v>210</v>
      </c>
      <c r="C12" s="37" t="s">
        <v>211</v>
      </c>
      <c r="D12" s="37" t="s">
        <v>212</v>
      </c>
      <c r="E12" s="38">
        <v>4793033441</v>
      </c>
      <c r="F12" s="39" t="s">
        <v>213</v>
      </c>
      <c r="G12" s="52" t="str">
        <f>IF(NOT(ISERROR(MATCH(D12,'Tannbleking - Oppsalg US'!D:D, 0))), "Ja", "")</f>
        <v/>
      </c>
      <c r="H12" s="37" t="s">
        <v>50</v>
      </c>
      <c r="I12" s="37" t="s">
        <v>44</v>
      </c>
      <c r="J12" s="40"/>
      <c r="K12" s="41"/>
      <c r="L12" s="42" t="s">
        <v>128</v>
      </c>
      <c r="M12" s="43" t="s">
        <v>129</v>
      </c>
      <c r="N12" s="44">
        <v>6.843762966937E12</v>
      </c>
      <c r="O12" s="53" t="str">
        <f t="shared" si="1"/>
        <v>04/10/2025</v>
      </c>
      <c r="P12" s="46">
        <f t="shared" si="2"/>
        <v>1759540920</v>
      </c>
      <c r="Q12" s="47"/>
      <c r="R12" s="48"/>
      <c r="S12" s="46"/>
      <c r="T12" s="49" t="s">
        <v>214</v>
      </c>
      <c r="U12" s="49" t="s">
        <v>215</v>
      </c>
      <c r="V12" s="49" t="s">
        <v>216</v>
      </c>
      <c r="W12" s="46"/>
      <c r="X12" s="49" t="s">
        <v>132</v>
      </c>
      <c r="Y12" s="50" t="s">
        <v>133</v>
      </c>
      <c r="Z12" s="50" t="s">
        <v>134</v>
      </c>
      <c r="AA12" s="46"/>
      <c r="AB12" s="26"/>
      <c r="AC12" s="51" t="s">
        <v>144</v>
      </c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</row>
    <row r="13">
      <c r="A13" s="35">
        <v>45934.0</v>
      </c>
      <c r="B13" s="36" t="s">
        <v>217</v>
      </c>
      <c r="C13" s="37" t="s">
        <v>218</v>
      </c>
      <c r="D13" s="37" t="s">
        <v>219</v>
      </c>
      <c r="E13" s="54" t="s">
        <v>220</v>
      </c>
      <c r="F13" s="39" t="s">
        <v>221</v>
      </c>
      <c r="G13" s="52" t="str">
        <f>IF(NOT(ISERROR(MATCH(D13,'Tannbleking - Oppsalg US'!D:D, 0))), "Ja", "")</f>
        <v/>
      </c>
      <c r="H13" s="37" t="s">
        <v>43</v>
      </c>
      <c r="I13" s="37"/>
      <c r="J13" s="40" t="s">
        <v>222</v>
      </c>
      <c r="K13" s="41"/>
      <c r="L13" s="42" t="s">
        <v>128</v>
      </c>
      <c r="M13" s="43" t="s">
        <v>129</v>
      </c>
      <c r="N13" s="44">
        <v>6.843762966937E12</v>
      </c>
      <c r="O13" s="53" t="str">
        <f t="shared" si="1"/>
        <v>04/10/2025</v>
      </c>
      <c r="P13" s="46">
        <f t="shared" si="2"/>
        <v>1759560240</v>
      </c>
      <c r="Q13" s="47"/>
      <c r="R13" s="48"/>
      <c r="S13" s="46"/>
      <c r="T13" s="49" t="s">
        <v>223</v>
      </c>
      <c r="U13" s="49" t="s">
        <v>224</v>
      </c>
      <c r="V13" s="49" t="s">
        <v>225</v>
      </c>
      <c r="W13" s="46"/>
      <c r="X13" s="49" t="s">
        <v>132</v>
      </c>
      <c r="Y13" s="50" t="s">
        <v>133</v>
      </c>
      <c r="Z13" s="50" t="s">
        <v>134</v>
      </c>
      <c r="AA13" s="46"/>
      <c r="AB13" s="26"/>
      <c r="AC13" s="51" t="s">
        <v>144</v>
      </c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</row>
    <row r="14">
      <c r="A14" s="35">
        <v>45934.0</v>
      </c>
      <c r="B14" s="36" t="s">
        <v>226</v>
      </c>
      <c r="C14" s="37" t="s">
        <v>227</v>
      </c>
      <c r="D14" s="37" t="s">
        <v>228</v>
      </c>
      <c r="E14" s="54">
        <v>4793898261</v>
      </c>
      <c r="F14" s="39" t="s">
        <v>229</v>
      </c>
      <c r="G14" s="52" t="str">
        <f>IF(NOT(ISERROR(MATCH(D14,'Tannbleking - Oppsalg US'!D:D, 0))), "Ja", "")</f>
        <v/>
      </c>
      <c r="H14" s="37" t="s">
        <v>50</v>
      </c>
      <c r="I14" s="37" t="s">
        <v>140</v>
      </c>
      <c r="J14" s="40" t="s">
        <v>230</v>
      </c>
      <c r="K14" s="41"/>
      <c r="L14" s="42" t="s">
        <v>128</v>
      </c>
      <c r="M14" s="43" t="s">
        <v>231</v>
      </c>
      <c r="N14" s="44">
        <v>6.843809343537E12</v>
      </c>
      <c r="O14" s="53" t="str">
        <f t="shared" si="1"/>
        <v>04/10/2025</v>
      </c>
      <c r="P14" s="46">
        <f t="shared" si="2"/>
        <v>1759578900</v>
      </c>
      <c r="Q14" s="47"/>
      <c r="R14" s="48"/>
      <c r="S14" s="46"/>
      <c r="T14" s="49" t="s">
        <v>232</v>
      </c>
      <c r="U14" s="49" t="s">
        <v>233</v>
      </c>
      <c r="V14" s="49" t="s">
        <v>234</v>
      </c>
      <c r="W14" s="46"/>
      <c r="X14" s="49" t="s">
        <v>132</v>
      </c>
      <c r="Y14" s="50" t="s">
        <v>133</v>
      </c>
      <c r="Z14" s="50" t="s">
        <v>134</v>
      </c>
      <c r="AA14" s="46"/>
      <c r="AB14" s="26"/>
      <c r="AC14" s="51" t="s">
        <v>135</v>
      </c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</row>
    <row r="15">
      <c r="A15" s="35">
        <v>45935.0</v>
      </c>
      <c r="B15" s="36" t="s">
        <v>235</v>
      </c>
      <c r="C15" s="37" t="s">
        <v>236</v>
      </c>
      <c r="D15" s="37" t="s">
        <v>237</v>
      </c>
      <c r="E15" s="54">
        <v>4745524883</v>
      </c>
      <c r="F15" s="39" t="s">
        <v>238</v>
      </c>
      <c r="G15" s="52" t="str">
        <f>IF(NOT(ISERROR(MATCH(D15,'Tannbleking - Oppsalg US'!D:D, 0))), "Ja", "")</f>
        <v/>
      </c>
      <c r="H15" s="37" t="s">
        <v>50</v>
      </c>
      <c r="I15" s="37" t="s">
        <v>107</v>
      </c>
      <c r="J15" s="40"/>
      <c r="K15" s="41"/>
      <c r="L15" s="42" t="s">
        <v>128</v>
      </c>
      <c r="M15" s="43" t="s">
        <v>239</v>
      </c>
      <c r="N15" s="44">
        <v>6.843809575737E12</v>
      </c>
      <c r="O15" s="53" t="str">
        <f t="shared" si="1"/>
        <v>05/10/2025</v>
      </c>
      <c r="P15" s="46">
        <f t="shared" si="2"/>
        <v>1759664640</v>
      </c>
      <c r="Q15" s="47"/>
      <c r="R15" s="48"/>
      <c r="S15" s="46"/>
      <c r="T15" s="49" t="s">
        <v>240</v>
      </c>
      <c r="U15" s="49" t="s">
        <v>241</v>
      </c>
      <c r="V15" s="49" t="s">
        <v>242</v>
      </c>
      <c r="W15" s="46"/>
      <c r="X15" s="49" t="s">
        <v>132</v>
      </c>
      <c r="Y15" s="50" t="s">
        <v>133</v>
      </c>
      <c r="Z15" s="50" t="s">
        <v>134</v>
      </c>
      <c r="AA15" s="46"/>
      <c r="AB15" s="26"/>
      <c r="AC15" s="51" t="s">
        <v>135</v>
      </c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</row>
    <row r="16">
      <c r="A16" s="35">
        <v>45936.0</v>
      </c>
      <c r="B16" s="36" t="s">
        <v>243</v>
      </c>
      <c r="C16" s="37" t="s">
        <v>244</v>
      </c>
      <c r="D16" s="37" t="s">
        <v>245</v>
      </c>
      <c r="E16" s="54">
        <v>4798079851</v>
      </c>
      <c r="F16" s="39" t="s">
        <v>246</v>
      </c>
      <c r="G16" s="52" t="str">
        <f>IF(NOT(ISERROR(MATCH(D16,'Tannbleking - Oppsalg US'!D:D, 0))), "Ja", "")</f>
        <v>Ja</v>
      </c>
      <c r="H16" s="37" t="s">
        <v>90</v>
      </c>
      <c r="I16" s="37"/>
      <c r="J16" s="40" t="s">
        <v>247</v>
      </c>
      <c r="K16" s="41"/>
      <c r="L16" s="42" t="s">
        <v>128</v>
      </c>
      <c r="M16" s="43" t="s">
        <v>239</v>
      </c>
      <c r="N16" s="44">
        <v>6.843809575737E12</v>
      </c>
      <c r="O16" s="53" t="str">
        <f t="shared" si="1"/>
        <v>06/10/2025</v>
      </c>
      <c r="P16" s="46">
        <f t="shared" si="2"/>
        <v>1759717560</v>
      </c>
      <c r="Q16" s="47"/>
      <c r="R16" s="48"/>
      <c r="S16" s="46"/>
      <c r="T16" s="49" t="s">
        <v>248</v>
      </c>
      <c r="U16" s="49" t="s">
        <v>249</v>
      </c>
      <c r="V16" s="49" t="s">
        <v>250</v>
      </c>
      <c r="W16" s="46"/>
      <c r="X16" s="49" t="s">
        <v>132</v>
      </c>
      <c r="Y16" s="50" t="s">
        <v>133</v>
      </c>
      <c r="Z16" s="50" t="s">
        <v>134</v>
      </c>
      <c r="AA16" s="46"/>
      <c r="AB16" s="26"/>
      <c r="AC16" s="51" t="s">
        <v>144</v>
      </c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</row>
    <row r="17">
      <c r="A17" s="35">
        <v>45936.0</v>
      </c>
      <c r="B17" s="36" t="s">
        <v>251</v>
      </c>
      <c r="C17" s="37" t="s">
        <v>252</v>
      </c>
      <c r="D17" s="37" t="s">
        <v>253</v>
      </c>
      <c r="E17" s="54">
        <v>4741348438</v>
      </c>
      <c r="F17" s="39" t="s">
        <v>254</v>
      </c>
      <c r="G17" s="52" t="str">
        <f>IF(NOT(ISERROR(MATCH(D17,'Tannbleking - Oppsalg US'!D:D, 0))), "Ja", "")</f>
        <v/>
      </c>
      <c r="H17" s="37" t="s">
        <v>90</v>
      </c>
      <c r="I17" s="37"/>
      <c r="J17" s="40" t="s">
        <v>255</v>
      </c>
      <c r="K17" s="41"/>
      <c r="L17" s="42" t="s">
        <v>128</v>
      </c>
      <c r="M17" s="43" t="s">
        <v>239</v>
      </c>
      <c r="N17" s="44">
        <v>6.843809575737E12</v>
      </c>
      <c r="O17" s="53" t="str">
        <f t="shared" si="1"/>
        <v>06/10/2025</v>
      </c>
      <c r="P17" s="46">
        <f t="shared" si="2"/>
        <v>1759733100</v>
      </c>
      <c r="Q17" s="47"/>
      <c r="R17" s="48"/>
      <c r="S17" s="46"/>
      <c r="T17" s="49" t="s">
        <v>256</v>
      </c>
      <c r="U17" s="49" t="s">
        <v>257</v>
      </c>
      <c r="V17" s="49" t="s">
        <v>258</v>
      </c>
      <c r="W17" s="46"/>
      <c r="X17" s="49" t="s">
        <v>132</v>
      </c>
      <c r="Y17" s="50" t="s">
        <v>133</v>
      </c>
      <c r="Z17" s="50" t="s">
        <v>134</v>
      </c>
      <c r="AA17" s="46"/>
      <c r="AB17" s="26"/>
      <c r="AC17" s="51" t="s">
        <v>135</v>
      </c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</row>
    <row r="18">
      <c r="A18" s="35">
        <v>45936.0</v>
      </c>
      <c r="B18" s="36" t="s">
        <v>259</v>
      </c>
      <c r="C18" s="37" t="s">
        <v>260</v>
      </c>
      <c r="D18" s="37" t="s">
        <v>261</v>
      </c>
      <c r="E18" s="54">
        <v>4740626688</v>
      </c>
      <c r="F18" s="39" t="s">
        <v>262</v>
      </c>
      <c r="G18" s="52" t="str">
        <f>IF(NOT(ISERROR(MATCH(D18,'Tannbleking - Oppsalg US'!D:D, 0))), "Ja", "")</f>
        <v/>
      </c>
      <c r="H18" s="37" t="s">
        <v>50</v>
      </c>
      <c r="I18" s="37"/>
      <c r="J18" s="40"/>
      <c r="K18" s="41"/>
      <c r="L18" s="42" t="s">
        <v>128</v>
      </c>
      <c r="M18" s="43" t="s">
        <v>239</v>
      </c>
      <c r="N18" s="44">
        <v>6.843809575737E12</v>
      </c>
      <c r="O18" s="53" t="str">
        <f t="shared" si="1"/>
        <v>06/10/2025</v>
      </c>
      <c r="P18" s="46">
        <f t="shared" si="2"/>
        <v>1759737360</v>
      </c>
      <c r="Q18" s="47"/>
      <c r="R18" s="48"/>
      <c r="S18" s="46"/>
      <c r="T18" s="49" t="s">
        <v>263</v>
      </c>
      <c r="U18" s="49" t="s">
        <v>264</v>
      </c>
      <c r="V18" s="49" t="s">
        <v>265</v>
      </c>
      <c r="W18" s="46"/>
      <c r="X18" s="49" t="s">
        <v>132</v>
      </c>
      <c r="Y18" s="50" t="s">
        <v>133</v>
      </c>
      <c r="Z18" s="50" t="s">
        <v>134</v>
      </c>
      <c r="AA18" s="46"/>
      <c r="AB18" s="26"/>
      <c r="AC18" s="51" t="s">
        <v>144</v>
      </c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</row>
    <row r="19">
      <c r="A19" s="35">
        <v>45936.0</v>
      </c>
      <c r="B19" s="36" t="s">
        <v>266</v>
      </c>
      <c r="C19" s="37" t="s">
        <v>267</v>
      </c>
      <c r="D19" s="37" t="s">
        <v>268</v>
      </c>
      <c r="E19" s="54">
        <v>4790930895</v>
      </c>
      <c r="F19" s="39" t="s">
        <v>269</v>
      </c>
      <c r="G19" s="52" t="str">
        <f>IF(NOT(ISERROR(MATCH(D19,'Tannbleking - Oppsalg US'!D:D, 0))), "Ja", "")</f>
        <v/>
      </c>
      <c r="H19" s="37" t="s">
        <v>50</v>
      </c>
      <c r="I19" s="37"/>
      <c r="J19" s="40"/>
      <c r="K19" s="41"/>
      <c r="L19" s="42" t="s">
        <v>128</v>
      </c>
      <c r="M19" s="43" t="s">
        <v>239</v>
      </c>
      <c r="N19" s="44">
        <v>6.843809575737E12</v>
      </c>
      <c r="O19" s="53" t="str">
        <f t="shared" si="1"/>
        <v>06/10/2025</v>
      </c>
      <c r="P19" s="46">
        <f t="shared" si="2"/>
        <v>1759756800</v>
      </c>
      <c r="Q19" s="47"/>
      <c r="R19" s="48"/>
      <c r="S19" s="46"/>
      <c r="T19" s="49" t="s">
        <v>270</v>
      </c>
      <c r="U19" s="49" t="s">
        <v>271</v>
      </c>
      <c r="V19" s="49" t="s">
        <v>272</v>
      </c>
      <c r="W19" s="46"/>
      <c r="X19" s="49" t="s">
        <v>132</v>
      </c>
      <c r="Y19" s="50" t="s">
        <v>133</v>
      </c>
      <c r="Z19" s="50" t="s">
        <v>134</v>
      </c>
      <c r="AA19" s="46"/>
      <c r="AB19" s="26"/>
      <c r="AC19" s="51" t="s">
        <v>135</v>
      </c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</row>
    <row r="20">
      <c r="A20" s="35">
        <v>45937.0</v>
      </c>
      <c r="B20" s="36" t="s">
        <v>273</v>
      </c>
      <c r="C20" s="37" t="s">
        <v>274</v>
      </c>
      <c r="D20" s="37" t="s">
        <v>275</v>
      </c>
      <c r="E20" s="54">
        <v>4748509122</v>
      </c>
      <c r="F20" s="39" t="s">
        <v>276</v>
      </c>
      <c r="G20" s="52" t="str">
        <f>IF(NOT(ISERROR(MATCH(D20,'Tannbleking - Oppsalg US'!D:D, 0))), "Ja", "")</f>
        <v/>
      </c>
      <c r="H20" s="37" t="s">
        <v>50</v>
      </c>
      <c r="I20" s="37" t="s">
        <v>107</v>
      </c>
      <c r="J20" s="40"/>
      <c r="K20" s="41"/>
      <c r="L20" s="42" t="s">
        <v>128</v>
      </c>
      <c r="M20" s="43" t="s">
        <v>239</v>
      </c>
      <c r="N20" s="44">
        <v>6.843809575737E12</v>
      </c>
      <c r="O20" s="53" t="str">
        <f t="shared" si="1"/>
        <v>07/10/2025</v>
      </c>
      <c r="P20" s="46">
        <f t="shared" si="2"/>
        <v>1759835160</v>
      </c>
      <c r="Q20" s="47"/>
      <c r="R20" s="48"/>
      <c r="S20" s="46"/>
      <c r="T20" s="49" t="s">
        <v>277</v>
      </c>
      <c r="U20" s="49" t="s">
        <v>278</v>
      </c>
      <c r="V20" s="49" t="s">
        <v>279</v>
      </c>
      <c r="W20" s="46"/>
      <c r="X20" s="49" t="s">
        <v>132</v>
      </c>
      <c r="Y20" s="50" t="s">
        <v>133</v>
      </c>
      <c r="Z20" s="50" t="s">
        <v>134</v>
      </c>
      <c r="AA20" s="46"/>
      <c r="AB20" s="26"/>
      <c r="AC20" s="51" t="s">
        <v>280</v>
      </c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</row>
    <row r="21">
      <c r="A21" s="35">
        <v>45937.0</v>
      </c>
      <c r="B21" s="36" t="s">
        <v>281</v>
      </c>
      <c r="C21" s="37" t="s">
        <v>282</v>
      </c>
      <c r="D21" s="37" t="s">
        <v>283</v>
      </c>
      <c r="E21" s="54">
        <v>4745812733</v>
      </c>
      <c r="F21" s="39" t="s">
        <v>284</v>
      </c>
      <c r="G21" s="52" t="str">
        <f>IF(NOT(ISERROR(MATCH(D21,'Tannbleking - Oppsalg US'!D:D, 0))), "Ja", "")</f>
        <v/>
      </c>
      <c r="H21" s="37" t="s">
        <v>50</v>
      </c>
      <c r="I21" s="37" t="s">
        <v>107</v>
      </c>
      <c r="J21" s="40"/>
      <c r="K21" s="41"/>
      <c r="L21" s="42"/>
      <c r="M21" s="43"/>
      <c r="N21" s="44"/>
      <c r="O21" s="53" t="str">
        <f t="shared" si="1"/>
        <v>07/10/2025</v>
      </c>
      <c r="P21" s="46">
        <f t="shared" si="2"/>
        <v>1759874160</v>
      </c>
      <c r="Q21" s="47"/>
      <c r="R21" s="48"/>
      <c r="S21" s="46"/>
      <c r="T21" s="49" t="s">
        <v>285</v>
      </c>
      <c r="U21" s="49" t="s">
        <v>286</v>
      </c>
      <c r="V21" s="49" t="s">
        <v>287</v>
      </c>
      <c r="W21" s="46"/>
      <c r="X21" s="49" t="s">
        <v>132</v>
      </c>
      <c r="Y21" s="50" t="s">
        <v>133</v>
      </c>
      <c r="Z21" s="50" t="s">
        <v>134</v>
      </c>
      <c r="AA21" s="46"/>
      <c r="AB21" s="26"/>
      <c r="AC21" s="51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</row>
    <row r="22">
      <c r="A22" s="35">
        <v>45938.0</v>
      </c>
      <c r="B22" s="36" t="s">
        <v>288</v>
      </c>
      <c r="C22" s="37" t="s">
        <v>289</v>
      </c>
      <c r="D22" s="37" t="s">
        <v>290</v>
      </c>
      <c r="E22" s="54">
        <v>4745562850</v>
      </c>
      <c r="F22" s="39" t="s">
        <v>291</v>
      </c>
      <c r="G22" s="52" t="str">
        <f>IF(NOT(ISERROR(MATCH(D22,'Tannbleking - Oppsalg US'!D:D, 0))), "Ja", "")</f>
        <v/>
      </c>
      <c r="H22" s="37" t="s">
        <v>50</v>
      </c>
      <c r="I22" s="37" t="s">
        <v>44</v>
      </c>
      <c r="J22" s="40"/>
      <c r="K22" s="41"/>
      <c r="L22" s="42" t="s">
        <v>128</v>
      </c>
      <c r="M22" s="43" t="s">
        <v>239</v>
      </c>
      <c r="N22" s="44">
        <v>6.843809575737E12</v>
      </c>
      <c r="O22" s="53" t="str">
        <f t="shared" si="1"/>
        <v>08/10/2025</v>
      </c>
      <c r="P22" s="46">
        <f t="shared" si="2"/>
        <v>1759904280</v>
      </c>
      <c r="Q22" s="47"/>
      <c r="R22" s="48"/>
      <c r="S22" s="46"/>
      <c r="T22" s="49" t="s">
        <v>292</v>
      </c>
      <c r="U22" s="49" t="s">
        <v>293</v>
      </c>
      <c r="V22" s="49" t="s">
        <v>294</v>
      </c>
      <c r="W22" s="46"/>
      <c r="X22" s="49" t="s">
        <v>132</v>
      </c>
      <c r="Y22" s="50" t="s">
        <v>133</v>
      </c>
      <c r="Z22" s="50" t="s">
        <v>134</v>
      </c>
      <c r="AA22" s="46"/>
      <c r="AB22" s="26"/>
      <c r="AC22" s="51" t="s">
        <v>144</v>
      </c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</row>
    <row r="23">
      <c r="A23" s="35">
        <v>45938.0</v>
      </c>
      <c r="B23" s="36" t="s">
        <v>295</v>
      </c>
      <c r="C23" s="37" t="s">
        <v>296</v>
      </c>
      <c r="D23" s="37" t="s">
        <v>297</v>
      </c>
      <c r="E23" s="54">
        <v>9.0831492E7</v>
      </c>
      <c r="F23" s="39" t="s">
        <v>298</v>
      </c>
      <c r="G23" s="52" t="str">
        <f>IF(NOT(ISERROR(MATCH(D23,'Tannbleking - Oppsalg US'!D:D, 0))), "Ja", "")</f>
        <v/>
      </c>
      <c r="H23" s="37" t="s">
        <v>50</v>
      </c>
      <c r="I23" s="37" t="s">
        <v>44</v>
      </c>
      <c r="J23" s="40" t="s">
        <v>299</v>
      </c>
      <c r="K23" s="41"/>
      <c r="L23" s="42" t="s">
        <v>128</v>
      </c>
      <c r="M23" s="43" t="s">
        <v>300</v>
      </c>
      <c r="N23" s="44">
        <v>6.843810044537E12</v>
      </c>
      <c r="O23" s="53" t="str">
        <f t="shared" si="1"/>
        <v>08/10/2025</v>
      </c>
      <c r="P23" s="46">
        <f t="shared" si="2"/>
        <v>1759923960</v>
      </c>
      <c r="Q23" s="47"/>
      <c r="R23" s="48"/>
      <c r="S23" s="46"/>
      <c r="T23" s="49" t="s">
        <v>301</v>
      </c>
      <c r="U23" s="49" t="s">
        <v>302</v>
      </c>
      <c r="V23" s="49" t="s">
        <v>303</v>
      </c>
      <c r="W23" s="46"/>
      <c r="X23" s="49" t="s">
        <v>132</v>
      </c>
      <c r="Y23" s="50" t="s">
        <v>133</v>
      </c>
      <c r="Z23" s="50" t="s">
        <v>134</v>
      </c>
      <c r="AA23" s="46"/>
      <c r="AB23" s="26"/>
      <c r="AC23" s="51" t="s">
        <v>135</v>
      </c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</row>
    <row r="24">
      <c r="A24" s="35">
        <v>45938.0</v>
      </c>
      <c r="B24" s="36" t="s">
        <v>304</v>
      </c>
      <c r="C24" s="37" t="s">
        <v>305</v>
      </c>
      <c r="D24" s="37" t="s">
        <v>306</v>
      </c>
      <c r="E24" s="54">
        <v>4790246467</v>
      </c>
      <c r="F24" s="39" t="s">
        <v>307</v>
      </c>
      <c r="G24" s="52" t="str">
        <f>IF(NOT(ISERROR(MATCH(D24,'Tannbleking - Oppsalg US'!D:D, 0))), "Ja", "")</f>
        <v/>
      </c>
      <c r="H24" s="37" t="s">
        <v>50</v>
      </c>
      <c r="I24" s="37" t="s">
        <v>72</v>
      </c>
      <c r="J24" s="40"/>
      <c r="K24" s="41"/>
      <c r="L24" s="42" t="s">
        <v>128</v>
      </c>
      <c r="M24" s="43" t="s">
        <v>239</v>
      </c>
      <c r="N24" s="44">
        <v>6.843809575737E12</v>
      </c>
      <c r="O24" s="53" t="str">
        <f t="shared" si="1"/>
        <v>08/10/2025</v>
      </c>
      <c r="P24" s="46">
        <f t="shared" si="2"/>
        <v>1759937340</v>
      </c>
      <c r="Q24" s="47"/>
      <c r="R24" s="48"/>
      <c r="S24" s="46"/>
      <c r="T24" s="49" t="s">
        <v>308</v>
      </c>
      <c r="U24" s="49" t="s">
        <v>309</v>
      </c>
      <c r="V24" s="49" t="s">
        <v>310</v>
      </c>
      <c r="W24" s="46"/>
      <c r="X24" s="49" t="s">
        <v>132</v>
      </c>
      <c r="Y24" s="50" t="s">
        <v>133</v>
      </c>
      <c r="Z24" s="50" t="s">
        <v>134</v>
      </c>
      <c r="AA24" s="46"/>
      <c r="AB24" s="26"/>
      <c r="AC24" s="51" t="s">
        <v>280</v>
      </c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</row>
    <row r="25">
      <c r="A25" s="35">
        <v>45939.0</v>
      </c>
      <c r="B25" s="36" t="s">
        <v>311</v>
      </c>
      <c r="C25" s="37" t="s">
        <v>312</v>
      </c>
      <c r="D25" s="37" t="s">
        <v>313</v>
      </c>
      <c r="E25" s="54">
        <v>4791243924</v>
      </c>
      <c r="F25" s="39" t="s">
        <v>314</v>
      </c>
      <c r="G25" s="52" t="str">
        <f>IF(NOT(ISERROR(MATCH(D25,'Tannbleking - Oppsalg US'!D:D, 0))), "Ja", "")</f>
        <v/>
      </c>
      <c r="H25" s="37" t="s">
        <v>50</v>
      </c>
      <c r="I25" s="37" t="s">
        <v>44</v>
      </c>
      <c r="J25" s="40"/>
      <c r="K25" s="41"/>
      <c r="L25" s="42" t="s">
        <v>128</v>
      </c>
      <c r="M25" s="43" t="s">
        <v>239</v>
      </c>
      <c r="N25" s="44">
        <v>6.843809575737E12</v>
      </c>
      <c r="O25" s="53" t="str">
        <f t="shared" si="1"/>
        <v>09/10/2025</v>
      </c>
      <c r="P25" s="46">
        <f t="shared" si="2"/>
        <v>1759975140</v>
      </c>
      <c r="Q25" s="47"/>
      <c r="R25" s="48"/>
      <c r="S25" s="46"/>
      <c r="T25" s="49" t="s">
        <v>315</v>
      </c>
      <c r="U25" s="49" t="s">
        <v>316</v>
      </c>
      <c r="V25" s="49" t="s">
        <v>317</v>
      </c>
      <c r="W25" s="46"/>
      <c r="X25" s="49" t="s">
        <v>132</v>
      </c>
      <c r="Y25" s="50" t="s">
        <v>133</v>
      </c>
      <c r="Z25" s="50" t="s">
        <v>134</v>
      </c>
      <c r="AA25" s="46"/>
      <c r="AB25" s="26"/>
      <c r="AC25" s="51" t="s">
        <v>144</v>
      </c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</row>
    <row r="26">
      <c r="A26" s="35">
        <v>45939.0</v>
      </c>
      <c r="B26" s="36" t="s">
        <v>318</v>
      </c>
      <c r="C26" s="37" t="s">
        <v>319</v>
      </c>
      <c r="D26" s="37" t="s">
        <v>320</v>
      </c>
      <c r="E26" s="54">
        <v>4791916543</v>
      </c>
      <c r="F26" s="39" t="s">
        <v>321</v>
      </c>
      <c r="G26" s="52" t="str">
        <f>IF(NOT(ISERROR(MATCH(D26,'Tannbleking - Oppsalg US'!D:D, 0))), "Ja", "")</f>
        <v/>
      </c>
      <c r="H26" s="37" t="s">
        <v>50</v>
      </c>
      <c r="I26" s="37" t="s">
        <v>322</v>
      </c>
      <c r="J26" s="40" t="s">
        <v>323</v>
      </c>
      <c r="K26" s="41"/>
      <c r="L26" s="42" t="s">
        <v>128</v>
      </c>
      <c r="M26" s="43" t="s">
        <v>239</v>
      </c>
      <c r="N26" s="44">
        <v>6.843809575737E12</v>
      </c>
      <c r="O26" s="53" t="str">
        <f t="shared" si="1"/>
        <v>09/10/2025</v>
      </c>
      <c r="P26" s="46">
        <f t="shared" si="2"/>
        <v>1760002860</v>
      </c>
      <c r="Q26" s="47"/>
      <c r="R26" s="48"/>
      <c r="S26" s="46"/>
      <c r="T26" s="49" t="s">
        <v>324</v>
      </c>
      <c r="U26" s="49" t="s">
        <v>325</v>
      </c>
      <c r="V26" s="49" t="s">
        <v>326</v>
      </c>
      <c r="W26" s="46"/>
      <c r="X26" s="49" t="s">
        <v>132</v>
      </c>
      <c r="Y26" s="50" t="s">
        <v>133</v>
      </c>
      <c r="Z26" s="50" t="s">
        <v>134</v>
      </c>
      <c r="AA26" s="46"/>
      <c r="AB26" s="26"/>
      <c r="AC26" s="51" t="s">
        <v>135</v>
      </c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</row>
    <row r="27">
      <c r="A27" s="35">
        <v>45939.0</v>
      </c>
      <c r="B27" s="36" t="s">
        <v>327</v>
      </c>
      <c r="C27" s="37" t="s">
        <v>328</v>
      </c>
      <c r="D27" s="37" t="s">
        <v>329</v>
      </c>
      <c r="E27" s="54">
        <v>4798999440</v>
      </c>
      <c r="F27" s="39" t="s">
        <v>330</v>
      </c>
      <c r="G27" s="52" t="str">
        <f>IF(NOT(ISERROR(MATCH(D27,'Tannbleking - Oppsalg US'!D:D, 0))), "Ja", "")</f>
        <v/>
      </c>
      <c r="H27" s="37" t="s">
        <v>90</v>
      </c>
      <c r="I27" s="37" t="s">
        <v>44</v>
      </c>
      <c r="J27" s="40" t="s">
        <v>331</v>
      </c>
      <c r="K27" s="41"/>
      <c r="L27" s="42" t="s">
        <v>128</v>
      </c>
      <c r="M27" s="43" t="s">
        <v>178</v>
      </c>
      <c r="N27" s="44">
        <v>6.843815997337E12</v>
      </c>
      <c r="O27" s="53" t="str">
        <f t="shared" si="1"/>
        <v>09/10/2025</v>
      </c>
      <c r="P27" s="46">
        <f t="shared" si="2"/>
        <v>1760006400</v>
      </c>
      <c r="Q27" s="47"/>
      <c r="R27" s="48"/>
      <c r="S27" s="46"/>
      <c r="T27" s="49" t="s">
        <v>332</v>
      </c>
      <c r="U27" s="49" t="s">
        <v>333</v>
      </c>
      <c r="V27" s="49" t="s">
        <v>334</v>
      </c>
      <c r="W27" s="46"/>
      <c r="X27" s="49" t="s">
        <v>132</v>
      </c>
      <c r="Y27" s="50" t="s">
        <v>133</v>
      </c>
      <c r="Z27" s="50" t="s">
        <v>134</v>
      </c>
      <c r="AA27" s="46"/>
      <c r="AB27" s="26"/>
      <c r="AC27" s="51" t="s">
        <v>135</v>
      </c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</row>
    <row r="28">
      <c r="A28" s="35">
        <v>45940.0</v>
      </c>
      <c r="B28" s="36" t="s">
        <v>335</v>
      </c>
      <c r="C28" s="37" t="s">
        <v>336</v>
      </c>
      <c r="D28" s="37" t="s">
        <v>337</v>
      </c>
      <c r="E28" s="54">
        <v>4794237778</v>
      </c>
      <c r="F28" s="39" t="s">
        <v>338</v>
      </c>
      <c r="G28" s="52" t="str">
        <f>IF(NOT(ISERROR(MATCH(D28,'Tannbleking - Oppsalg US'!D:D, 0))), "Ja", "")</f>
        <v/>
      </c>
      <c r="H28" s="37" t="s">
        <v>50</v>
      </c>
      <c r="I28" s="37" t="s">
        <v>140</v>
      </c>
      <c r="J28" s="40" t="s">
        <v>339</v>
      </c>
      <c r="K28" s="41"/>
      <c r="L28" s="42" t="s">
        <v>128</v>
      </c>
      <c r="M28" s="43" t="s">
        <v>239</v>
      </c>
      <c r="N28" s="44">
        <v>6.843809575737E12</v>
      </c>
      <c r="O28" s="53" t="str">
        <f t="shared" si="1"/>
        <v>10/10/2025</v>
      </c>
      <c r="P28" s="46">
        <f t="shared" si="2"/>
        <v>1760057880</v>
      </c>
      <c r="Q28" s="47"/>
      <c r="R28" s="48"/>
      <c r="S28" s="46"/>
      <c r="T28" s="49" t="s">
        <v>340</v>
      </c>
      <c r="U28" s="49" t="s">
        <v>341</v>
      </c>
      <c r="V28" s="49" t="s">
        <v>342</v>
      </c>
      <c r="W28" s="46"/>
      <c r="X28" s="49" t="s">
        <v>132</v>
      </c>
      <c r="Y28" s="50" t="s">
        <v>133</v>
      </c>
      <c r="Z28" s="50" t="s">
        <v>134</v>
      </c>
      <c r="AA28" s="46"/>
      <c r="AB28" s="26"/>
      <c r="AC28" s="51" t="s">
        <v>135</v>
      </c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</row>
    <row r="29">
      <c r="A29" s="35">
        <v>45940.0</v>
      </c>
      <c r="B29" s="36" t="s">
        <v>343</v>
      </c>
      <c r="C29" s="37" t="s">
        <v>344</v>
      </c>
      <c r="D29" s="37" t="s">
        <v>345</v>
      </c>
      <c r="E29" s="54">
        <v>4793680400</v>
      </c>
      <c r="F29" s="39" t="s">
        <v>346</v>
      </c>
      <c r="G29" s="52" t="str">
        <f>IF(NOT(ISERROR(MATCH(D29,'Tannbleking - Oppsalg US'!D:D, 0))), "Ja", "")</f>
        <v>Ja</v>
      </c>
      <c r="H29" s="37" t="s">
        <v>90</v>
      </c>
      <c r="I29" s="37" t="s">
        <v>72</v>
      </c>
      <c r="J29" s="40"/>
      <c r="K29" s="41"/>
      <c r="L29" s="42" t="s">
        <v>347</v>
      </c>
      <c r="M29" s="43">
        <v>6.843809575737E12</v>
      </c>
      <c r="N29" s="44"/>
      <c r="O29" s="53" t="str">
        <f t="shared" si="1"/>
        <v>10/10/2025</v>
      </c>
      <c r="P29" s="46">
        <f t="shared" si="2"/>
        <v>1760100000</v>
      </c>
      <c r="Q29" s="47"/>
      <c r="R29" s="48"/>
      <c r="S29" s="46"/>
      <c r="T29" s="49" t="s">
        <v>348</v>
      </c>
      <c r="U29" s="49" t="s">
        <v>349</v>
      </c>
      <c r="V29" s="49" t="s">
        <v>350</v>
      </c>
      <c r="W29" s="46"/>
      <c r="X29" s="49" t="s">
        <v>132</v>
      </c>
      <c r="Y29" s="50" t="s">
        <v>133</v>
      </c>
      <c r="Z29" s="50" t="s">
        <v>134</v>
      </c>
      <c r="AA29" s="46"/>
      <c r="AB29" s="26"/>
      <c r="AC29" s="51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</row>
    <row r="30">
      <c r="A30" s="35">
        <v>45941.0</v>
      </c>
      <c r="B30" s="36" t="s">
        <v>351</v>
      </c>
      <c r="C30" s="37" t="s">
        <v>352</v>
      </c>
      <c r="D30" s="37" t="s">
        <v>353</v>
      </c>
      <c r="E30" s="54">
        <v>4740673065</v>
      </c>
      <c r="F30" s="39" t="s">
        <v>354</v>
      </c>
      <c r="G30" s="52" t="str">
        <f>IF(NOT(ISERROR(MATCH(D30,'Tannbleking - Oppsalg US'!D:D, 0))), "Ja", "")</f>
        <v/>
      </c>
      <c r="H30" s="37" t="s">
        <v>90</v>
      </c>
      <c r="I30" s="37" t="s">
        <v>44</v>
      </c>
      <c r="J30" s="40" t="s">
        <v>355</v>
      </c>
      <c r="K30" s="41"/>
      <c r="L30" s="42" t="s">
        <v>128</v>
      </c>
      <c r="M30" s="43" t="s">
        <v>129</v>
      </c>
      <c r="N30" s="44">
        <v>6.843762966937E12</v>
      </c>
      <c r="O30" s="53" t="str">
        <f t="shared" si="1"/>
        <v>11/10/2025</v>
      </c>
      <c r="P30" s="46">
        <f t="shared" si="2"/>
        <v>1760196780</v>
      </c>
      <c r="Q30" s="47"/>
      <c r="R30" s="48"/>
      <c r="S30" s="46"/>
      <c r="T30" s="49" t="s">
        <v>356</v>
      </c>
      <c r="U30" s="49" t="s">
        <v>357</v>
      </c>
      <c r="V30" s="49" t="s">
        <v>358</v>
      </c>
      <c r="W30" s="46"/>
      <c r="X30" s="49" t="s">
        <v>132</v>
      </c>
      <c r="Y30" s="50" t="s">
        <v>133</v>
      </c>
      <c r="Z30" s="50" t="s">
        <v>134</v>
      </c>
      <c r="AA30" s="46"/>
      <c r="AB30" s="26"/>
      <c r="AC30" s="51" t="s">
        <v>280</v>
      </c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</row>
    <row r="31">
      <c r="A31" s="35">
        <v>45941.0</v>
      </c>
      <c r="B31" s="36" t="s">
        <v>359</v>
      </c>
      <c r="C31" s="37" t="s">
        <v>360</v>
      </c>
      <c r="D31" s="37" t="s">
        <v>361</v>
      </c>
      <c r="E31" s="54">
        <v>4790277934</v>
      </c>
      <c r="F31" s="39" t="s">
        <v>246</v>
      </c>
      <c r="G31" s="52" t="str">
        <f>IF(NOT(ISERROR(MATCH(D31,'Tannbleking - Oppsalg US'!D:D, 0))), "Ja", "")</f>
        <v/>
      </c>
      <c r="H31" s="37" t="s">
        <v>90</v>
      </c>
      <c r="I31" s="37" t="s">
        <v>44</v>
      </c>
      <c r="J31" s="40" t="s">
        <v>362</v>
      </c>
      <c r="K31" s="41"/>
      <c r="L31" s="42" t="s">
        <v>128</v>
      </c>
      <c r="M31" s="43" t="s">
        <v>129</v>
      </c>
      <c r="N31" s="44">
        <v>6.843762966937E12</v>
      </c>
      <c r="O31" s="53" t="str">
        <f t="shared" si="1"/>
        <v>11/10/2025</v>
      </c>
      <c r="P31" s="46">
        <f t="shared" si="2"/>
        <v>1760200560</v>
      </c>
      <c r="Q31" s="47"/>
      <c r="R31" s="48"/>
      <c r="S31" s="46"/>
      <c r="T31" s="49" t="s">
        <v>363</v>
      </c>
      <c r="U31" s="49" t="s">
        <v>364</v>
      </c>
      <c r="V31" s="49" t="s">
        <v>365</v>
      </c>
      <c r="W31" s="46"/>
      <c r="X31" s="49" t="s">
        <v>132</v>
      </c>
      <c r="Y31" s="50" t="s">
        <v>133</v>
      </c>
      <c r="Z31" s="50" t="s">
        <v>134</v>
      </c>
      <c r="AA31" s="46"/>
      <c r="AB31" s="26"/>
      <c r="AC31" s="51" t="s">
        <v>144</v>
      </c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</row>
    <row r="32">
      <c r="A32" s="35">
        <v>45941.0</v>
      </c>
      <c r="B32" s="36" t="s">
        <v>366</v>
      </c>
      <c r="C32" s="37" t="s">
        <v>367</v>
      </c>
      <c r="D32" s="37" t="s">
        <v>368</v>
      </c>
      <c r="E32" s="54">
        <v>4740474097</v>
      </c>
      <c r="F32" s="39" t="s">
        <v>369</v>
      </c>
      <c r="G32" s="52" t="str">
        <f>IF(NOT(ISERROR(MATCH(D32,'Tannbleking - Oppsalg US'!D:D, 0))), "Ja", "")</f>
        <v/>
      </c>
      <c r="H32" s="37" t="s">
        <v>50</v>
      </c>
      <c r="I32" s="37" t="s">
        <v>140</v>
      </c>
      <c r="J32" s="40"/>
      <c r="K32" s="41"/>
      <c r="L32" s="42" t="s">
        <v>128</v>
      </c>
      <c r="M32" s="43" t="s">
        <v>129</v>
      </c>
      <c r="N32" s="44">
        <v>6.843762966937E12</v>
      </c>
      <c r="O32" s="53" t="str">
        <f t="shared" si="1"/>
        <v>11/10/2025</v>
      </c>
      <c r="P32" s="46">
        <f t="shared" si="2"/>
        <v>1760216280</v>
      </c>
      <c r="Q32" s="47"/>
      <c r="R32" s="48"/>
      <c r="S32" s="46"/>
      <c r="T32" s="49" t="s">
        <v>370</v>
      </c>
      <c r="U32" s="49" t="s">
        <v>371</v>
      </c>
      <c r="V32" s="49" t="s">
        <v>372</v>
      </c>
      <c r="W32" s="46"/>
      <c r="X32" s="49" t="s">
        <v>132</v>
      </c>
      <c r="Y32" s="50" t="s">
        <v>133</v>
      </c>
      <c r="Z32" s="50" t="s">
        <v>134</v>
      </c>
      <c r="AA32" s="46"/>
      <c r="AB32" s="26"/>
      <c r="AC32" s="51" t="s">
        <v>135</v>
      </c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</row>
    <row r="33">
      <c r="A33" s="35">
        <v>45942.0</v>
      </c>
      <c r="B33" s="36" t="s">
        <v>373</v>
      </c>
      <c r="C33" s="37" t="s">
        <v>374</v>
      </c>
      <c r="D33" s="37" t="s">
        <v>375</v>
      </c>
      <c r="E33" s="54">
        <v>4799872212</v>
      </c>
      <c r="F33" s="39" t="s">
        <v>376</v>
      </c>
      <c r="G33" s="52" t="str">
        <f>IF(NOT(ISERROR(MATCH(D33,'Tannbleking - Oppsalg US'!D:D, 0))), "Ja", "")</f>
        <v/>
      </c>
      <c r="H33" s="37" t="s">
        <v>50</v>
      </c>
      <c r="I33" s="37" t="s">
        <v>140</v>
      </c>
      <c r="J33" s="40" t="s">
        <v>377</v>
      </c>
      <c r="K33" s="41"/>
      <c r="L33" s="42" t="s">
        <v>128</v>
      </c>
      <c r="M33" s="43" t="s">
        <v>129</v>
      </c>
      <c r="N33" s="44">
        <v>6.843762966937E12</v>
      </c>
      <c r="O33" s="53" t="str">
        <f t="shared" si="1"/>
        <v>12/10/2025</v>
      </c>
      <c r="P33" s="46">
        <f t="shared" si="2"/>
        <v>1760229780</v>
      </c>
      <c r="Q33" s="47"/>
      <c r="R33" s="48"/>
      <c r="S33" s="46"/>
      <c r="T33" s="49" t="s">
        <v>378</v>
      </c>
      <c r="U33" s="49" t="s">
        <v>379</v>
      </c>
      <c r="V33" s="49" t="s">
        <v>380</v>
      </c>
      <c r="W33" s="46"/>
      <c r="X33" s="49" t="s">
        <v>132</v>
      </c>
      <c r="Y33" s="50" t="s">
        <v>133</v>
      </c>
      <c r="Z33" s="50" t="s">
        <v>134</v>
      </c>
      <c r="AA33" s="46"/>
      <c r="AB33" s="26"/>
      <c r="AC33" s="51" t="s">
        <v>135</v>
      </c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</row>
    <row r="34">
      <c r="A34" s="35">
        <v>45942.0</v>
      </c>
      <c r="B34" s="36" t="s">
        <v>381</v>
      </c>
      <c r="C34" s="37" t="s">
        <v>382</v>
      </c>
      <c r="D34" s="37" t="s">
        <v>383</v>
      </c>
      <c r="E34" s="54">
        <v>4792604020</v>
      </c>
      <c r="F34" s="39" t="s">
        <v>384</v>
      </c>
      <c r="G34" s="52" t="str">
        <f>IF(NOT(ISERROR(MATCH(D34,'Tannbleking - Oppsalg US'!D:D, 0))), "Ja", "")</f>
        <v/>
      </c>
      <c r="H34" s="37" t="s">
        <v>50</v>
      </c>
      <c r="I34" s="37" t="s">
        <v>44</v>
      </c>
      <c r="J34" s="40"/>
      <c r="K34" s="41"/>
      <c r="L34" s="42" t="s">
        <v>128</v>
      </c>
      <c r="M34" s="43" t="s">
        <v>129</v>
      </c>
      <c r="N34" s="44">
        <v>6.843762966937E12</v>
      </c>
      <c r="O34" s="53" t="str">
        <f t="shared" si="1"/>
        <v>12/10/2025</v>
      </c>
      <c r="P34" s="46">
        <f t="shared" si="2"/>
        <v>1760234640</v>
      </c>
      <c r="Q34" s="47"/>
      <c r="R34" s="48"/>
      <c r="S34" s="46"/>
      <c r="T34" s="49" t="s">
        <v>385</v>
      </c>
      <c r="U34" s="49" t="s">
        <v>386</v>
      </c>
      <c r="V34" s="49" t="s">
        <v>387</v>
      </c>
      <c r="W34" s="46"/>
      <c r="X34" s="49" t="s">
        <v>132</v>
      </c>
      <c r="Y34" s="50" t="s">
        <v>133</v>
      </c>
      <c r="Z34" s="50" t="s">
        <v>134</v>
      </c>
      <c r="AA34" s="46"/>
      <c r="AB34" s="26"/>
      <c r="AC34" s="51" t="s">
        <v>135</v>
      </c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</row>
    <row r="35">
      <c r="A35" s="35">
        <v>45943.0</v>
      </c>
      <c r="B35" s="36" t="s">
        <v>388</v>
      </c>
      <c r="C35" s="37" t="s">
        <v>389</v>
      </c>
      <c r="D35" s="37" t="s">
        <v>390</v>
      </c>
      <c r="E35" s="54">
        <v>4795551755</v>
      </c>
      <c r="F35" s="39" t="s">
        <v>391</v>
      </c>
      <c r="G35" s="52" t="str">
        <f>IF(NOT(ISERROR(MATCH(D35,'Tannbleking - Oppsalg US'!D:D, 0))), "Ja", "")</f>
        <v/>
      </c>
      <c r="H35" s="37" t="s">
        <v>50</v>
      </c>
      <c r="I35" s="37" t="s">
        <v>44</v>
      </c>
      <c r="J35" s="40" t="s">
        <v>392</v>
      </c>
      <c r="K35" s="41"/>
      <c r="L35" s="42" t="s">
        <v>128</v>
      </c>
      <c r="M35" s="43" t="s">
        <v>239</v>
      </c>
      <c r="N35" s="44">
        <v>6.843809575737E12</v>
      </c>
      <c r="O35" s="53" t="str">
        <f t="shared" si="1"/>
        <v>13/10/2025</v>
      </c>
      <c r="P35" s="46">
        <f t="shared" si="2"/>
        <v>1760357820</v>
      </c>
      <c r="Q35" s="47"/>
      <c r="R35" s="48"/>
      <c r="S35" s="46"/>
      <c r="T35" s="49" t="s">
        <v>393</v>
      </c>
      <c r="U35" s="49" t="s">
        <v>394</v>
      </c>
      <c r="V35" s="49" t="s">
        <v>395</v>
      </c>
      <c r="W35" s="46"/>
      <c r="X35" s="49" t="s">
        <v>132</v>
      </c>
      <c r="Y35" s="50" t="s">
        <v>133</v>
      </c>
      <c r="Z35" s="50" t="s">
        <v>134</v>
      </c>
      <c r="AA35" s="46"/>
      <c r="AB35" s="26"/>
      <c r="AC35" s="51" t="s">
        <v>144</v>
      </c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</row>
    <row r="36">
      <c r="A36" s="35">
        <v>45943.0</v>
      </c>
      <c r="B36" s="36" t="s">
        <v>396</v>
      </c>
      <c r="C36" s="37" t="s">
        <v>397</v>
      </c>
      <c r="D36" s="37" t="s">
        <v>398</v>
      </c>
      <c r="E36" s="54">
        <v>4748510226</v>
      </c>
      <c r="F36" s="39" t="s">
        <v>399</v>
      </c>
      <c r="G36" s="52" t="str">
        <f>IF(NOT(ISERROR(MATCH(D36,'Tannbleking - Oppsalg US'!D:D, 0))), "Ja", "")</f>
        <v/>
      </c>
      <c r="H36" s="37" t="s">
        <v>50</v>
      </c>
      <c r="I36" s="37" t="s">
        <v>107</v>
      </c>
      <c r="J36" s="40"/>
      <c r="K36" s="41"/>
      <c r="L36" s="42" t="s">
        <v>128</v>
      </c>
      <c r="M36" s="43" t="s">
        <v>239</v>
      </c>
      <c r="N36" s="44">
        <v>6.843809575737E12</v>
      </c>
      <c r="O36" s="53" t="str">
        <f t="shared" si="1"/>
        <v>13/10/2025</v>
      </c>
      <c r="P36" s="46">
        <f t="shared" si="2"/>
        <v>1760361180</v>
      </c>
      <c r="Q36" s="47"/>
      <c r="R36" s="48"/>
      <c r="S36" s="46"/>
      <c r="T36" s="49" t="s">
        <v>400</v>
      </c>
      <c r="U36" s="49" t="s">
        <v>401</v>
      </c>
      <c r="V36" s="49" t="s">
        <v>402</v>
      </c>
      <c r="W36" s="46"/>
      <c r="X36" s="49" t="s">
        <v>132</v>
      </c>
      <c r="Y36" s="50" t="s">
        <v>133</v>
      </c>
      <c r="Z36" s="50" t="s">
        <v>134</v>
      </c>
      <c r="AA36" s="46"/>
      <c r="AB36" s="26"/>
      <c r="AC36" s="51" t="s">
        <v>135</v>
      </c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</row>
    <row r="37">
      <c r="A37" s="35">
        <v>45943.0</v>
      </c>
      <c r="B37" s="36" t="s">
        <v>403</v>
      </c>
      <c r="C37" s="37" t="s">
        <v>404</v>
      </c>
      <c r="D37" s="37" t="s">
        <v>405</v>
      </c>
      <c r="E37" s="54">
        <v>4798448385</v>
      </c>
      <c r="F37" s="39" t="s">
        <v>406</v>
      </c>
      <c r="G37" s="52" t="str">
        <f>IF(NOT(ISERROR(MATCH(D37,'Tannbleking - Oppsalg US'!D:D, 0))), "Ja", "")</f>
        <v/>
      </c>
      <c r="H37" s="37" t="s">
        <v>90</v>
      </c>
      <c r="I37" s="37"/>
      <c r="J37" s="40" t="s">
        <v>407</v>
      </c>
      <c r="K37" s="41"/>
      <c r="L37" s="42" t="s">
        <v>128</v>
      </c>
      <c r="M37" s="43" t="s">
        <v>129</v>
      </c>
      <c r="N37" s="44">
        <v>6.843762966937E12</v>
      </c>
      <c r="O37" s="53" t="str">
        <f t="shared" si="1"/>
        <v>13/10/2025</v>
      </c>
      <c r="P37" s="46">
        <f t="shared" si="2"/>
        <v>1760362680</v>
      </c>
      <c r="Q37" s="47"/>
      <c r="R37" s="48"/>
      <c r="S37" s="46"/>
      <c r="T37" s="49" t="s">
        <v>171</v>
      </c>
      <c r="U37" s="49" t="s">
        <v>408</v>
      </c>
      <c r="V37" s="49" t="s">
        <v>409</v>
      </c>
      <c r="W37" s="46"/>
      <c r="X37" s="49" t="s">
        <v>132</v>
      </c>
      <c r="Y37" s="50" t="s">
        <v>133</v>
      </c>
      <c r="Z37" s="50" t="s">
        <v>134</v>
      </c>
      <c r="AA37" s="46"/>
      <c r="AB37" s="26"/>
      <c r="AC37" s="51" t="s">
        <v>135</v>
      </c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</row>
    <row r="38">
      <c r="A38" s="35">
        <v>45944.0</v>
      </c>
      <c r="B38" s="36" t="s">
        <v>410</v>
      </c>
      <c r="C38" s="37" t="s">
        <v>411</v>
      </c>
      <c r="D38" s="37" t="s">
        <v>412</v>
      </c>
      <c r="E38" s="54">
        <v>4748249819</v>
      </c>
      <c r="F38" s="39" t="s">
        <v>413</v>
      </c>
      <c r="G38" s="52" t="str">
        <f>IF(NOT(ISERROR(MATCH(D38,'Tannbleking - Oppsalg US'!D:D, 0))), "Ja", "")</f>
        <v/>
      </c>
      <c r="H38" s="37" t="s">
        <v>50</v>
      </c>
      <c r="I38" s="37" t="s">
        <v>44</v>
      </c>
      <c r="J38" s="40"/>
      <c r="K38" s="41"/>
      <c r="L38" s="42" t="s">
        <v>128</v>
      </c>
      <c r="M38" s="43" t="s">
        <v>239</v>
      </c>
      <c r="N38" s="44">
        <v>6.843809575737E12</v>
      </c>
      <c r="O38" s="53" t="str">
        <f t="shared" si="1"/>
        <v>14/10/2025</v>
      </c>
      <c r="P38" s="46">
        <f t="shared" si="2"/>
        <v>1760435940</v>
      </c>
      <c r="Q38" s="47"/>
      <c r="R38" s="48"/>
      <c r="S38" s="46"/>
      <c r="T38" s="49" t="s">
        <v>414</v>
      </c>
      <c r="U38" s="49" t="s">
        <v>415</v>
      </c>
      <c r="V38" s="49" t="s">
        <v>416</v>
      </c>
      <c r="W38" s="46"/>
      <c r="X38" s="49" t="s">
        <v>132</v>
      </c>
      <c r="Y38" s="50" t="s">
        <v>133</v>
      </c>
      <c r="Z38" s="50" t="s">
        <v>134</v>
      </c>
      <c r="AA38" s="46"/>
      <c r="AB38" s="26"/>
      <c r="AC38" s="51" t="s">
        <v>151</v>
      </c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</row>
    <row r="39">
      <c r="A39" s="35">
        <v>45944.0</v>
      </c>
      <c r="B39" s="36" t="s">
        <v>343</v>
      </c>
      <c r="C39" s="37" t="s">
        <v>417</v>
      </c>
      <c r="D39" s="37" t="s">
        <v>418</v>
      </c>
      <c r="E39" s="54">
        <v>4795478202</v>
      </c>
      <c r="F39" s="39" t="s">
        <v>419</v>
      </c>
      <c r="G39" s="52" t="str">
        <f>IF(NOT(ISERROR(MATCH(D39,'Tannbleking - Oppsalg US'!D:D, 0))), "Ja", "")</f>
        <v/>
      </c>
      <c r="H39" s="37" t="s">
        <v>50</v>
      </c>
      <c r="I39" s="37" t="s">
        <v>44</v>
      </c>
      <c r="J39" s="40"/>
      <c r="K39" s="41"/>
      <c r="L39" s="42" t="s">
        <v>128</v>
      </c>
      <c r="M39" s="43" t="s">
        <v>129</v>
      </c>
      <c r="N39" s="44">
        <v>6.843762966937E12</v>
      </c>
      <c r="O39" s="53" t="str">
        <f t="shared" si="1"/>
        <v>14/10/2025</v>
      </c>
      <c r="P39" s="46">
        <f t="shared" si="2"/>
        <v>1760445600</v>
      </c>
      <c r="Q39" s="47"/>
      <c r="R39" s="48"/>
      <c r="S39" s="46"/>
      <c r="T39" s="49" t="s">
        <v>420</v>
      </c>
      <c r="U39" s="49" t="s">
        <v>421</v>
      </c>
      <c r="V39" s="49" t="s">
        <v>422</v>
      </c>
      <c r="W39" s="46"/>
      <c r="X39" s="49" t="s">
        <v>132</v>
      </c>
      <c r="Y39" s="50" t="s">
        <v>133</v>
      </c>
      <c r="Z39" s="50" t="s">
        <v>134</v>
      </c>
      <c r="AA39" s="46"/>
      <c r="AB39" s="26"/>
      <c r="AC39" s="51" t="s">
        <v>423</v>
      </c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</row>
    <row r="40">
      <c r="A40" s="35">
        <v>45944.0</v>
      </c>
      <c r="B40" s="36" t="s">
        <v>424</v>
      </c>
      <c r="C40" s="37" t="s">
        <v>425</v>
      </c>
      <c r="D40" s="37" t="s">
        <v>426</v>
      </c>
      <c r="E40" s="54">
        <v>4790973645</v>
      </c>
      <c r="F40" s="39" t="s">
        <v>427</v>
      </c>
      <c r="G40" s="52" t="str">
        <f>IF(NOT(ISERROR(MATCH(D40,'Tannbleking - Oppsalg US'!D:D, 0))), "Ja", "")</f>
        <v/>
      </c>
      <c r="H40" s="37" t="s">
        <v>50</v>
      </c>
      <c r="I40" s="37" t="s">
        <v>44</v>
      </c>
      <c r="J40" s="40"/>
      <c r="K40" s="41"/>
      <c r="L40" s="42" t="s">
        <v>128</v>
      </c>
      <c r="M40" s="43" t="s">
        <v>129</v>
      </c>
      <c r="N40" s="44">
        <v>6.843762966937E12</v>
      </c>
      <c r="O40" s="53" t="str">
        <f t="shared" si="1"/>
        <v>14/10/2025</v>
      </c>
      <c r="P40" s="46">
        <f t="shared" si="2"/>
        <v>1760446140</v>
      </c>
      <c r="Q40" s="47"/>
      <c r="R40" s="48"/>
      <c r="S40" s="46"/>
      <c r="T40" s="49" t="s">
        <v>428</v>
      </c>
      <c r="U40" s="49" t="s">
        <v>429</v>
      </c>
      <c r="V40" s="49" t="s">
        <v>430</v>
      </c>
      <c r="W40" s="46"/>
      <c r="X40" s="49" t="s">
        <v>132</v>
      </c>
      <c r="Y40" s="50" t="s">
        <v>133</v>
      </c>
      <c r="Z40" s="50" t="s">
        <v>134</v>
      </c>
      <c r="AA40" s="46"/>
      <c r="AB40" s="26"/>
      <c r="AC40" s="51" t="s">
        <v>135</v>
      </c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</row>
    <row r="41">
      <c r="A41" s="35">
        <v>45945.0</v>
      </c>
      <c r="B41" s="36" t="s">
        <v>203</v>
      </c>
      <c r="C41" s="37" t="s">
        <v>431</v>
      </c>
      <c r="D41" s="37" t="s">
        <v>432</v>
      </c>
      <c r="E41" s="54">
        <v>4791550579</v>
      </c>
      <c r="F41" s="39" t="s">
        <v>433</v>
      </c>
      <c r="G41" s="52" t="str">
        <f>IF(NOT(ISERROR(MATCH(D41,'Tannbleking - Oppsalg US'!D:D, 0))), "Ja", "")</f>
        <v/>
      </c>
      <c r="H41" s="37" t="s">
        <v>50</v>
      </c>
      <c r="I41" s="37" t="s">
        <v>44</v>
      </c>
      <c r="J41" s="40"/>
      <c r="K41" s="41"/>
      <c r="L41" s="42" t="s">
        <v>128</v>
      </c>
      <c r="M41" s="43" t="s">
        <v>129</v>
      </c>
      <c r="N41" s="44">
        <v>6.843762966937E12</v>
      </c>
      <c r="O41" s="53" t="str">
        <f t="shared" si="1"/>
        <v>15/10/2025</v>
      </c>
      <c r="P41" s="46">
        <f t="shared" si="2"/>
        <v>1760516820</v>
      </c>
      <c r="Q41" s="47"/>
      <c r="R41" s="48"/>
      <c r="S41" s="46"/>
      <c r="T41" s="49" t="s">
        <v>434</v>
      </c>
      <c r="U41" s="49" t="s">
        <v>435</v>
      </c>
      <c r="V41" s="49" t="s">
        <v>436</v>
      </c>
      <c r="W41" s="46"/>
      <c r="X41" s="49" t="s">
        <v>132</v>
      </c>
      <c r="Y41" s="50" t="s">
        <v>133</v>
      </c>
      <c r="Z41" s="50" t="s">
        <v>134</v>
      </c>
      <c r="AA41" s="46"/>
      <c r="AB41" s="26"/>
      <c r="AC41" s="51" t="s">
        <v>144</v>
      </c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</row>
    <row r="42">
      <c r="A42" s="35">
        <v>45945.0</v>
      </c>
      <c r="B42" s="36" t="s">
        <v>437</v>
      </c>
      <c r="C42" s="37" t="s">
        <v>438</v>
      </c>
      <c r="D42" s="37" t="s">
        <v>439</v>
      </c>
      <c r="E42" s="54">
        <v>4796718900</v>
      </c>
      <c r="F42" s="39" t="s">
        <v>440</v>
      </c>
      <c r="G42" s="52" t="str">
        <f>IF(NOT(ISERROR(MATCH(D42,'Tannbleking - Oppsalg US'!D:D, 0))), "Ja", "")</f>
        <v/>
      </c>
      <c r="H42" s="37" t="s">
        <v>43</v>
      </c>
      <c r="I42" s="37" t="s">
        <v>322</v>
      </c>
      <c r="J42" s="40" t="s">
        <v>441</v>
      </c>
      <c r="K42" s="41"/>
      <c r="L42" s="42" t="s">
        <v>347</v>
      </c>
      <c r="M42" s="43">
        <v>6.843762966937E12</v>
      </c>
      <c r="N42" s="44"/>
      <c r="O42" s="53" t="str">
        <f t="shared" si="1"/>
        <v>15/10/2025</v>
      </c>
      <c r="P42" s="46">
        <f t="shared" si="2"/>
        <v>1760529120</v>
      </c>
      <c r="Q42" s="47"/>
      <c r="R42" s="48"/>
      <c r="S42" s="46"/>
      <c r="T42" s="49" t="s">
        <v>442</v>
      </c>
      <c r="U42" s="49" t="s">
        <v>443</v>
      </c>
      <c r="V42" s="49" t="s">
        <v>444</v>
      </c>
      <c r="W42" s="46"/>
      <c r="X42" s="49" t="s">
        <v>132</v>
      </c>
      <c r="Y42" s="50" t="s">
        <v>133</v>
      </c>
      <c r="Z42" s="50" t="s">
        <v>134</v>
      </c>
      <c r="AA42" s="46"/>
      <c r="AB42" s="26"/>
      <c r="AC42" s="51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</row>
    <row r="43">
      <c r="A43" s="35">
        <v>45946.0</v>
      </c>
      <c r="B43" s="36" t="s">
        <v>445</v>
      </c>
      <c r="C43" s="37" t="s">
        <v>446</v>
      </c>
      <c r="D43" s="37" t="s">
        <v>447</v>
      </c>
      <c r="E43" s="54">
        <v>4793680804</v>
      </c>
      <c r="F43" s="39" t="s">
        <v>448</v>
      </c>
      <c r="G43" s="52" t="str">
        <f>IF(NOT(ISERROR(MATCH(D43,'Tannbleking - Oppsalg US'!D:D, 0))), "Ja", "")</f>
        <v/>
      </c>
      <c r="H43" s="37" t="s">
        <v>90</v>
      </c>
      <c r="I43" s="37" t="s">
        <v>107</v>
      </c>
      <c r="J43" s="40"/>
      <c r="K43" s="41"/>
      <c r="L43" s="42" t="s">
        <v>128</v>
      </c>
      <c r="M43" s="43" t="s">
        <v>129</v>
      </c>
      <c r="N43" s="44">
        <v>6.843762966937E12</v>
      </c>
      <c r="O43" s="53" t="str">
        <f t="shared" si="1"/>
        <v>16/10/2025</v>
      </c>
      <c r="P43" s="46">
        <f t="shared" si="2"/>
        <v>1760584800</v>
      </c>
      <c r="Q43" s="47"/>
      <c r="R43" s="48"/>
      <c r="S43" s="46"/>
      <c r="T43" s="49" t="s">
        <v>449</v>
      </c>
      <c r="U43" s="49" t="s">
        <v>450</v>
      </c>
      <c r="V43" s="49" t="s">
        <v>451</v>
      </c>
      <c r="W43" s="46"/>
      <c r="X43" s="49" t="s">
        <v>132</v>
      </c>
      <c r="Y43" s="50" t="s">
        <v>133</v>
      </c>
      <c r="Z43" s="50" t="s">
        <v>134</v>
      </c>
      <c r="AA43" s="46"/>
      <c r="AB43" s="26"/>
      <c r="AC43" s="51" t="s">
        <v>144</v>
      </c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</row>
    <row r="44">
      <c r="A44" s="35">
        <v>45946.0</v>
      </c>
      <c r="B44" s="36" t="s">
        <v>452</v>
      </c>
      <c r="C44" s="37" t="s">
        <v>453</v>
      </c>
      <c r="D44" s="37" t="s">
        <v>454</v>
      </c>
      <c r="E44" s="54">
        <v>4796699482</v>
      </c>
      <c r="F44" s="39" t="s">
        <v>455</v>
      </c>
      <c r="G44" s="52" t="str">
        <f>IF(NOT(ISERROR(MATCH(D44,'Tannbleking - Oppsalg US'!D:D, 0))), "Ja", "")</f>
        <v/>
      </c>
      <c r="H44" s="37" t="s">
        <v>43</v>
      </c>
      <c r="I44" s="37" t="s">
        <v>322</v>
      </c>
      <c r="J44" s="40" t="s">
        <v>456</v>
      </c>
      <c r="K44" s="41"/>
      <c r="L44" s="42" t="s">
        <v>128</v>
      </c>
      <c r="M44" s="43" t="s">
        <v>457</v>
      </c>
      <c r="N44" s="44">
        <v>6.843807669137E12</v>
      </c>
      <c r="O44" s="53" t="str">
        <f t="shared" si="1"/>
        <v>16/10/2025</v>
      </c>
      <c r="P44" s="46">
        <f t="shared" si="2"/>
        <v>1760599620</v>
      </c>
      <c r="Q44" s="47"/>
      <c r="R44" s="48"/>
      <c r="S44" s="46"/>
      <c r="T44" s="49" t="s">
        <v>458</v>
      </c>
      <c r="U44" s="49" t="s">
        <v>459</v>
      </c>
      <c r="V44" s="49" t="s">
        <v>460</v>
      </c>
      <c r="W44" s="46"/>
      <c r="X44" s="49" t="s">
        <v>132</v>
      </c>
      <c r="Y44" s="50" t="s">
        <v>133</v>
      </c>
      <c r="Z44" s="50" t="s">
        <v>134</v>
      </c>
      <c r="AA44" s="46"/>
      <c r="AB44" s="26"/>
      <c r="AC44" s="51" t="s">
        <v>135</v>
      </c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</row>
    <row r="45">
      <c r="A45" s="35">
        <v>45946.0</v>
      </c>
      <c r="B45" s="36" t="s">
        <v>461</v>
      </c>
      <c r="C45" s="37" t="s">
        <v>462</v>
      </c>
      <c r="D45" s="37" t="s">
        <v>463</v>
      </c>
      <c r="E45" s="54">
        <v>4792445296</v>
      </c>
      <c r="F45" s="39" t="s">
        <v>464</v>
      </c>
      <c r="G45" s="52" t="str">
        <f>IF(NOT(ISERROR(MATCH(D45,'Tannbleking - Oppsalg US'!D:D, 0))), "Ja", "")</f>
        <v/>
      </c>
      <c r="H45" s="37" t="s">
        <v>50</v>
      </c>
      <c r="I45" s="37" t="s">
        <v>44</v>
      </c>
      <c r="J45" s="40"/>
      <c r="K45" s="41"/>
      <c r="L45" s="42" t="s">
        <v>128</v>
      </c>
      <c r="M45" s="43" t="s">
        <v>129</v>
      </c>
      <c r="N45" s="44">
        <v>6.843762966937E12</v>
      </c>
      <c r="O45" s="53" t="str">
        <f t="shared" si="1"/>
        <v>16/10/2025</v>
      </c>
      <c r="P45" s="46">
        <f t="shared" si="2"/>
        <v>1760606220</v>
      </c>
      <c r="Q45" s="47"/>
      <c r="R45" s="48"/>
      <c r="S45" s="46"/>
      <c r="T45" s="49" t="s">
        <v>465</v>
      </c>
      <c r="U45" s="49" t="s">
        <v>466</v>
      </c>
      <c r="V45" s="49" t="s">
        <v>467</v>
      </c>
      <c r="W45" s="46"/>
      <c r="X45" s="49" t="s">
        <v>132</v>
      </c>
      <c r="Y45" s="50" t="s">
        <v>133</v>
      </c>
      <c r="Z45" s="50" t="s">
        <v>134</v>
      </c>
      <c r="AA45" s="46"/>
      <c r="AB45" s="26"/>
      <c r="AC45" s="51" t="s">
        <v>144</v>
      </c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</row>
    <row r="46">
      <c r="A46" s="35">
        <v>45947.0</v>
      </c>
      <c r="B46" s="36" t="s">
        <v>468</v>
      </c>
      <c r="C46" s="37" t="s">
        <v>469</v>
      </c>
      <c r="D46" s="37" t="s">
        <v>470</v>
      </c>
      <c r="E46" s="54">
        <v>4745121960</v>
      </c>
      <c r="F46" s="39" t="s">
        <v>471</v>
      </c>
      <c r="G46" s="52" t="str">
        <f>IF(NOT(ISERROR(MATCH(D46,'Tannbleking - Oppsalg US'!D:D, 0))), "Ja", "")</f>
        <v/>
      </c>
      <c r="H46" s="37" t="s">
        <v>50</v>
      </c>
      <c r="I46" s="37" t="s">
        <v>44</v>
      </c>
      <c r="J46" s="40"/>
      <c r="K46" s="41"/>
      <c r="L46" s="42" t="s">
        <v>128</v>
      </c>
      <c r="M46" s="43" t="s">
        <v>129</v>
      </c>
      <c r="N46" s="44">
        <v>6.843762966937E12</v>
      </c>
      <c r="O46" s="53" t="str">
        <f t="shared" si="1"/>
        <v>17/10/2025</v>
      </c>
      <c r="P46" s="46">
        <f t="shared" si="2"/>
        <v>1760676780</v>
      </c>
      <c r="Q46" s="47"/>
      <c r="R46" s="48"/>
      <c r="S46" s="46"/>
      <c r="T46" s="49" t="s">
        <v>472</v>
      </c>
      <c r="U46" s="49" t="s">
        <v>473</v>
      </c>
      <c r="V46" s="49" t="s">
        <v>474</v>
      </c>
      <c r="W46" s="46"/>
      <c r="X46" s="49" t="s">
        <v>132</v>
      </c>
      <c r="Y46" s="50" t="s">
        <v>133</v>
      </c>
      <c r="Z46" s="50" t="s">
        <v>134</v>
      </c>
      <c r="AA46" s="46"/>
      <c r="AB46" s="26"/>
      <c r="AC46" s="51" t="s">
        <v>144</v>
      </c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</row>
    <row r="47">
      <c r="A47" s="35">
        <v>45947.0</v>
      </c>
      <c r="B47" s="36" t="s">
        <v>475</v>
      </c>
      <c r="C47" s="37" t="s">
        <v>476</v>
      </c>
      <c r="D47" s="37" t="s">
        <v>477</v>
      </c>
      <c r="E47" s="54">
        <v>4792299667</v>
      </c>
      <c r="F47" s="39" t="s">
        <v>478</v>
      </c>
      <c r="G47" s="52" t="str">
        <f>IF(NOT(ISERROR(MATCH(D47,'Tannbleking - Oppsalg US'!D:D, 0))), "Ja", "")</f>
        <v/>
      </c>
      <c r="H47" s="37" t="s">
        <v>50</v>
      </c>
      <c r="I47" s="37" t="s">
        <v>44</v>
      </c>
      <c r="J47" s="40"/>
      <c r="K47" s="41"/>
      <c r="L47" s="42" t="s">
        <v>128</v>
      </c>
      <c r="M47" s="43" t="s">
        <v>479</v>
      </c>
      <c r="N47" s="44">
        <v>6.843811006937E12</v>
      </c>
      <c r="O47" s="53" t="str">
        <f t="shared" si="1"/>
        <v>17/10/2025</v>
      </c>
      <c r="P47" s="46">
        <f t="shared" si="2"/>
        <v>1760700240</v>
      </c>
      <c r="Q47" s="47"/>
      <c r="R47" s="48"/>
      <c r="S47" s="46"/>
      <c r="T47" s="49" t="s">
        <v>480</v>
      </c>
      <c r="U47" s="49" t="s">
        <v>481</v>
      </c>
      <c r="V47" s="49" t="s">
        <v>482</v>
      </c>
      <c r="W47" s="46"/>
      <c r="X47" s="49" t="s">
        <v>132</v>
      </c>
      <c r="Y47" s="50" t="s">
        <v>133</v>
      </c>
      <c r="Z47" s="50" t="s">
        <v>134</v>
      </c>
      <c r="AA47" s="46"/>
      <c r="AB47" s="26"/>
      <c r="AC47" s="51" t="s">
        <v>135</v>
      </c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</row>
    <row r="48">
      <c r="A48" s="35">
        <v>45948.0</v>
      </c>
      <c r="B48" s="36" t="s">
        <v>483</v>
      </c>
      <c r="C48" s="37" t="s">
        <v>484</v>
      </c>
      <c r="D48" s="37" t="s">
        <v>485</v>
      </c>
      <c r="E48" s="54">
        <v>4798658604</v>
      </c>
      <c r="F48" s="39" t="s">
        <v>486</v>
      </c>
      <c r="G48" s="52" t="str">
        <f>IF(NOT(ISERROR(MATCH(D48,'Tannbleking - Oppsalg US'!D:D, 0))), "Ja", "")</f>
        <v/>
      </c>
      <c r="H48" s="37" t="s">
        <v>43</v>
      </c>
      <c r="I48" s="37" t="s">
        <v>140</v>
      </c>
      <c r="J48" s="40" t="s">
        <v>487</v>
      </c>
      <c r="K48" s="41"/>
      <c r="L48" s="42" t="s">
        <v>128</v>
      </c>
      <c r="M48" s="43" t="s">
        <v>129</v>
      </c>
      <c r="N48" s="44">
        <v>6.843762966937E12</v>
      </c>
      <c r="O48" s="53" t="str">
        <f t="shared" si="1"/>
        <v>18/10/2025</v>
      </c>
      <c r="P48" s="46">
        <f t="shared" si="2"/>
        <v>1760782140</v>
      </c>
      <c r="Q48" s="47"/>
      <c r="R48" s="48"/>
      <c r="S48" s="46"/>
      <c r="T48" s="49" t="s">
        <v>488</v>
      </c>
      <c r="U48" s="49" t="s">
        <v>489</v>
      </c>
      <c r="V48" s="49" t="s">
        <v>490</v>
      </c>
      <c r="W48" s="46"/>
      <c r="X48" s="49" t="s">
        <v>132</v>
      </c>
      <c r="Y48" s="50" t="s">
        <v>133</v>
      </c>
      <c r="Z48" s="50" t="s">
        <v>134</v>
      </c>
      <c r="AA48" s="46"/>
      <c r="AB48" s="26"/>
      <c r="AC48" s="51" t="s">
        <v>144</v>
      </c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</row>
    <row r="49">
      <c r="A49" s="35">
        <v>45948.0</v>
      </c>
      <c r="B49" s="36" t="s">
        <v>491</v>
      </c>
      <c r="C49" s="37" t="s">
        <v>492</v>
      </c>
      <c r="D49" s="37" t="s">
        <v>493</v>
      </c>
      <c r="E49" s="54">
        <f>47469412</f>
        <v>47469412</v>
      </c>
      <c r="F49" s="39" t="s">
        <v>494</v>
      </c>
      <c r="G49" s="52" t="str">
        <f>IF(NOT(ISERROR(MATCH(D49,'Tannbleking - Oppsalg US'!D:D, 0))), "Ja", "")</f>
        <v/>
      </c>
      <c r="H49" s="37" t="s">
        <v>43</v>
      </c>
      <c r="I49" s="37" t="s">
        <v>72</v>
      </c>
      <c r="J49" s="40" t="s">
        <v>495</v>
      </c>
      <c r="K49" s="41"/>
      <c r="L49" s="42" t="s">
        <v>128</v>
      </c>
      <c r="M49" s="43" t="s">
        <v>129</v>
      </c>
      <c r="N49" s="44">
        <v>6.843762966937E12</v>
      </c>
      <c r="O49" s="53" t="str">
        <f t="shared" si="1"/>
        <v>18/10/2025</v>
      </c>
      <c r="P49" s="46">
        <f t="shared" si="2"/>
        <v>1760782440</v>
      </c>
      <c r="Q49" s="47"/>
      <c r="R49" s="48"/>
      <c r="S49" s="46"/>
      <c r="T49" s="49" t="s">
        <v>496</v>
      </c>
      <c r="U49" s="49" t="s">
        <v>497</v>
      </c>
      <c r="V49" s="49" t="s">
        <v>498</v>
      </c>
      <c r="W49" s="46"/>
      <c r="X49" s="49" t="s">
        <v>132</v>
      </c>
      <c r="Y49" s="50" t="s">
        <v>133</v>
      </c>
      <c r="Z49" s="50" t="s">
        <v>134</v>
      </c>
      <c r="AA49" s="46"/>
      <c r="AB49" s="26"/>
      <c r="AC49" s="51" t="s">
        <v>135</v>
      </c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</row>
    <row r="50">
      <c r="A50" s="35">
        <v>45948.0</v>
      </c>
      <c r="B50" s="36" t="s">
        <v>499</v>
      </c>
      <c r="C50" s="37" t="s">
        <v>500</v>
      </c>
      <c r="D50" s="37" t="s">
        <v>501</v>
      </c>
      <c r="E50" s="54">
        <v>4799416488</v>
      </c>
      <c r="F50" s="39" t="s">
        <v>502</v>
      </c>
      <c r="G50" s="52" t="str">
        <f>IF(NOT(ISERROR(MATCH(D50,'Tannbleking - Oppsalg US'!D:D, 0))), "Ja", "")</f>
        <v/>
      </c>
      <c r="H50" s="37" t="s">
        <v>90</v>
      </c>
      <c r="I50" s="37" t="s">
        <v>107</v>
      </c>
      <c r="J50" s="40" t="s">
        <v>503</v>
      </c>
      <c r="K50" s="41"/>
      <c r="L50" s="42" t="s">
        <v>128</v>
      </c>
      <c r="M50" s="43" t="s">
        <v>504</v>
      </c>
      <c r="N50" s="44">
        <v>6.843816185137E12</v>
      </c>
      <c r="O50" s="53" t="str">
        <f t="shared" si="1"/>
        <v>18/10/2025</v>
      </c>
      <c r="P50" s="46">
        <f t="shared" si="2"/>
        <v>1760783340</v>
      </c>
      <c r="Q50" s="47"/>
      <c r="R50" s="48"/>
      <c r="S50" s="46"/>
      <c r="T50" s="49" t="s">
        <v>505</v>
      </c>
      <c r="U50" s="49" t="s">
        <v>506</v>
      </c>
      <c r="V50" s="49" t="s">
        <v>507</v>
      </c>
      <c r="W50" s="46"/>
      <c r="X50" s="49" t="s">
        <v>132</v>
      </c>
      <c r="Y50" s="50" t="s">
        <v>133</v>
      </c>
      <c r="Z50" s="50" t="s">
        <v>134</v>
      </c>
      <c r="AA50" s="46"/>
      <c r="AB50" s="26"/>
      <c r="AC50" s="51" t="s">
        <v>135</v>
      </c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</row>
    <row r="51">
      <c r="A51" s="35">
        <v>45949.0</v>
      </c>
      <c r="B51" s="36" t="s">
        <v>508</v>
      </c>
      <c r="C51" s="37" t="s">
        <v>509</v>
      </c>
      <c r="D51" s="37" t="s">
        <v>510</v>
      </c>
      <c r="E51" s="54">
        <v>4794480632</v>
      </c>
      <c r="F51" s="39" t="s">
        <v>511</v>
      </c>
      <c r="G51" s="52" t="str">
        <f>IF(NOT(ISERROR(MATCH(D51,'Tannbleking - Oppsalg US'!D:D, 0))), "Ja", "")</f>
        <v/>
      </c>
      <c r="H51" s="37" t="s">
        <v>50</v>
      </c>
      <c r="I51" s="37" t="s">
        <v>44</v>
      </c>
      <c r="J51" s="40"/>
      <c r="K51" s="41"/>
      <c r="L51" s="42" t="s">
        <v>128</v>
      </c>
      <c r="M51" s="43" t="s">
        <v>129</v>
      </c>
      <c r="N51" s="44">
        <v>6.843762966937E12</v>
      </c>
      <c r="O51" s="53" t="str">
        <f t="shared" si="1"/>
        <v>19/10/2025</v>
      </c>
      <c r="P51" s="46">
        <f t="shared" si="2"/>
        <v>1760866080</v>
      </c>
      <c r="Q51" s="47"/>
      <c r="R51" s="48"/>
      <c r="S51" s="46"/>
      <c r="T51" s="49" t="s">
        <v>512</v>
      </c>
      <c r="U51" s="49" t="s">
        <v>513</v>
      </c>
      <c r="V51" s="49" t="s">
        <v>514</v>
      </c>
      <c r="W51" s="46"/>
      <c r="X51" s="49" t="s">
        <v>132</v>
      </c>
      <c r="Y51" s="50" t="s">
        <v>133</v>
      </c>
      <c r="Z51" s="50" t="s">
        <v>134</v>
      </c>
      <c r="AA51" s="46"/>
      <c r="AB51" s="26"/>
      <c r="AC51" s="51" t="s">
        <v>135</v>
      </c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</row>
    <row r="52">
      <c r="A52" s="35">
        <v>45949.0</v>
      </c>
      <c r="B52" s="36" t="s">
        <v>515</v>
      </c>
      <c r="C52" s="37" t="s">
        <v>516</v>
      </c>
      <c r="D52" s="37" t="s">
        <v>517</v>
      </c>
      <c r="E52" s="54">
        <v>4794247167</v>
      </c>
      <c r="F52" s="39" t="s">
        <v>518</v>
      </c>
      <c r="G52" s="52" t="str">
        <f>IF(NOT(ISERROR(MATCH(D52,'Tannbleking - Oppsalg US'!D:D, 0))), "Ja", "")</f>
        <v/>
      </c>
      <c r="H52" s="37" t="s">
        <v>50</v>
      </c>
      <c r="I52" s="37" t="s">
        <v>44</v>
      </c>
      <c r="J52" s="40"/>
      <c r="K52" s="41"/>
      <c r="L52" s="42" t="s">
        <v>128</v>
      </c>
      <c r="M52" s="43" t="s">
        <v>129</v>
      </c>
      <c r="N52" s="44">
        <v>6.843762966937E12</v>
      </c>
      <c r="O52" s="53" t="str">
        <f t="shared" si="1"/>
        <v>19/10/2025</v>
      </c>
      <c r="P52" s="46">
        <f t="shared" si="2"/>
        <v>1760875620</v>
      </c>
      <c r="Q52" s="47"/>
      <c r="R52" s="48"/>
      <c r="S52" s="46"/>
      <c r="T52" s="49" t="s">
        <v>519</v>
      </c>
      <c r="U52" s="49" t="s">
        <v>520</v>
      </c>
      <c r="V52" s="49" t="s">
        <v>521</v>
      </c>
      <c r="W52" s="46"/>
      <c r="X52" s="49" t="s">
        <v>132</v>
      </c>
      <c r="Y52" s="50" t="s">
        <v>133</v>
      </c>
      <c r="Z52" s="50" t="s">
        <v>134</v>
      </c>
      <c r="AA52" s="46"/>
      <c r="AB52" s="26"/>
      <c r="AC52" s="51" t="s">
        <v>135</v>
      </c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</row>
    <row r="53">
      <c r="A53" s="35">
        <v>45949.0</v>
      </c>
      <c r="B53" s="36" t="s">
        <v>522</v>
      </c>
      <c r="C53" s="37" t="s">
        <v>523</v>
      </c>
      <c r="D53" s="37" t="s">
        <v>524</v>
      </c>
      <c r="E53" s="54">
        <v>4796980568</v>
      </c>
      <c r="F53" s="39" t="s">
        <v>525</v>
      </c>
      <c r="G53" s="52" t="str">
        <f>IF(NOT(ISERROR(MATCH(D53,'Tannbleking - Oppsalg US'!D:D, 0))), "Ja", "")</f>
        <v/>
      </c>
      <c r="H53" s="37" t="s">
        <v>50</v>
      </c>
      <c r="I53" s="37" t="s">
        <v>44</v>
      </c>
      <c r="J53" s="40"/>
      <c r="K53" s="41"/>
      <c r="L53" s="42" t="s">
        <v>128</v>
      </c>
      <c r="M53" s="43" t="s">
        <v>129</v>
      </c>
      <c r="N53" s="44">
        <v>6.843762966937E12</v>
      </c>
      <c r="O53" s="53" t="str">
        <f t="shared" si="1"/>
        <v>19/10/2025</v>
      </c>
      <c r="P53" s="46">
        <f t="shared" si="2"/>
        <v>1760888220</v>
      </c>
      <c r="Q53" s="47"/>
      <c r="R53" s="48"/>
      <c r="S53" s="46"/>
      <c r="T53" s="49" t="s">
        <v>526</v>
      </c>
      <c r="U53" s="49" t="s">
        <v>527</v>
      </c>
      <c r="V53" s="49" t="s">
        <v>528</v>
      </c>
      <c r="W53" s="46"/>
      <c r="X53" s="49" t="s">
        <v>132</v>
      </c>
      <c r="Y53" s="50" t="s">
        <v>133</v>
      </c>
      <c r="Z53" s="50" t="s">
        <v>134</v>
      </c>
      <c r="AA53" s="46"/>
      <c r="AB53" s="26"/>
      <c r="AC53" s="51" t="s">
        <v>280</v>
      </c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</row>
    <row r="54">
      <c r="A54" s="35">
        <v>45949.0</v>
      </c>
      <c r="B54" s="36" t="s">
        <v>529</v>
      </c>
      <c r="C54" s="37" t="s">
        <v>530</v>
      </c>
      <c r="D54" s="37" t="s">
        <v>531</v>
      </c>
      <c r="E54" s="54">
        <v>4793222881</v>
      </c>
      <c r="F54" s="39" t="s">
        <v>532</v>
      </c>
      <c r="G54" s="52" t="str">
        <f>IF(NOT(ISERROR(MATCH(D54,'Tannbleking - Oppsalg US'!D:D, 0))), "Ja", "")</f>
        <v/>
      </c>
      <c r="H54" s="37" t="s">
        <v>43</v>
      </c>
      <c r="I54" s="37" t="s">
        <v>322</v>
      </c>
      <c r="J54" s="40" t="s">
        <v>533</v>
      </c>
      <c r="K54" s="41"/>
      <c r="L54" s="42" t="s">
        <v>128</v>
      </c>
      <c r="M54" s="43" t="s">
        <v>239</v>
      </c>
      <c r="N54" s="44">
        <v>6.843809575737E12</v>
      </c>
      <c r="O54" s="53" t="str">
        <f t="shared" si="1"/>
        <v>19/10/2025</v>
      </c>
      <c r="P54" s="46">
        <f t="shared" si="2"/>
        <v>1760891100</v>
      </c>
      <c r="Q54" s="47"/>
      <c r="R54" s="48"/>
      <c r="S54" s="46"/>
      <c r="T54" s="49" t="s">
        <v>534</v>
      </c>
      <c r="U54" s="49" t="s">
        <v>535</v>
      </c>
      <c r="V54" s="49" t="s">
        <v>536</v>
      </c>
      <c r="W54" s="46"/>
      <c r="X54" s="49" t="s">
        <v>132</v>
      </c>
      <c r="Y54" s="50" t="s">
        <v>133</v>
      </c>
      <c r="Z54" s="50" t="s">
        <v>134</v>
      </c>
      <c r="AA54" s="46"/>
      <c r="AB54" s="26"/>
      <c r="AC54" s="51" t="s">
        <v>144</v>
      </c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</row>
    <row r="55">
      <c r="A55" s="35">
        <v>45949.0</v>
      </c>
      <c r="B55" s="36" t="s">
        <v>537</v>
      </c>
      <c r="C55" s="37" t="s">
        <v>538</v>
      </c>
      <c r="D55" s="37" t="s">
        <v>539</v>
      </c>
      <c r="E55" s="54">
        <v>4790677989</v>
      </c>
      <c r="F55" s="39" t="s">
        <v>238</v>
      </c>
      <c r="G55" s="52" t="str">
        <f>IF(NOT(ISERROR(MATCH(D55,'Tannbleking - Oppsalg US'!D:D, 0))), "Ja", "")</f>
        <v/>
      </c>
      <c r="H55" s="37" t="s">
        <v>50</v>
      </c>
      <c r="I55" s="37" t="s">
        <v>44</v>
      </c>
      <c r="J55" s="40"/>
      <c r="K55" s="41"/>
      <c r="L55" s="42" t="s">
        <v>128</v>
      </c>
      <c r="M55" s="43" t="s">
        <v>129</v>
      </c>
      <c r="N55" s="44">
        <v>6.843762966937E12</v>
      </c>
      <c r="O55" s="53" t="str">
        <f t="shared" si="1"/>
        <v>19/10/2025</v>
      </c>
      <c r="P55" s="46">
        <f t="shared" si="2"/>
        <v>1760896380</v>
      </c>
      <c r="Q55" s="47"/>
      <c r="R55" s="48"/>
      <c r="S55" s="46"/>
      <c r="T55" s="49" t="s">
        <v>540</v>
      </c>
      <c r="U55" s="49" t="s">
        <v>541</v>
      </c>
      <c r="V55" s="49" t="s">
        <v>542</v>
      </c>
      <c r="W55" s="46"/>
      <c r="X55" s="49" t="s">
        <v>132</v>
      </c>
      <c r="Y55" s="50" t="s">
        <v>133</v>
      </c>
      <c r="Z55" s="50" t="s">
        <v>134</v>
      </c>
      <c r="AA55" s="46"/>
      <c r="AB55" s="26"/>
      <c r="AC55" s="51" t="s">
        <v>135</v>
      </c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</row>
    <row r="56">
      <c r="A56" s="35">
        <v>45949.0</v>
      </c>
      <c r="B56" s="36" t="s">
        <v>543</v>
      </c>
      <c r="C56" s="37" t="s">
        <v>544</v>
      </c>
      <c r="D56" s="37" t="s">
        <v>545</v>
      </c>
      <c r="E56" s="54">
        <v>4797045306</v>
      </c>
      <c r="F56" s="39" t="s">
        <v>546</v>
      </c>
      <c r="G56" s="52" t="str">
        <f>IF(NOT(ISERROR(MATCH(D56,'Tannbleking - Oppsalg US'!D:D, 0))), "Ja", "")</f>
        <v/>
      </c>
      <c r="H56" s="37" t="s">
        <v>50</v>
      </c>
      <c r="I56" s="37" t="s">
        <v>44</v>
      </c>
      <c r="J56" s="40"/>
      <c r="K56" s="41"/>
      <c r="L56" s="42" t="s">
        <v>128</v>
      </c>
      <c r="M56" s="43" t="s">
        <v>129</v>
      </c>
      <c r="N56" s="44">
        <v>6.843762966937E12</v>
      </c>
      <c r="O56" s="53" t="str">
        <f t="shared" si="1"/>
        <v>19/10/2025</v>
      </c>
      <c r="P56" s="46">
        <f t="shared" si="2"/>
        <v>1760896800</v>
      </c>
      <c r="Q56" s="47"/>
      <c r="R56" s="48"/>
      <c r="S56" s="46"/>
      <c r="T56" s="49" t="s">
        <v>547</v>
      </c>
      <c r="U56" s="49" t="s">
        <v>548</v>
      </c>
      <c r="V56" s="49" t="s">
        <v>549</v>
      </c>
      <c r="W56" s="46"/>
      <c r="X56" s="49" t="s">
        <v>132</v>
      </c>
      <c r="Y56" s="50" t="s">
        <v>133</v>
      </c>
      <c r="Z56" s="50" t="s">
        <v>134</v>
      </c>
      <c r="AA56" s="46"/>
      <c r="AB56" s="26"/>
      <c r="AC56" s="51" t="s">
        <v>135</v>
      </c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</row>
    <row r="57">
      <c r="A57" s="35">
        <v>45950.0</v>
      </c>
      <c r="B57" s="36" t="s">
        <v>550</v>
      </c>
      <c r="C57" s="37" t="s">
        <v>551</v>
      </c>
      <c r="D57" s="37" t="s">
        <v>552</v>
      </c>
      <c r="E57" s="54">
        <v>4794280530</v>
      </c>
      <c r="F57" s="39" t="s">
        <v>553</v>
      </c>
      <c r="G57" s="52" t="str">
        <f>IF(NOT(ISERROR(MATCH(D57,'Tannbleking - Oppsalg US'!D:D, 0))), "Ja", "")</f>
        <v/>
      </c>
      <c r="H57" s="37" t="s">
        <v>50</v>
      </c>
      <c r="I57" s="37" t="s">
        <v>44</v>
      </c>
      <c r="J57" s="40"/>
      <c r="K57" s="41"/>
      <c r="L57" s="42" t="s">
        <v>128</v>
      </c>
      <c r="M57" s="43" t="s">
        <v>129</v>
      </c>
      <c r="N57" s="44">
        <v>6.843762966937E12</v>
      </c>
      <c r="O57" s="53" t="str">
        <f t="shared" si="1"/>
        <v>20/10/2025</v>
      </c>
      <c r="P57" s="46">
        <f t="shared" si="2"/>
        <v>1760937660</v>
      </c>
      <c r="Q57" s="47"/>
      <c r="R57" s="48"/>
      <c r="S57" s="46"/>
      <c r="T57" s="49" t="s">
        <v>554</v>
      </c>
      <c r="U57" s="49" t="s">
        <v>555</v>
      </c>
      <c r="V57" s="49" t="s">
        <v>556</v>
      </c>
      <c r="W57" s="46"/>
      <c r="X57" s="49" t="s">
        <v>132</v>
      </c>
      <c r="Y57" s="50" t="s">
        <v>133</v>
      </c>
      <c r="Z57" s="50" t="s">
        <v>134</v>
      </c>
      <c r="AA57" s="46"/>
      <c r="AB57" s="26"/>
      <c r="AC57" s="51" t="s">
        <v>144</v>
      </c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</row>
    <row r="58">
      <c r="A58" s="35">
        <v>45951.0</v>
      </c>
      <c r="B58" s="36" t="s">
        <v>359</v>
      </c>
      <c r="C58" s="37" t="s">
        <v>557</v>
      </c>
      <c r="D58" s="37" t="s">
        <v>558</v>
      </c>
      <c r="E58" s="54">
        <v>4746467475</v>
      </c>
      <c r="F58" s="39" t="s">
        <v>559</v>
      </c>
      <c r="G58" s="52" t="str">
        <f>IF(NOT(ISERROR(MATCH(D58,'Tannbleking - Oppsalg US'!D:D, 0))), "Ja", "")</f>
        <v/>
      </c>
      <c r="H58" s="37" t="s">
        <v>50</v>
      </c>
      <c r="I58" s="37" t="s">
        <v>72</v>
      </c>
      <c r="J58" s="40"/>
      <c r="K58" s="41"/>
      <c r="L58" s="42" t="s">
        <v>128</v>
      </c>
      <c r="M58" s="43" t="s">
        <v>129</v>
      </c>
      <c r="N58" s="44">
        <v>6.843762966937E12</v>
      </c>
      <c r="O58" s="53" t="str">
        <f t="shared" si="1"/>
        <v>21/10/2025</v>
      </c>
      <c r="P58" s="46">
        <f t="shared" si="2"/>
        <v>1761064560</v>
      </c>
      <c r="Q58" s="47"/>
      <c r="R58" s="48"/>
      <c r="S58" s="46"/>
      <c r="T58" s="49" t="s">
        <v>560</v>
      </c>
      <c r="U58" s="49" t="s">
        <v>561</v>
      </c>
      <c r="V58" s="49" t="s">
        <v>562</v>
      </c>
      <c r="W58" s="46"/>
      <c r="X58" s="49" t="s">
        <v>132</v>
      </c>
      <c r="Y58" s="50" t="s">
        <v>133</v>
      </c>
      <c r="Z58" s="50" t="s">
        <v>134</v>
      </c>
      <c r="AA58" s="46"/>
      <c r="AB58" s="26"/>
      <c r="AC58" s="51" t="s">
        <v>135</v>
      </c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</row>
    <row r="59">
      <c r="A59" s="35">
        <v>45951.0</v>
      </c>
      <c r="B59" s="36" t="s">
        <v>563</v>
      </c>
      <c r="C59" s="37" t="s">
        <v>564</v>
      </c>
      <c r="D59" s="37" t="s">
        <v>565</v>
      </c>
      <c r="E59" s="54">
        <v>4746798182</v>
      </c>
      <c r="F59" s="39" t="s">
        <v>566</v>
      </c>
      <c r="G59" s="52" t="str">
        <f>IF(NOT(ISERROR(MATCH(D59,'Tannbleking - Oppsalg US'!D:D, 0))), "Ja", "")</f>
        <v/>
      </c>
      <c r="H59" s="37" t="s">
        <v>50</v>
      </c>
      <c r="I59" s="37" t="s">
        <v>44</v>
      </c>
      <c r="J59" s="40"/>
      <c r="K59" s="41"/>
      <c r="L59" s="42" t="s">
        <v>128</v>
      </c>
      <c r="M59" s="43" t="s">
        <v>129</v>
      </c>
      <c r="N59" s="44">
        <v>6.843762966937E12</v>
      </c>
      <c r="O59" s="53" t="str">
        <f t="shared" si="1"/>
        <v>21/10/2025</v>
      </c>
      <c r="P59" s="46">
        <f t="shared" si="2"/>
        <v>1761079440</v>
      </c>
      <c r="Q59" s="47"/>
      <c r="R59" s="48"/>
      <c r="S59" s="46"/>
      <c r="T59" s="49" t="s">
        <v>567</v>
      </c>
      <c r="U59" s="49" t="s">
        <v>568</v>
      </c>
      <c r="V59" s="49" t="s">
        <v>569</v>
      </c>
      <c r="W59" s="46"/>
      <c r="X59" s="49" t="s">
        <v>132</v>
      </c>
      <c r="Y59" s="50" t="s">
        <v>133</v>
      </c>
      <c r="Z59" s="50" t="s">
        <v>134</v>
      </c>
      <c r="AA59" s="46"/>
      <c r="AB59" s="26"/>
      <c r="AC59" s="51" t="s">
        <v>135</v>
      </c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</row>
    <row r="60">
      <c r="A60" s="35">
        <v>45951.0</v>
      </c>
      <c r="B60" s="36" t="s">
        <v>570</v>
      </c>
      <c r="C60" s="37" t="s">
        <v>571</v>
      </c>
      <c r="D60" s="37" t="s">
        <v>572</v>
      </c>
      <c r="E60" s="54">
        <v>4798847377</v>
      </c>
      <c r="F60" s="39" t="s">
        <v>573</v>
      </c>
      <c r="G60" s="52" t="str">
        <f>IF(NOT(ISERROR(MATCH(D60,'Tannbleking - Oppsalg US'!D:D, 0))), "Ja", "")</f>
        <v/>
      </c>
      <c r="H60" s="37" t="s">
        <v>90</v>
      </c>
      <c r="I60" s="37" t="s">
        <v>44</v>
      </c>
      <c r="J60" s="40" t="s">
        <v>574</v>
      </c>
      <c r="K60" s="41"/>
      <c r="L60" s="42" t="s">
        <v>128</v>
      </c>
      <c r="M60" s="43" t="s">
        <v>479</v>
      </c>
      <c r="N60" s="44">
        <v>6.843811006937E12</v>
      </c>
      <c r="O60" s="53" t="str">
        <f t="shared" si="1"/>
        <v>21/10/2025</v>
      </c>
      <c r="P60" s="46">
        <f t="shared" si="2"/>
        <v>1761082440</v>
      </c>
      <c r="Q60" s="47"/>
      <c r="R60" s="48"/>
      <c r="S60" s="46"/>
      <c r="T60" s="49" t="s">
        <v>575</v>
      </c>
      <c r="U60" s="49" t="s">
        <v>576</v>
      </c>
      <c r="V60" s="49" t="s">
        <v>577</v>
      </c>
      <c r="W60" s="46"/>
      <c r="X60" s="49" t="s">
        <v>132</v>
      </c>
      <c r="Y60" s="50" t="s">
        <v>133</v>
      </c>
      <c r="Z60" s="50" t="s">
        <v>134</v>
      </c>
      <c r="AA60" s="46"/>
      <c r="AB60" s="26"/>
      <c r="AC60" s="51" t="s">
        <v>135</v>
      </c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</row>
    <row r="61">
      <c r="A61" s="35">
        <v>45952.0</v>
      </c>
      <c r="B61" s="36" t="s">
        <v>578</v>
      </c>
      <c r="C61" s="37" t="s">
        <v>579</v>
      </c>
      <c r="D61" s="37" t="s">
        <v>580</v>
      </c>
      <c r="E61" s="54">
        <v>4790273133</v>
      </c>
      <c r="F61" s="39" t="s">
        <v>581</v>
      </c>
      <c r="G61" s="52" t="str">
        <f>IF(NOT(ISERROR(MATCH(D61,'Tannbleking - Oppsalg US'!D:D, 0))), "Ja", "")</f>
        <v/>
      </c>
      <c r="H61" s="37" t="s">
        <v>50</v>
      </c>
      <c r="I61" s="37" t="s">
        <v>44</v>
      </c>
      <c r="J61" s="40"/>
      <c r="K61" s="41"/>
      <c r="L61" s="42" t="s">
        <v>128</v>
      </c>
      <c r="M61" s="43" t="s">
        <v>239</v>
      </c>
      <c r="N61" s="44">
        <v>6.843809575737E12</v>
      </c>
      <c r="O61" s="53" t="str">
        <f t="shared" si="1"/>
        <v>22/10/2025</v>
      </c>
      <c r="P61" s="46">
        <f t="shared" si="2"/>
        <v>1761136020</v>
      </c>
      <c r="Q61" s="47"/>
      <c r="R61" s="48"/>
      <c r="S61" s="46"/>
      <c r="T61" s="49" t="s">
        <v>582</v>
      </c>
      <c r="U61" s="49" t="s">
        <v>583</v>
      </c>
      <c r="V61" s="49" t="s">
        <v>584</v>
      </c>
      <c r="W61" s="46"/>
      <c r="X61" s="49" t="s">
        <v>132</v>
      </c>
      <c r="Y61" s="50" t="s">
        <v>133</v>
      </c>
      <c r="Z61" s="50" t="s">
        <v>134</v>
      </c>
      <c r="AA61" s="46"/>
      <c r="AB61" s="26"/>
      <c r="AC61" s="51" t="s">
        <v>135</v>
      </c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</row>
    <row r="62">
      <c r="A62" s="35">
        <v>45952.0</v>
      </c>
      <c r="B62" s="36" t="s">
        <v>585</v>
      </c>
      <c r="C62" s="37" t="s">
        <v>586</v>
      </c>
      <c r="D62" s="37" t="s">
        <v>587</v>
      </c>
      <c r="E62" s="54">
        <v>4797692210</v>
      </c>
      <c r="F62" s="39" t="s">
        <v>588</v>
      </c>
      <c r="G62" s="52" t="str">
        <f>IF(NOT(ISERROR(MATCH(D62,'Tannbleking - Oppsalg US'!D:D, 0))), "Ja", "")</f>
        <v>Ja</v>
      </c>
      <c r="H62" s="37" t="s">
        <v>50</v>
      </c>
      <c r="I62" s="37" t="s">
        <v>44</v>
      </c>
      <c r="J62" s="40"/>
      <c r="K62" s="41"/>
      <c r="L62" s="42" t="s">
        <v>128</v>
      </c>
      <c r="M62" s="43" t="s">
        <v>239</v>
      </c>
      <c r="N62" s="44">
        <v>6.843809575737E12</v>
      </c>
      <c r="O62" s="53" t="str">
        <f t="shared" si="1"/>
        <v>22/10/2025</v>
      </c>
      <c r="P62" s="46">
        <f t="shared" si="2"/>
        <v>1761143340</v>
      </c>
      <c r="Q62" s="47"/>
      <c r="R62" s="48"/>
      <c r="S62" s="46"/>
      <c r="T62" s="49" t="s">
        <v>589</v>
      </c>
      <c r="U62" s="49" t="s">
        <v>590</v>
      </c>
      <c r="V62" s="49" t="s">
        <v>591</v>
      </c>
      <c r="W62" s="46"/>
      <c r="X62" s="49" t="s">
        <v>132</v>
      </c>
      <c r="Y62" s="50" t="s">
        <v>133</v>
      </c>
      <c r="Z62" s="50" t="s">
        <v>134</v>
      </c>
      <c r="AA62" s="46"/>
      <c r="AB62" s="26"/>
      <c r="AC62" s="51" t="s">
        <v>144</v>
      </c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</row>
    <row r="63">
      <c r="A63" s="35">
        <v>45952.0</v>
      </c>
      <c r="B63" s="36" t="s">
        <v>592</v>
      </c>
      <c r="C63" s="37" t="s">
        <v>593</v>
      </c>
      <c r="D63" s="37" t="s">
        <v>594</v>
      </c>
      <c r="E63" s="54">
        <v>4792010224</v>
      </c>
      <c r="F63" s="39" t="s">
        <v>595</v>
      </c>
      <c r="G63" s="52" t="str">
        <f>IF(NOT(ISERROR(MATCH(D63,'Tannbleking - Oppsalg US'!D:D, 0))), "Ja", "")</f>
        <v/>
      </c>
      <c r="H63" s="37" t="s">
        <v>90</v>
      </c>
      <c r="I63" s="37" t="s">
        <v>107</v>
      </c>
      <c r="J63" s="40" t="s">
        <v>596</v>
      </c>
      <c r="K63" s="41"/>
      <c r="L63" s="42" t="s">
        <v>128</v>
      </c>
      <c r="M63" s="43" t="s">
        <v>239</v>
      </c>
      <c r="N63" s="44">
        <v>6.843809575737E12</v>
      </c>
      <c r="O63" s="53" t="str">
        <f t="shared" si="1"/>
        <v>22/10/2025</v>
      </c>
      <c r="P63" s="46">
        <f t="shared" si="2"/>
        <v>1761158400</v>
      </c>
      <c r="Q63" s="47"/>
      <c r="R63" s="48"/>
      <c r="S63" s="46"/>
      <c r="T63" s="49" t="s">
        <v>597</v>
      </c>
      <c r="U63" s="49" t="s">
        <v>598</v>
      </c>
      <c r="V63" s="49" t="s">
        <v>599</v>
      </c>
      <c r="W63" s="46"/>
      <c r="X63" s="49" t="s">
        <v>132</v>
      </c>
      <c r="Y63" s="50" t="s">
        <v>133</v>
      </c>
      <c r="Z63" s="50" t="s">
        <v>134</v>
      </c>
      <c r="AA63" s="46"/>
      <c r="AB63" s="26"/>
      <c r="AC63" s="51" t="s">
        <v>144</v>
      </c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</row>
    <row r="64">
      <c r="A64" s="35">
        <v>45953.0</v>
      </c>
      <c r="B64" s="36" t="s">
        <v>600</v>
      </c>
      <c r="C64" s="37" t="s">
        <v>601</v>
      </c>
      <c r="D64" s="37" t="s">
        <v>602</v>
      </c>
      <c r="E64" s="54">
        <v>4798685965</v>
      </c>
      <c r="F64" s="39" t="s">
        <v>603</v>
      </c>
      <c r="G64" s="52" t="str">
        <f>IF(NOT(ISERROR(MATCH(D64,'Tannbleking - Oppsalg US'!D:D, 0))), "Ja", "")</f>
        <v/>
      </c>
      <c r="H64" s="37" t="s">
        <v>50</v>
      </c>
      <c r="I64" s="37" t="s">
        <v>44</v>
      </c>
      <c r="J64" s="40"/>
      <c r="K64" s="41"/>
      <c r="L64" s="42" t="s">
        <v>128</v>
      </c>
      <c r="M64" s="43" t="s">
        <v>129</v>
      </c>
      <c r="N64" s="44">
        <v>6.843762966937E12</v>
      </c>
      <c r="O64" s="53" t="str">
        <f t="shared" si="1"/>
        <v>23/10/2025</v>
      </c>
      <c r="P64" s="46">
        <f t="shared" si="2"/>
        <v>1761222660</v>
      </c>
      <c r="Q64" s="47"/>
      <c r="R64" s="48"/>
      <c r="S64" s="46"/>
      <c r="T64" s="49" t="s">
        <v>604</v>
      </c>
      <c r="U64" s="49" t="s">
        <v>605</v>
      </c>
      <c r="V64" s="49" t="s">
        <v>606</v>
      </c>
      <c r="W64" s="46"/>
      <c r="X64" s="49" t="s">
        <v>132</v>
      </c>
      <c r="Y64" s="50" t="s">
        <v>133</v>
      </c>
      <c r="Z64" s="50" t="s">
        <v>134</v>
      </c>
      <c r="AA64" s="46"/>
      <c r="AB64" s="26"/>
      <c r="AC64" s="51" t="s">
        <v>135</v>
      </c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</row>
    <row r="65">
      <c r="A65" s="35">
        <v>45953.0</v>
      </c>
      <c r="B65" s="36" t="s">
        <v>607</v>
      </c>
      <c r="C65" s="37" t="s">
        <v>608</v>
      </c>
      <c r="D65" s="37" t="s">
        <v>609</v>
      </c>
      <c r="E65" s="54">
        <v>4794058074</v>
      </c>
      <c r="F65" s="39" t="s">
        <v>610</v>
      </c>
      <c r="G65" s="52" t="str">
        <f>IF(NOT(ISERROR(MATCH(D65,'Tannbleking - Oppsalg US'!D:D, 0))), "Ja", "")</f>
        <v/>
      </c>
      <c r="H65" s="37" t="s">
        <v>50</v>
      </c>
      <c r="I65" s="37" t="s">
        <v>140</v>
      </c>
      <c r="J65" s="40" t="s">
        <v>611</v>
      </c>
      <c r="K65" s="41"/>
      <c r="L65" s="42" t="s">
        <v>128</v>
      </c>
      <c r="M65" s="43" t="s">
        <v>129</v>
      </c>
      <c r="N65" s="44">
        <v>6.843762966937E12</v>
      </c>
      <c r="O65" s="53" t="str">
        <f t="shared" si="1"/>
        <v>23/10/2025</v>
      </c>
      <c r="P65" s="46">
        <f t="shared" si="2"/>
        <v>1761254280</v>
      </c>
      <c r="Q65" s="47"/>
      <c r="R65" s="48"/>
      <c r="S65" s="46"/>
      <c r="T65" s="49" t="s">
        <v>612</v>
      </c>
      <c r="U65" s="49" t="s">
        <v>613</v>
      </c>
      <c r="V65" s="49" t="s">
        <v>614</v>
      </c>
      <c r="W65" s="46"/>
      <c r="X65" s="49" t="s">
        <v>132</v>
      </c>
      <c r="Y65" s="50" t="s">
        <v>133</v>
      </c>
      <c r="Z65" s="50" t="s">
        <v>134</v>
      </c>
      <c r="AA65" s="46"/>
      <c r="AB65" s="26"/>
      <c r="AC65" s="51" t="s">
        <v>144</v>
      </c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</row>
    <row r="66">
      <c r="A66" s="35">
        <v>45953.0</v>
      </c>
      <c r="B66" s="36" t="s">
        <v>615</v>
      </c>
      <c r="C66" s="37" t="s">
        <v>616</v>
      </c>
      <c r="D66" s="37" t="s">
        <v>617</v>
      </c>
      <c r="E66" s="54">
        <v>4798177314</v>
      </c>
      <c r="F66" s="39" t="s">
        <v>618</v>
      </c>
      <c r="G66" s="52" t="str">
        <f>IF(NOT(ISERROR(MATCH(D66,'Tannbleking - Oppsalg US'!D:D, 0))), "Ja", "")</f>
        <v/>
      </c>
      <c r="H66" s="37" t="s">
        <v>50</v>
      </c>
      <c r="I66" s="37" t="s">
        <v>44</v>
      </c>
      <c r="J66" s="40"/>
      <c r="K66" s="41"/>
      <c r="L66" s="42" t="s">
        <v>128</v>
      </c>
      <c r="M66" s="43" t="s">
        <v>129</v>
      </c>
      <c r="N66" s="44">
        <v>6.843762966937E12</v>
      </c>
      <c r="O66" s="53" t="str">
        <f t="shared" si="1"/>
        <v>23/10/2025</v>
      </c>
      <c r="P66" s="46">
        <f t="shared" si="2"/>
        <v>1761263400</v>
      </c>
      <c r="Q66" s="47"/>
      <c r="R66" s="48"/>
      <c r="S66" s="46"/>
      <c r="T66" s="49" t="s">
        <v>619</v>
      </c>
      <c r="U66" s="49" t="s">
        <v>620</v>
      </c>
      <c r="V66" s="49" t="s">
        <v>621</v>
      </c>
      <c r="W66" s="46"/>
      <c r="X66" s="49" t="s">
        <v>132</v>
      </c>
      <c r="Y66" s="50" t="s">
        <v>133</v>
      </c>
      <c r="Z66" s="50" t="s">
        <v>134</v>
      </c>
      <c r="AA66" s="46"/>
      <c r="AB66" s="26"/>
      <c r="AC66" s="51" t="s">
        <v>280</v>
      </c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</row>
    <row r="67">
      <c r="A67" s="35">
        <v>45953.0</v>
      </c>
      <c r="B67" s="36" t="s">
        <v>622</v>
      </c>
      <c r="C67" s="37" t="s">
        <v>623</v>
      </c>
      <c r="D67" s="37" t="s">
        <v>624</v>
      </c>
      <c r="E67" s="54">
        <v>4797805178</v>
      </c>
      <c r="F67" s="39" t="s">
        <v>625</v>
      </c>
      <c r="G67" s="52" t="str">
        <f>IF(NOT(ISERROR(MATCH(D67,'Tannbleking - Oppsalg US'!D:D, 0))), "Ja", "")</f>
        <v/>
      </c>
      <c r="H67" s="37" t="s">
        <v>50</v>
      </c>
      <c r="I67" s="37" t="s">
        <v>72</v>
      </c>
      <c r="J67" s="40" t="s">
        <v>533</v>
      </c>
      <c r="K67" s="41"/>
      <c r="L67" s="42" t="s">
        <v>128</v>
      </c>
      <c r="M67" s="43"/>
      <c r="N67" s="44"/>
      <c r="O67" s="53" t="str">
        <f t="shared" si="1"/>
        <v>23/10/2025</v>
      </c>
      <c r="P67" s="46">
        <f t="shared" si="2"/>
        <v>1761263700</v>
      </c>
      <c r="Q67" s="47"/>
      <c r="R67" s="48"/>
      <c r="S67" s="46"/>
      <c r="T67" s="49" t="s">
        <v>626</v>
      </c>
      <c r="U67" s="49" t="s">
        <v>627</v>
      </c>
      <c r="V67" s="49" t="s">
        <v>628</v>
      </c>
      <c r="W67" s="46"/>
      <c r="X67" s="49" t="s">
        <v>132</v>
      </c>
      <c r="Y67" s="50" t="s">
        <v>133</v>
      </c>
      <c r="Z67" s="50" t="s">
        <v>134</v>
      </c>
      <c r="AA67" s="46"/>
      <c r="AB67" s="26"/>
      <c r="AC67" s="51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</row>
    <row r="68">
      <c r="A68" s="35">
        <v>45954.0</v>
      </c>
      <c r="B68" s="36" t="s">
        <v>629</v>
      </c>
      <c r="C68" s="37" t="s">
        <v>630</v>
      </c>
      <c r="D68" s="37" t="s">
        <v>631</v>
      </c>
      <c r="E68" s="54">
        <v>4745842084</v>
      </c>
      <c r="F68" s="39" t="s">
        <v>632</v>
      </c>
      <c r="G68" s="52" t="str">
        <f>IF(NOT(ISERROR(MATCH(D68,'Tannbleking - Oppsalg US'!D:D, 0))), "Ja", "")</f>
        <v/>
      </c>
      <c r="H68" s="37" t="s">
        <v>90</v>
      </c>
      <c r="I68" s="37" t="s">
        <v>44</v>
      </c>
      <c r="J68" s="40" t="s">
        <v>633</v>
      </c>
      <c r="K68" s="41"/>
      <c r="L68" s="42" t="s">
        <v>128</v>
      </c>
      <c r="M68" s="43" t="s">
        <v>239</v>
      </c>
      <c r="N68" s="44">
        <v>6.843809575737E12</v>
      </c>
      <c r="O68" s="53" t="str">
        <f t="shared" si="1"/>
        <v>24/10/2025</v>
      </c>
      <c r="P68" s="46">
        <f t="shared" si="2"/>
        <v>1761266880</v>
      </c>
      <c r="Q68" s="47"/>
      <c r="R68" s="48"/>
      <c r="S68" s="46"/>
      <c r="T68" s="49" t="s">
        <v>634</v>
      </c>
      <c r="U68" s="49" t="s">
        <v>635</v>
      </c>
      <c r="V68" s="49" t="s">
        <v>636</v>
      </c>
      <c r="W68" s="46"/>
      <c r="X68" s="49" t="s">
        <v>132</v>
      </c>
      <c r="Y68" s="50" t="s">
        <v>133</v>
      </c>
      <c r="Z68" s="50" t="s">
        <v>134</v>
      </c>
      <c r="AA68" s="46"/>
      <c r="AB68" s="26"/>
      <c r="AC68" s="51" t="s">
        <v>144</v>
      </c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</row>
    <row r="69">
      <c r="A69" s="35">
        <v>45954.0</v>
      </c>
      <c r="B69" s="36" t="s">
        <v>637</v>
      </c>
      <c r="C69" s="37" t="s">
        <v>638</v>
      </c>
      <c r="D69" s="37" t="s">
        <v>639</v>
      </c>
      <c r="E69" s="54">
        <v>4796739381</v>
      </c>
      <c r="F69" s="39" t="s">
        <v>640</v>
      </c>
      <c r="G69" s="52" t="str">
        <f>IF(NOT(ISERROR(MATCH(D69,'Tannbleking - Oppsalg US'!D:D, 0))), "Ja", "")</f>
        <v/>
      </c>
      <c r="H69" s="37" t="s">
        <v>50</v>
      </c>
      <c r="I69" s="37" t="s">
        <v>107</v>
      </c>
      <c r="J69" s="40"/>
      <c r="K69" s="41"/>
      <c r="L69" s="42" t="s">
        <v>128</v>
      </c>
      <c r="M69" s="43" t="s">
        <v>129</v>
      </c>
      <c r="N69" s="44">
        <v>6.843762966937E12</v>
      </c>
      <c r="O69" s="53" t="str">
        <f t="shared" si="1"/>
        <v>24/10/2025</v>
      </c>
      <c r="P69" s="46">
        <f t="shared" si="2"/>
        <v>1761322440</v>
      </c>
      <c r="Q69" s="47"/>
      <c r="R69" s="48"/>
      <c r="S69" s="46"/>
      <c r="T69" s="49" t="s">
        <v>641</v>
      </c>
      <c r="U69" s="49" t="s">
        <v>642</v>
      </c>
      <c r="V69" s="49" t="s">
        <v>643</v>
      </c>
      <c r="W69" s="46"/>
      <c r="X69" s="49" t="s">
        <v>132</v>
      </c>
      <c r="Y69" s="50" t="s">
        <v>133</v>
      </c>
      <c r="Z69" s="50" t="s">
        <v>134</v>
      </c>
      <c r="AA69" s="46"/>
      <c r="AB69" s="26"/>
      <c r="AC69" s="51" t="s">
        <v>280</v>
      </c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</row>
    <row r="70">
      <c r="A70" s="35">
        <v>45954.0</v>
      </c>
      <c r="B70" s="36" t="s">
        <v>644</v>
      </c>
      <c r="C70" s="37" t="s">
        <v>645</v>
      </c>
      <c r="D70" s="37" t="s">
        <v>646</v>
      </c>
      <c r="E70" s="54">
        <v>4792477713</v>
      </c>
      <c r="F70" s="39" t="s">
        <v>647</v>
      </c>
      <c r="G70" s="52" t="str">
        <f>IF(NOT(ISERROR(MATCH(D70,'Tannbleking - Oppsalg US'!D:D, 0))), "Ja", "")</f>
        <v/>
      </c>
      <c r="H70" s="37" t="s">
        <v>50</v>
      </c>
      <c r="I70" s="37" t="s">
        <v>44</v>
      </c>
      <c r="J70" s="40"/>
      <c r="K70" s="41"/>
      <c r="L70" s="42" t="s">
        <v>128</v>
      </c>
      <c r="M70" s="43" t="s">
        <v>239</v>
      </c>
      <c r="N70" s="44">
        <v>6.843809575737E12</v>
      </c>
      <c r="O70" s="53" t="str">
        <f t="shared" si="1"/>
        <v>24/10/2025</v>
      </c>
      <c r="P70" s="46">
        <f t="shared" si="2"/>
        <v>1761326280</v>
      </c>
      <c r="Q70" s="47"/>
      <c r="R70" s="48"/>
      <c r="S70" s="46"/>
      <c r="T70" s="49" t="s">
        <v>648</v>
      </c>
      <c r="U70" s="49" t="s">
        <v>649</v>
      </c>
      <c r="V70" s="49" t="s">
        <v>650</v>
      </c>
      <c r="W70" s="46"/>
      <c r="X70" s="49" t="s">
        <v>132</v>
      </c>
      <c r="Y70" s="50" t="s">
        <v>133</v>
      </c>
      <c r="Z70" s="50" t="s">
        <v>134</v>
      </c>
      <c r="AA70" s="46"/>
      <c r="AB70" s="26"/>
      <c r="AC70" s="51" t="s">
        <v>144</v>
      </c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</row>
    <row r="71">
      <c r="A71" s="35">
        <v>45955.0</v>
      </c>
      <c r="B71" s="36" t="s">
        <v>651</v>
      </c>
      <c r="C71" s="37" t="s">
        <v>652</v>
      </c>
      <c r="D71" s="37" t="s">
        <v>653</v>
      </c>
      <c r="E71" s="54">
        <v>4793213827</v>
      </c>
      <c r="F71" s="39" t="s">
        <v>654</v>
      </c>
      <c r="G71" s="52" t="str">
        <f>IF(NOT(ISERROR(MATCH(D71,'Tannbleking - Oppsalg US'!D:D, 0))), "Ja", "")</f>
        <v/>
      </c>
      <c r="H71" s="37" t="s">
        <v>50</v>
      </c>
      <c r="I71" s="37" t="s">
        <v>107</v>
      </c>
      <c r="J71" s="40"/>
      <c r="K71" s="41"/>
      <c r="L71" s="42" t="s">
        <v>128</v>
      </c>
      <c r="M71" s="43" t="s">
        <v>129</v>
      </c>
      <c r="N71" s="44">
        <v>6.843762966937E12</v>
      </c>
      <c r="O71" s="53" t="str">
        <f t="shared" si="1"/>
        <v>25/10/2025</v>
      </c>
      <c r="P71" s="46">
        <f t="shared" si="2"/>
        <v>1761385980</v>
      </c>
      <c r="Q71" s="47"/>
      <c r="R71" s="48"/>
      <c r="S71" s="46"/>
      <c r="T71" s="49" t="s">
        <v>655</v>
      </c>
      <c r="U71" s="49" t="s">
        <v>656</v>
      </c>
      <c r="V71" s="49" t="s">
        <v>657</v>
      </c>
      <c r="W71" s="46"/>
      <c r="X71" s="49" t="s">
        <v>132</v>
      </c>
      <c r="Y71" s="50" t="s">
        <v>133</v>
      </c>
      <c r="Z71" s="50" t="s">
        <v>134</v>
      </c>
      <c r="AA71" s="46"/>
      <c r="AB71" s="26"/>
      <c r="AC71" s="51" t="s">
        <v>144</v>
      </c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</row>
    <row r="72">
      <c r="A72" s="35">
        <v>45955.0</v>
      </c>
      <c r="B72" s="36" t="s">
        <v>658</v>
      </c>
      <c r="C72" s="37" t="s">
        <v>659</v>
      </c>
      <c r="D72" s="37" t="s">
        <v>660</v>
      </c>
      <c r="E72" s="54">
        <v>4794296204</v>
      </c>
      <c r="F72" s="39" t="s">
        <v>661</v>
      </c>
      <c r="G72" s="52" t="str">
        <f>IF(NOT(ISERROR(MATCH(D72,'Tannbleking - Oppsalg US'!D:D, 0))), "Ja", "")</f>
        <v>Ja</v>
      </c>
      <c r="H72" s="37" t="s">
        <v>43</v>
      </c>
      <c r="I72" s="37" t="s">
        <v>140</v>
      </c>
      <c r="J72" s="40"/>
      <c r="K72" s="41"/>
      <c r="L72" s="42" t="s">
        <v>128</v>
      </c>
      <c r="M72" s="43" t="s">
        <v>129</v>
      </c>
      <c r="N72" s="44">
        <v>6.843762966937E12</v>
      </c>
      <c r="O72" s="53" t="str">
        <f t="shared" si="1"/>
        <v>25/10/2025</v>
      </c>
      <c r="P72" s="46">
        <f t="shared" si="2"/>
        <v>1761386460</v>
      </c>
      <c r="Q72" s="47"/>
      <c r="R72" s="48"/>
      <c r="S72" s="46"/>
      <c r="T72" s="49" t="s">
        <v>662</v>
      </c>
      <c r="U72" s="49" t="s">
        <v>663</v>
      </c>
      <c r="V72" s="49" t="s">
        <v>664</v>
      </c>
      <c r="W72" s="46"/>
      <c r="X72" s="49" t="s">
        <v>132</v>
      </c>
      <c r="Y72" s="50" t="s">
        <v>133</v>
      </c>
      <c r="Z72" s="50" t="s">
        <v>134</v>
      </c>
      <c r="AA72" s="46"/>
      <c r="AB72" s="26"/>
      <c r="AC72" s="51" t="s">
        <v>135</v>
      </c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</row>
    <row r="73">
      <c r="A73" s="35">
        <v>45955.0</v>
      </c>
      <c r="B73" s="36" t="s">
        <v>665</v>
      </c>
      <c r="C73" s="37" t="s">
        <v>666</v>
      </c>
      <c r="D73" s="37" t="s">
        <v>667</v>
      </c>
      <c r="E73" s="54">
        <v>4746956562</v>
      </c>
      <c r="F73" s="39" t="s">
        <v>668</v>
      </c>
      <c r="G73" s="52" t="str">
        <f>IF(NOT(ISERROR(MATCH(D73,'Tannbleking - Oppsalg US'!D:D, 0))), "Ja", "")</f>
        <v/>
      </c>
      <c r="H73" s="37" t="s">
        <v>90</v>
      </c>
      <c r="I73" s="37" t="s">
        <v>44</v>
      </c>
      <c r="J73" s="40"/>
      <c r="K73" s="41"/>
      <c r="L73" s="42" t="s">
        <v>128</v>
      </c>
      <c r="M73" s="43" t="s">
        <v>129</v>
      </c>
      <c r="N73" s="44">
        <v>6.843762966937E12</v>
      </c>
      <c r="O73" s="53" t="str">
        <f t="shared" si="1"/>
        <v>25/10/2025</v>
      </c>
      <c r="P73" s="46">
        <f t="shared" si="2"/>
        <v>1761393900</v>
      </c>
      <c r="Q73" s="47"/>
      <c r="R73" s="48"/>
      <c r="S73" s="46"/>
      <c r="T73" s="49" t="s">
        <v>669</v>
      </c>
      <c r="U73" s="49" t="s">
        <v>670</v>
      </c>
      <c r="V73" s="49" t="s">
        <v>671</v>
      </c>
      <c r="W73" s="46"/>
      <c r="X73" s="49" t="s">
        <v>132</v>
      </c>
      <c r="Y73" s="50" t="s">
        <v>133</v>
      </c>
      <c r="Z73" s="50" t="s">
        <v>134</v>
      </c>
      <c r="AA73" s="46"/>
      <c r="AB73" s="26"/>
      <c r="AC73" s="51" t="s">
        <v>135</v>
      </c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</row>
    <row r="74">
      <c r="A74" s="35">
        <v>45956.0</v>
      </c>
      <c r="B74" s="36" t="s">
        <v>672</v>
      </c>
      <c r="C74" s="37" t="s">
        <v>673</v>
      </c>
      <c r="D74" s="37" t="s">
        <v>674</v>
      </c>
      <c r="E74" s="54">
        <v>4747704245</v>
      </c>
      <c r="F74" s="39" t="s">
        <v>675</v>
      </c>
      <c r="G74" s="52" t="str">
        <f>IF(NOT(ISERROR(MATCH(D74,'Tannbleking - Oppsalg US'!D:D, 0))), "Ja", "")</f>
        <v/>
      </c>
      <c r="H74" s="37" t="s">
        <v>676</v>
      </c>
      <c r="I74" s="37" t="s">
        <v>107</v>
      </c>
      <c r="J74" s="40" t="s">
        <v>677</v>
      </c>
      <c r="K74" s="41"/>
      <c r="L74" s="42" t="s">
        <v>128</v>
      </c>
      <c r="M74" s="43" t="s">
        <v>129</v>
      </c>
      <c r="N74" s="44">
        <v>6.843762966937E12</v>
      </c>
      <c r="O74" s="53" t="str">
        <f t="shared" si="1"/>
        <v>26/10/2025</v>
      </c>
      <c r="P74" s="46">
        <f t="shared" si="2"/>
        <v>1761459000</v>
      </c>
      <c r="Q74" s="47"/>
      <c r="R74" s="48"/>
      <c r="S74" s="46"/>
      <c r="T74" s="49" t="s">
        <v>678</v>
      </c>
      <c r="U74" s="49" t="s">
        <v>679</v>
      </c>
      <c r="V74" s="49" t="s">
        <v>680</v>
      </c>
      <c r="W74" s="46"/>
      <c r="X74" s="49" t="s">
        <v>132</v>
      </c>
      <c r="Y74" s="50" t="s">
        <v>133</v>
      </c>
      <c r="Z74" s="50" t="s">
        <v>134</v>
      </c>
      <c r="AA74" s="46"/>
      <c r="AB74" s="26"/>
      <c r="AC74" s="51" t="s">
        <v>135</v>
      </c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</row>
    <row r="75">
      <c r="A75" s="35">
        <v>45956.0</v>
      </c>
      <c r="B75" s="36" t="s">
        <v>681</v>
      </c>
      <c r="C75" s="37" t="s">
        <v>682</v>
      </c>
      <c r="D75" s="37" t="s">
        <v>47</v>
      </c>
      <c r="E75" s="54">
        <v>4798604319</v>
      </c>
      <c r="F75" s="39" t="s">
        <v>683</v>
      </c>
      <c r="G75" s="52" t="str">
        <f>IF(NOT(ISERROR(MATCH(D75,'Tannbleking - Oppsalg US'!D:D, 0))), "Ja", "")</f>
        <v>Ja</v>
      </c>
      <c r="H75" s="37" t="s">
        <v>43</v>
      </c>
      <c r="I75" s="37" t="s">
        <v>72</v>
      </c>
      <c r="J75" s="40" t="s">
        <v>684</v>
      </c>
      <c r="K75" s="41"/>
      <c r="L75" s="42" t="s">
        <v>128</v>
      </c>
      <c r="M75" s="43" t="s">
        <v>129</v>
      </c>
      <c r="N75" s="44">
        <v>6.843762966937E12</v>
      </c>
      <c r="O75" s="53" t="str">
        <f t="shared" si="1"/>
        <v>26/10/2025</v>
      </c>
      <c r="P75" s="46">
        <f t="shared" si="2"/>
        <v>1761462120</v>
      </c>
      <c r="Q75" s="47"/>
      <c r="R75" s="48"/>
      <c r="S75" s="46"/>
      <c r="T75" s="49" t="s">
        <v>685</v>
      </c>
      <c r="U75" s="49" t="s">
        <v>686</v>
      </c>
      <c r="V75" s="49" t="s">
        <v>687</v>
      </c>
      <c r="W75" s="46"/>
      <c r="X75" s="49" t="s">
        <v>132</v>
      </c>
      <c r="Y75" s="50" t="s">
        <v>133</v>
      </c>
      <c r="Z75" s="50" t="s">
        <v>134</v>
      </c>
      <c r="AA75" s="46"/>
      <c r="AB75" s="26"/>
      <c r="AC75" s="51" t="s">
        <v>144</v>
      </c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</row>
    <row r="76">
      <c r="A76" s="35">
        <v>45956.0</v>
      </c>
      <c r="B76" s="36" t="s">
        <v>688</v>
      </c>
      <c r="C76" s="37" t="s">
        <v>689</v>
      </c>
      <c r="D76" s="37" t="s">
        <v>690</v>
      </c>
      <c r="E76" s="54">
        <v>4748655738</v>
      </c>
      <c r="F76" s="39" t="s">
        <v>691</v>
      </c>
      <c r="G76" s="52" t="str">
        <f>IF(NOT(ISERROR(MATCH(D76,'Tannbleking - Oppsalg US'!D:D, 0))), "Ja", "")</f>
        <v/>
      </c>
      <c r="H76" s="37" t="s">
        <v>676</v>
      </c>
      <c r="I76" s="37" t="s">
        <v>107</v>
      </c>
      <c r="J76" s="40" t="s">
        <v>692</v>
      </c>
      <c r="K76" s="41"/>
      <c r="L76" s="42" t="s">
        <v>128</v>
      </c>
      <c r="M76" s="43" t="s">
        <v>129</v>
      </c>
      <c r="N76" s="44">
        <v>6.843762966937E12</v>
      </c>
      <c r="O76" s="53" t="str">
        <f t="shared" si="1"/>
        <v>26/10/2025</v>
      </c>
      <c r="P76" s="46">
        <f t="shared" si="2"/>
        <v>1761466740</v>
      </c>
      <c r="Q76" s="47"/>
      <c r="R76" s="48"/>
      <c r="S76" s="46"/>
      <c r="T76" s="49" t="s">
        <v>693</v>
      </c>
      <c r="U76" s="49" t="s">
        <v>694</v>
      </c>
      <c r="V76" s="49" t="s">
        <v>695</v>
      </c>
      <c r="W76" s="46"/>
      <c r="X76" s="49" t="s">
        <v>132</v>
      </c>
      <c r="Y76" s="50" t="s">
        <v>133</v>
      </c>
      <c r="Z76" s="50" t="s">
        <v>134</v>
      </c>
      <c r="AA76" s="46"/>
      <c r="AB76" s="26"/>
      <c r="AC76" s="51" t="s">
        <v>135</v>
      </c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</row>
    <row r="77">
      <c r="A77" s="35">
        <v>45956.0</v>
      </c>
      <c r="B77" s="36" t="s">
        <v>696</v>
      </c>
      <c r="C77" s="37" t="s">
        <v>697</v>
      </c>
      <c r="D77" s="37" t="s">
        <v>698</v>
      </c>
      <c r="E77" s="54">
        <v>4796837894</v>
      </c>
      <c r="F77" s="39" t="s">
        <v>699</v>
      </c>
      <c r="G77" s="52" t="str">
        <f>IF(NOT(ISERROR(MATCH(D77,'Tannbleking - Oppsalg US'!D:D, 0))), "Ja", "")</f>
        <v>Ja</v>
      </c>
      <c r="H77" s="37" t="s">
        <v>90</v>
      </c>
      <c r="I77" s="37" t="s">
        <v>44</v>
      </c>
      <c r="J77" s="40" t="s">
        <v>700</v>
      </c>
      <c r="K77" s="41"/>
      <c r="L77" s="42" t="s">
        <v>347</v>
      </c>
      <c r="M77" s="43">
        <v>6.843762966937E12</v>
      </c>
      <c r="N77" s="44"/>
      <c r="O77" s="53" t="str">
        <f t="shared" si="1"/>
        <v>26/10/2025</v>
      </c>
      <c r="P77" s="46">
        <f t="shared" si="2"/>
        <v>1761467400</v>
      </c>
      <c r="Q77" s="47"/>
      <c r="R77" s="48"/>
      <c r="S77" s="46"/>
      <c r="T77" s="49" t="s">
        <v>701</v>
      </c>
      <c r="U77" s="49" t="s">
        <v>702</v>
      </c>
      <c r="V77" s="49" t="s">
        <v>703</v>
      </c>
      <c r="W77" s="46"/>
      <c r="X77" s="49" t="s">
        <v>132</v>
      </c>
      <c r="Y77" s="50" t="s">
        <v>133</v>
      </c>
      <c r="Z77" s="50" t="s">
        <v>134</v>
      </c>
      <c r="AA77" s="46"/>
      <c r="AB77" s="26"/>
      <c r="AC77" s="51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</row>
    <row r="78">
      <c r="A78" s="35">
        <v>45957.0</v>
      </c>
      <c r="B78" s="36" t="s">
        <v>704</v>
      </c>
      <c r="C78" s="37" t="s">
        <v>705</v>
      </c>
      <c r="D78" s="37" t="s">
        <v>706</v>
      </c>
      <c r="E78" s="54">
        <v>4792888650</v>
      </c>
      <c r="F78" s="39" t="s">
        <v>707</v>
      </c>
      <c r="G78" s="52" t="str">
        <f>IF(NOT(ISERROR(MATCH(D78,'Tannbleking - Oppsalg US'!D:D, 0))), "Ja", "")</f>
        <v/>
      </c>
      <c r="H78" s="37" t="s">
        <v>90</v>
      </c>
      <c r="I78" s="37" t="s">
        <v>44</v>
      </c>
      <c r="J78" s="40" t="s">
        <v>708</v>
      </c>
      <c r="K78" s="41"/>
      <c r="L78" s="42" t="s">
        <v>128</v>
      </c>
      <c r="M78" s="43" t="s">
        <v>709</v>
      </c>
      <c r="N78" s="44">
        <v>6.843815576537E12</v>
      </c>
      <c r="O78" s="53" t="str">
        <f t="shared" si="1"/>
        <v>27/10/2025</v>
      </c>
      <c r="P78" s="46">
        <f t="shared" si="2"/>
        <v>1761525060</v>
      </c>
      <c r="Q78" s="47"/>
      <c r="R78" s="48"/>
      <c r="S78" s="46"/>
      <c r="T78" s="49" t="s">
        <v>710</v>
      </c>
      <c r="U78" s="49" t="s">
        <v>711</v>
      </c>
      <c r="V78" s="49" t="s">
        <v>712</v>
      </c>
      <c r="W78" s="46"/>
      <c r="X78" s="49" t="s">
        <v>132</v>
      </c>
      <c r="Y78" s="50" t="s">
        <v>133</v>
      </c>
      <c r="Z78" s="50" t="s">
        <v>134</v>
      </c>
      <c r="AA78" s="46"/>
      <c r="AB78" s="26"/>
      <c r="AC78" s="51" t="s">
        <v>135</v>
      </c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</row>
    <row r="79">
      <c r="A79" s="35">
        <v>45958.0</v>
      </c>
      <c r="B79" s="36" t="s">
        <v>713</v>
      </c>
      <c r="C79" s="37" t="s">
        <v>714</v>
      </c>
      <c r="D79" s="37" t="s">
        <v>715</v>
      </c>
      <c r="E79" s="54">
        <v>4741259429</v>
      </c>
      <c r="F79" s="39" t="s">
        <v>716</v>
      </c>
      <c r="G79" s="52" t="str">
        <f>IF(NOT(ISERROR(MATCH(D79,'Tannbleking - Oppsalg US'!D:D, 0))), "Ja", "")</f>
        <v/>
      </c>
      <c r="H79" s="37" t="s">
        <v>50</v>
      </c>
      <c r="I79" s="37" t="s">
        <v>44</v>
      </c>
      <c r="J79" s="40"/>
      <c r="K79" s="41"/>
      <c r="L79" s="42" t="s">
        <v>128</v>
      </c>
      <c r="M79" s="43" t="s">
        <v>129</v>
      </c>
      <c r="N79" s="44">
        <v>6.843762966937E12</v>
      </c>
      <c r="O79" s="53" t="str">
        <f t="shared" si="1"/>
        <v>28/10/2025</v>
      </c>
      <c r="P79" s="46">
        <f t="shared" si="2"/>
        <v>1761649500</v>
      </c>
      <c r="Q79" s="47"/>
      <c r="R79" s="48"/>
      <c r="S79" s="46"/>
      <c r="T79" s="49" t="s">
        <v>717</v>
      </c>
      <c r="U79" s="49" t="s">
        <v>718</v>
      </c>
      <c r="V79" s="49" t="s">
        <v>719</v>
      </c>
      <c r="W79" s="46"/>
      <c r="X79" s="49" t="s">
        <v>132</v>
      </c>
      <c r="Y79" s="50" t="s">
        <v>133</v>
      </c>
      <c r="Z79" s="50" t="s">
        <v>134</v>
      </c>
      <c r="AA79" s="46"/>
      <c r="AB79" s="26"/>
      <c r="AC79" s="51" t="s">
        <v>135</v>
      </c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</row>
    <row r="80">
      <c r="A80" s="35">
        <v>45958.0</v>
      </c>
      <c r="B80" s="36" t="s">
        <v>273</v>
      </c>
      <c r="C80" s="37" t="s">
        <v>720</v>
      </c>
      <c r="D80" s="37" t="s">
        <v>721</v>
      </c>
      <c r="E80" s="54">
        <v>4740054984</v>
      </c>
      <c r="F80" s="39" t="s">
        <v>722</v>
      </c>
      <c r="G80" s="52" t="str">
        <f>IF(NOT(ISERROR(MATCH(D80,'Tannbleking - Oppsalg US'!D:D, 0))), "Ja", "")</f>
        <v/>
      </c>
      <c r="H80" s="37" t="s">
        <v>90</v>
      </c>
      <c r="I80" s="37" t="s">
        <v>44</v>
      </c>
      <c r="J80" s="40" t="s">
        <v>723</v>
      </c>
      <c r="K80" s="41"/>
      <c r="L80" s="42" t="s">
        <v>128</v>
      </c>
      <c r="M80" s="43" t="s">
        <v>129</v>
      </c>
      <c r="N80" s="44">
        <v>6.843762966937E12</v>
      </c>
      <c r="O80" s="53" t="str">
        <f t="shared" si="1"/>
        <v>28/10/2025</v>
      </c>
      <c r="P80" s="46">
        <f t="shared" si="2"/>
        <v>1761649560</v>
      </c>
      <c r="Q80" s="47"/>
      <c r="R80" s="48"/>
      <c r="S80" s="46"/>
      <c r="T80" s="49" t="s">
        <v>724</v>
      </c>
      <c r="U80" s="49" t="s">
        <v>725</v>
      </c>
      <c r="V80" s="49" t="s">
        <v>726</v>
      </c>
      <c r="W80" s="46"/>
      <c r="X80" s="49" t="s">
        <v>132</v>
      </c>
      <c r="Y80" s="50" t="s">
        <v>133</v>
      </c>
      <c r="Z80" s="50" t="s">
        <v>134</v>
      </c>
      <c r="AA80" s="46"/>
      <c r="AB80" s="26"/>
      <c r="AC80" s="51" t="s">
        <v>144</v>
      </c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</row>
    <row r="81">
      <c r="A81" s="35">
        <v>45958.0</v>
      </c>
      <c r="B81" s="36" t="s">
        <v>727</v>
      </c>
      <c r="C81" s="37" t="s">
        <v>728</v>
      </c>
      <c r="D81" s="37" t="s">
        <v>729</v>
      </c>
      <c r="E81" s="54">
        <v>4798041181</v>
      </c>
      <c r="F81" s="39" t="s">
        <v>730</v>
      </c>
      <c r="G81" s="52" t="str">
        <f>IF(NOT(ISERROR(MATCH(D81,'Tannbleking - Oppsalg US'!D:D, 0))), "Ja", "")</f>
        <v/>
      </c>
      <c r="H81" s="37" t="s">
        <v>50</v>
      </c>
      <c r="I81" s="37" t="s">
        <v>44</v>
      </c>
      <c r="J81" s="40"/>
      <c r="K81" s="41"/>
      <c r="L81" s="42" t="s">
        <v>128</v>
      </c>
      <c r="M81" s="43" t="s">
        <v>731</v>
      </c>
      <c r="N81" s="44">
        <v>6.843809093137E12</v>
      </c>
      <c r="O81" s="53" t="str">
        <f t="shared" si="1"/>
        <v>28/10/2025</v>
      </c>
      <c r="P81" s="46">
        <f t="shared" si="2"/>
        <v>1761651120</v>
      </c>
      <c r="Q81" s="47"/>
      <c r="R81" s="48"/>
      <c r="S81" s="46"/>
      <c r="T81" s="49" t="s">
        <v>732</v>
      </c>
      <c r="U81" s="49" t="s">
        <v>733</v>
      </c>
      <c r="V81" s="49" t="s">
        <v>734</v>
      </c>
      <c r="W81" s="46"/>
      <c r="X81" s="49" t="s">
        <v>132</v>
      </c>
      <c r="Y81" s="50" t="s">
        <v>133</v>
      </c>
      <c r="Z81" s="50" t="s">
        <v>134</v>
      </c>
      <c r="AA81" s="46"/>
      <c r="AB81" s="26"/>
      <c r="AC81" s="51" t="s">
        <v>144</v>
      </c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</row>
    <row r="82">
      <c r="A82" s="35">
        <v>45958.0</v>
      </c>
      <c r="B82" s="36" t="s">
        <v>644</v>
      </c>
      <c r="C82" s="37" t="s">
        <v>735</v>
      </c>
      <c r="D82" s="37" t="s">
        <v>736</v>
      </c>
      <c r="E82" s="54">
        <v>4795447076</v>
      </c>
      <c r="F82" s="39" t="s">
        <v>737</v>
      </c>
      <c r="G82" s="52" t="str">
        <f>IF(NOT(ISERROR(MATCH(D82,'Tannbleking - Oppsalg US'!D:D, 0))), "Ja", "")</f>
        <v/>
      </c>
      <c r="H82" s="37" t="s">
        <v>50</v>
      </c>
      <c r="I82" s="37" t="s">
        <v>44</v>
      </c>
      <c r="J82" s="40"/>
      <c r="K82" s="41"/>
      <c r="L82" s="42" t="s">
        <v>347</v>
      </c>
      <c r="M82" s="43">
        <v>6.843762966937E12</v>
      </c>
      <c r="N82" s="44"/>
      <c r="O82" s="53" t="str">
        <f t="shared" si="1"/>
        <v>28/10/2025</v>
      </c>
      <c r="P82" s="46">
        <f t="shared" si="2"/>
        <v>1761671880</v>
      </c>
      <c r="Q82" s="47"/>
      <c r="R82" s="48"/>
      <c r="S82" s="46"/>
      <c r="T82" s="49" t="s">
        <v>738</v>
      </c>
      <c r="U82" s="49" t="s">
        <v>739</v>
      </c>
      <c r="V82" s="49" t="s">
        <v>740</v>
      </c>
      <c r="W82" s="46"/>
      <c r="X82" s="49" t="s">
        <v>132</v>
      </c>
      <c r="Y82" s="50" t="s">
        <v>133</v>
      </c>
      <c r="Z82" s="50" t="s">
        <v>134</v>
      </c>
      <c r="AA82" s="46"/>
      <c r="AB82" s="26"/>
      <c r="AC82" s="51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</row>
    <row r="83">
      <c r="A83" s="35">
        <v>45959.0</v>
      </c>
      <c r="B83" s="36" t="s">
        <v>741</v>
      </c>
      <c r="C83" s="37" t="s">
        <v>742</v>
      </c>
      <c r="D83" s="37" t="s">
        <v>743</v>
      </c>
      <c r="E83" s="54">
        <v>4747743752</v>
      </c>
      <c r="F83" s="39" t="s">
        <v>744</v>
      </c>
      <c r="G83" s="52" t="str">
        <f>IF(NOT(ISERROR(MATCH(D83,'Tannbleking - Oppsalg US'!D:D, 0))), "Ja", "")</f>
        <v/>
      </c>
      <c r="H83" s="37" t="s">
        <v>43</v>
      </c>
      <c r="I83" s="37" t="s">
        <v>322</v>
      </c>
      <c r="J83" s="40" t="s">
        <v>745</v>
      </c>
      <c r="K83" s="41"/>
      <c r="L83" s="42" t="s">
        <v>128</v>
      </c>
      <c r="M83" s="43" t="s">
        <v>129</v>
      </c>
      <c r="N83" s="44">
        <v>6.843762966937E12</v>
      </c>
      <c r="O83" s="53" t="str">
        <f t="shared" si="1"/>
        <v>29/10/2025</v>
      </c>
      <c r="P83" s="46">
        <f t="shared" si="2"/>
        <v>1761696540</v>
      </c>
      <c r="Q83" s="47"/>
      <c r="R83" s="48"/>
      <c r="S83" s="46"/>
      <c r="T83" s="49" t="s">
        <v>746</v>
      </c>
      <c r="U83" s="49" t="s">
        <v>747</v>
      </c>
      <c r="V83" s="49" t="s">
        <v>748</v>
      </c>
      <c r="W83" s="46"/>
      <c r="X83" s="49" t="s">
        <v>132</v>
      </c>
      <c r="Y83" s="50" t="s">
        <v>133</v>
      </c>
      <c r="Z83" s="50" t="s">
        <v>134</v>
      </c>
      <c r="AA83" s="46"/>
      <c r="AB83" s="26"/>
      <c r="AC83" s="51" t="s">
        <v>135</v>
      </c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</row>
    <row r="84">
      <c r="A84" s="35">
        <v>45959.0</v>
      </c>
      <c r="B84" s="36" t="s">
        <v>749</v>
      </c>
      <c r="C84" s="37" t="s">
        <v>750</v>
      </c>
      <c r="D84" s="37" t="s">
        <v>751</v>
      </c>
      <c r="E84" s="54">
        <v>4748899886</v>
      </c>
      <c r="F84" s="39" t="s">
        <v>752</v>
      </c>
      <c r="G84" s="52" t="str">
        <f>IF(NOT(ISERROR(MATCH(D84,'Tannbleking - Oppsalg US'!D:D, 0))), "Ja", "")</f>
        <v/>
      </c>
      <c r="H84" s="37" t="s">
        <v>50</v>
      </c>
      <c r="I84" s="37" t="s">
        <v>44</v>
      </c>
      <c r="J84" s="40"/>
      <c r="K84" s="41"/>
      <c r="L84" s="42" t="s">
        <v>128</v>
      </c>
      <c r="M84" s="43" t="s">
        <v>239</v>
      </c>
      <c r="N84" s="44">
        <v>6.843809575737E12</v>
      </c>
      <c r="O84" s="53" t="str">
        <f t="shared" si="1"/>
        <v>29/10/2025</v>
      </c>
      <c r="P84" s="46">
        <f t="shared" si="2"/>
        <v>1761717840</v>
      </c>
      <c r="Q84" s="47"/>
      <c r="R84" s="48"/>
      <c r="S84" s="46"/>
      <c r="T84" s="49" t="s">
        <v>753</v>
      </c>
      <c r="U84" s="49" t="s">
        <v>754</v>
      </c>
      <c r="V84" s="49" t="s">
        <v>755</v>
      </c>
      <c r="W84" s="46"/>
      <c r="X84" s="49" t="s">
        <v>132</v>
      </c>
      <c r="Y84" s="50" t="s">
        <v>133</v>
      </c>
      <c r="Z84" s="50" t="s">
        <v>134</v>
      </c>
      <c r="AA84" s="46"/>
      <c r="AB84" s="26"/>
      <c r="AC84" s="51" t="s">
        <v>144</v>
      </c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</row>
    <row r="85">
      <c r="A85" s="35">
        <v>45960.0</v>
      </c>
      <c r="B85" s="36" t="s">
        <v>756</v>
      </c>
      <c r="C85" s="37" t="s">
        <v>757</v>
      </c>
      <c r="D85" s="37" t="s">
        <v>758</v>
      </c>
      <c r="E85" s="54">
        <v>4792030375</v>
      </c>
      <c r="F85" s="39" t="s">
        <v>759</v>
      </c>
      <c r="G85" s="52" t="str">
        <f>IF(NOT(ISERROR(MATCH(D85,'Tannbleking - Oppsalg US'!D:D, 0))), "Ja", "")</f>
        <v/>
      </c>
      <c r="H85" s="37" t="s">
        <v>43</v>
      </c>
      <c r="I85" s="37" t="s">
        <v>140</v>
      </c>
      <c r="J85" s="40"/>
      <c r="K85" s="41"/>
      <c r="L85" s="42" t="s">
        <v>128</v>
      </c>
      <c r="M85" s="43" t="s">
        <v>129</v>
      </c>
      <c r="N85" s="44">
        <v>6.843762966937E12</v>
      </c>
      <c r="O85" s="53" t="str">
        <f t="shared" si="1"/>
        <v>30/10/2025</v>
      </c>
      <c r="P85" s="46">
        <f t="shared" si="2"/>
        <v>1761813240</v>
      </c>
      <c r="Q85" s="47"/>
      <c r="R85" s="48"/>
      <c r="S85" s="46"/>
      <c r="T85" s="49" t="s">
        <v>760</v>
      </c>
      <c r="U85" s="49" t="s">
        <v>761</v>
      </c>
      <c r="V85" s="49" t="s">
        <v>762</v>
      </c>
      <c r="W85" s="46"/>
      <c r="X85" s="49" t="s">
        <v>132</v>
      </c>
      <c r="Y85" s="50" t="s">
        <v>133</v>
      </c>
      <c r="Z85" s="50" t="s">
        <v>134</v>
      </c>
      <c r="AA85" s="46"/>
      <c r="AB85" s="26"/>
      <c r="AC85" s="51" t="s">
        <v>135</v>
      </c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</row>
    <row r="86">
      <c r="A86" s="35">
        <v>45960.0</v>
      </c>
      <c r="B86" s="36" t="s">
        <v>763</v>
      </c>
      <c r="C86" s="37" t="s">
        <v>764</v>
      </c>
      <c r="D86" s="37" t="s">
        <v>765</v>
      </c>
      <c r="E86" s="54">
        <v>4796822734</v>
      </c>
      <c r="F86" s="39" t="s">
        <v>766</v>
      </c>
      <c r="G86" s="52" t="str">
        <f>IF(NOT(ISERROR(MATCH(D86,'Tannbleking - Oppsalg US'!D:D, 0))), "Ja", "")</f>
        <v/>
      </c>
      <c r="H86" s="37" t="s">
        <v>50</v>
      </c>
      <c r="I86" s="37" t="s">
        <v>44</v>
      </c>
      <c r="J86" s="40"/>
      <c r="K86" s="41"/>
      <c r="L86" s="42" t="s">
        <v>128</v>
      </c>
      <c r="M86" s="43" t="s">
        <v>129</v>
      </c>
      <c r="N86" s="44">
        <v>6.843762966937E12</v>
      </c>
      <c r="O86" s="53" t="str">
        <f t="shared" si="1"/>
        <v>30/10/2025</v>
      </c>
      <c r="P86" s="46">
        <f t="shared" si="2"/>
        <v>1761814320</v>
      </c>
      <c r="Q86" s="47"/>
      <c r="R86" s="48"/>
      <c r="S86" s="46"/>
      <c r="T86" s="49" t="s">
        <v>767</v>
      </c>
      <c r="U86" s="49" t="s">
        <v>768</v>
      </c>
      <c r="V86" s="49" t="s">
        <v>769</v>
      </c>
      <c r="W86" s="46"/>
      <c r="X86" s="49" t="s">
        <v>132</v>
      </c>
      <c r="Y86" s="50" t="s">
        <v>133</v>
      </c>
      <c r="Z86" s="50" t="s">
        <v>134</v>
      </c>
      <c r="AA86" s="46"/>
      <c r="AB86" s="26"/>
      <c r="AC86" s="51" t="s">
        <v>135</v>
      </c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</row>
    <row r="87">
      <c r="A87" s="35">
        <v>45960.0</v>
      </c>
      <c r="B87" s="36" t="s">
        <v>770</v>
      </c>
      <c r="C87" s="37" t="s">
        <v>771</v>
      </c>
      <c r="D87" s="37" t="s">
        <v>772</v>
      </c>
      <c r="E87" s="54">
        <v>4796810469</v>
      </c>
      <c r="F87" s="39" t="s">
        <v>773</v>
      </c>
      <c r="G87" s="52" t="str">
        <f>IF(NOT(ISERROR(MATCH(D87,'Tannbleking - Oppsalg US'!D:D, 0))), "Ja", "")</f>
        <v/>
      </c>
      <c r="H87" s="37" t="s">
        <v>50</v>
      </c>
      <c r="I87" s="37" t="s">
        <v>44</v>
      </c>
      <c r="J87" s="40"/>
      <c r="K87" s="41"/>
      <c r="L87" s="42" t="s">
        <v>128</v>
      </c>
      <c r="M87" s="43" t="s">
        <v>239</v>
      </c>
      <c r="N87" s="44">
        <v>6.843809575737E12</v>
      </c>
      <c r="O87" s="53" t="str">
        <f t="shared" si="1"/>
        <v>30/10/2025</v>
      </c>
      <c r="P87" s="46">
        <f t="shared" si="2"/>
        <v>1761816840</v>
      </c>
      <c r="Q87" s="47"/>
      <c r="R87" s="48"/>
      <c r="S87" s="46"/>
      <c r="T87" s="49" t="s">
        <v>774</v>
      </c>
      <c r="U87" s="49" t="s">
        <v>775</v>
      </c>
      <c r="V87" s="49" t="s">
        <v>776</v>
      </c>
      <c r="W87" s="46"/>
      <c r="X87" s="49" t="s">
        <v>132</v>
      </c>
      <c r="Y87" s="50" t="s">
        <v>133</v>
      </c>
      <c r="Z87" s="50" t="s">
        <v>134</v>
      </c>
      <c r="AA87" s="46"/>
      <c r="AB87" s="26"/>
      <c r="AC87" s="51" t="s">
        <v>144</v>
      </c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</row>
    <row r="88">
      <c r="A88" s="35">
        <v>45964.0</v>
      </c>
      <c r="B88" s="36" t="s">
        <v>777</v>
      </c>
      <c r="C88" s="37" t="s">
        <v>778</v>
      </c>
      <c r="D88" s="37" t="s">
        <v>779</v>
      </c>
      <c r="E88" s="54">
        <v>4791758328</v>
      </c>
      <c r="F88" s="39" t="s">
        <v>780</v>
      </c>
      <c r="G88" s="52" t="str">
        <f>IF(NOT(ISERROR(MATCH(D88,'Tannbleking - Oppsalg US'!D:D, 0))), "Ja", "")</f>
        <v/>
      </c>
      <c r="H88" s="37" t="s">
        <v>50</v>
      </c>
      <c r="I88" s="37" t="s">
        <v>72</v>
      </c>
      <c r="J88" s="40"/>
      <c r="K88" s="41"/>
      <c r="L88" s="42" t="s">
        <v>128</v>
      </c>
      <c r="M88" s="43" t="s">
        <v>129</v>
      </c>
      <c r="N88" s="44">
        <v>6.855455436537E12</v>
      </c>
      <c r="O88" s="53" t="str">
        <f t="shared" si="1"/>
        <v>03/11/2025</v>
      </c>
      <c r="P88" s="46">
        <f t="shared" si="2"/>
        <v>1762161780</v>
      </c>
      <c r="Q88" s="47"/>
      <c r="R88" s="48"/>
      <c r="S88" s="46"/>
      <c r="T88" s="49" t="s">
        <v>781</v>
      </c>
      <c r="U88" s="49" t="s">
        <v>782</v>
      </c>
      <c r="V88" s="49" t="s">
        <v>783</v>
      </c>
      <c r="W88" s="46"/>
      <c r="X88" s="49" t="s">
        <v>132</v>
      </c>
      <c r="Y88" s="50" t="s">
        <v>133</v>
      </c>
      <c r="Z88" s="50" t="s">
        <v>134</v>
      </c>
      <c r="AA88" s="46"/>
      <c r="AB88" s="26"/>
      <c r="AC88" s="51" t="s">
        <v>135</v>
      </c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</row>
    <row r="89">
      <c r="A89" s="35">
        <v>45964.0</v>
      </c>
      <c r="B89" s="36" t="s">
        <v>784</v>
      </c>
      <c r="C89" s="37" t="s">
        <v>785</v>
      </c>
      <c r="D89" s="37" t="s">
        <v>786</v>
      </c>
      <c r="E89" s="54">
        <v>4740551603</v>
      </c>
      <c r="F89" s="39" t="s">
        <v>787</v>
      </c>
      <c r="G89" s="52" t="str">
        <f>IF(NOT(ISERROR(MATCH(D89,'Tannbleking - Oppsalg US'!D:D, 0))), "Ja", "")</f>
        <v/>
      </c>
      <c r="H89" s="37" t="s">
        <v>50</v>
      </c>
      <c r="I89" s="37" t="s">
        <v>107</v>
      </c>
      <c r="J89" s="40"/>
      <c r="K89" s="41"/>
      <c r="L89" s="42" t="s">
        <v>128</v>
      </c>
      <c r="M89" s="43" t="s">
        <v>300</v>
      </c>
      <c r="N89" s="44">
        <v>6.855455435537E12</v>
      </c>
      <c r="O89" s="53" t="str">
        <f t="shared" si="1"/>
        <v>03/11/2025</v>
      </c>
      <c r="P89" s="46">
        <f t="shared" si="2"/>
        <v>1762194780</v>
      </c>
      <c r="Q89" s="47"/>
      <c r="R89" s="48"/>
      <c r="S89" s="46"/>
      <c r="T89" s="49" t="s">
        <v>788</v>
      </c>
      <c r="U89" s="49" t="s">
        <v>789</v>
      </c>
      <c r="V89" s="49" t="s">
        <v>790</v>
      </c>
      <c r="W89" s="46"/>
      <c r="X89" s="49" t="s">
        <v>132</v>
      </c>
      <c r="Y89" s="50" t="s">
        <v>133</v>
      </c>
      <c r="Z89" s="50" t="s">
        <v>134</v>
      </c>
      <c r="AA89" s="46"/>
      <c r="AB89" s="26"/>
      <c r="AC89" s="51" t="s">
        <v>144</v>
      </c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</row>
    <row r="90">
      <c r="A90" s="35">
        <v>45964.0</v>
      </c>
      <c r="B90" s="36" t="s">
        <v>791</v>
      </c>
      <c r="C90" s="37" t="s">
        <v>792</v>
      </c>
      <c r="D90" s="37" t="s">
        <v>793</v>
      </c>
      <c r="E90" s="54">
        <v>4740164885</v>
      </c>
      <c r="F90" s="39" t="s">
        <v>794</v>
      </c>
      <c r="G90" s="52" t="str">
        <f>IF(NOT(ISERROR(MATCH(D90,'Tannbleking - Oppsalg US'!D:D, 0))), "Ja", "")</f>
        <v/>
      </c>
      <c r="H90" s="37" t="s">
        <v>50</v>
      </c>
      <c r="I90" s="37" t="s">
        <v>44</v>
      </c>
      <c r="J90" s="40"/>
      <c r="K90" s="41"/>
      <c r="L90" s="42" t="s">
        <v>128</v>
      </c>
      <c r="M90" s="43" t="s">
        <v>300</v>
      </c>
      <c r="N90" s="44">
        <v>6.855455435537E12</v>
      </c>
      <c r="O90" s="53" t="str">
        <f t="shared" si="1"/>
        <v>03/11/2025</v>
      </c>
      <c r="P90" s="46">
        <f t="shared" si="2"/>
        <v>1762196040</v>
      </c>
      <c r="Q90" s="47"/>
      <c r="R90" s="48"/>
      <c r="S90" s="46"/>
      <c r="T90" s="49" t="s">
        <v>795</v>
      </c>
      <c r="U90" s="49" t="s">
        <v>796</v>
      </c>
      <c r="V90" s="49" t="s">
        <v>797</v>
      </c>
      <c r="W90" s="46"/>
      <c r="X90" s="49" t="s">
        <v>132</v>
      </c>
      <c r="Y90" s="50" t="s">
        <v>133</v>
      </c>
      <c r="Z90" s="50" t="s">
        <v>134</v>
      </c>
      <c r="AA90" s="46"/>
      <c r="AB90" s="26"/>
      <c r="AC90" s="51" t="s">
        <v>144</v>
      </c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</row>
    <row r="91">
      <c r="A91" s="35">
        <v>45964.0</v>
      </c>
      <c r="B91" s="36" t="s">
        <v>798</v>
      </c>
      <c r="C91" s="37" t="s">
        <v>799</v>
      </c>
      <c r="D91" s="37" t="s">
        <v>800</v>
      </c>
      <c r="E91" s="54">
        <v>4797520855</v>
      </c>
      <c r="F91" s="39" t="s">
        <v>801</v>
      </c>
      <c r="G91" s="52" t="str">
        <f>IF(NOT(ISERROR(MATCH(D91,'Tannbleking - Oppsalg US'!D:D, 0))), "Ja", "")</f>
        <v/>
      </c>
      <c r="H91" s="37" t="s">
        <v>90</v>
      </c>
      <c r="I91" s="37" t="s">
        <v>72</v>
      </c>
      <c r="J91" s="40" t="s">
        <v>802</v>
      </c>
      <c r="K91" s="41"/>
      <c r="L91" s="42" t="s">
        <v>128</v>
      </c>
      <c r="M91" s="43" t="s">
        <v>803</v>
      </c>
      <c r="N91" s="44">
        <v>6.855455436137E12</v>
      </c>
      <c r="O91" s="53" t="str">
        <f t="shared" si="1"/>
        <v>03/11/2025</v>
      </c>
      <c r="P91" s="46">
        <f t="shared" si="2"/>
        <v>1762196100</v>
      </c>
      <c r="Q91" s="47"/>
      <c r="R91" s="48"/>
      <c r="S91" s="46"/>
      <c r="T91" s="49" t="s">
        <v>804</v>
      </c>
      <c r="U91" s="49" t="s">
        <v>805</v>
      </c>
      <c r="V91" s="49" t="s">
        <v>806</v>
      </c>
      <c r="W91" s="46"/>
      <c r="X91" s="49" t="s">
        <v>132</v>
      </c>
      <c r="Y91" s="50" t="s">
        <v>133</v>
      </c>
      <c r="Z91" s="50" t="s">
        <v>134</v>
      </c>
      <c r="AA91" s="46"/>
      <c r="AB91" s="26"/>
      <c r="AC91" s="51" t="s">
        <v>144</v>
      </c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</row>
    <row r="92">
      <c r="A92" s="35">
        <v>45965.0</v>
      </c>
      <c r="B92" s="36" t="s">
        <v>807</v>
      </c>
      <c r="C92" s="37" t="s">
        <v>808</v>
      </c>
      <c r="D92" s="37" t="s">
        <v>809</v>
      </c>
      <c r="E92" s="54">
        <v>4798673098</v>
      </c>
      <c r="F92" s="39" t="s">
        <v>810</v>
      </c>
      <c r="G92" s="52" t="str">
        <f>IF(NOT(ISERROR(MATCH(D92,'Tannbleking - Oppsalg US'!D:D, 0))), "Ja", "")</f>
        <v/>
      </c>
      <c r="H92" s="37" t="s">
        <v>50</v>
      </c>
      <c r="I92" s="37" t="s">
        <v>140</v>
      </c>
      <c r="J92" s="40" t="s">
        <v>533</v>
      </c>
      <c r="K92" s="41"/>
      <c r="L92" s="42" t="s">
        <v>128</v>
      </c>
      <c r="M92" s="43" t="s">
        <v>129</v>
      </c>
      <c r="N92" s="44">
        <v>6.855455436537E12</v>
      </c>
      <c r="O92" s="53" t="str">
        <f t="shared" si="1"/>
        <v>04/11/2025</v>
      </c>
      <c r="P92" s="46">
        <f t="shared" si="2"/>
        <v>1762235880</v>
      </c>
      <c r="Q92" s="47"/>
      <c r="R92" s="48"/>
      <c r="S92" s="46"/>
      <c r="T92" s="49" t="s">
        <v>811</v>
      </c>
      <c r="U92" s="49" t="s">
        <v>812</v>
      </c>
      <c r="V92" s="49" t="s">
        <v>813</v>
      </c>
      <c r="W92" s="46"/>
      <c r="X92" s="49" t="s">
        <v>132</v>
      </c>
      <c r="Y92" s="50" t="s">
        <v>133</v>
      </c>
      <c r="Z92" s="50" t="s">
        <v>134</v>
      </c>
      <c r="AA92" s="46"/>
      <c r="AB92" s="26"/>
      <c r="AC92" s="51" t="s">
        <v>144</v>
      </c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</row>
    <row r="93">
      <c r="A93" s="35">
        <v>45965.0</v>
      </c>
      <c r="B93" s="36" t="s">
        <v>814</v>
      </c>
      <c r="C93" s="37" t="s">
        <v>815</v>
      </c>
      <c r="D93" s="37" t="s">
        <v>816</v>
      </c>
      <c r="E93" s="54">
        <v>4796696233</v>
      </c>
      <c r="F93" s="39" t="s">
        <v>817</v>
      </c>
      <c r="G93" s="52" t="str">
        <f>IF(NOT(ISERROR(MATCH(D93,'Tannbleking - Oppsalg US'!D:D, 0))), "Ja", "")</f>
        <v/>
      </c>
      <c r="H93" s="37" t="s">
        <v>50</v>
      </c>
      <c r="I93" s="37" t="s">
        <v>107</v>
      </c>
      <c r="J93" s="40"/>
      <c r="K93" s="41"/>
      <c r="L93" s="42" t="s">
        <v>128</v>
      </c>
      <c r="M93" s="43" t="s">
        <v>300</v>
      </c>
      <c r="N93" s="44">
        <v>6.855455435537E12</v>
      </c>
      <c r="O93" s="53" t="str">
        <f t="shared" si="1"/>
        <v>04/11/2025</v>
      </c>
      <c r="P93" s="46">
        <f t="shared" si="2"/>
        <v>1762284780</v>
      </c>
      <c r="Q93" s="47"/>
      <c r="R93" s="48"/>
      <c r="S93" s="46"/>
      <c r="T93" s="49" t="s">
        <v>818</v>
      </c>
      <c r="U93" s="49" t="s">
        <v>819</v>
      </c>
      <c r="V93" s="49" t="s">
        <v>820</v>
      </c>
      <c r="W93" s="46"/>
      <c r="X93" s="49" t="s">
        <v>132</v>
      </c>
      <c r="Y93" s="50" t="s">
        <v>133</v>
      </c>
      <c r="Z93" s="50" t="s">
        <v>134</v>
      </c>
      <c r="AA93" s="46"/>
      <c r="AB93" s="26"/>
      <c r="AC93" s="51" t="s">
        <v>144</v>
      </c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>
      <c r="A94" s="35">
        <v>45965.0</v>
      </c>
      <c r="B94" s="36" t="s">
        <v>821</v>
      </c>
      <c r="C94" s="37" t="s">
        <v>720</v>
      </c>
      <c r="D94" s="37" t="s">
        <v>721</v>
      </c>
      <c r="E94" s="54">
        <v>4740054984</v>
      </c>
      <c r="F94" s="39" t="s">
        <v>822</v>
      </c>
      <c r="G94" s="52" t="str">
        <f>IF(NOT(ISERROR(MATCH(D94,'Tannbleking - Oppsalg US'!D:D, 0))), "Ja", "")</f>
        <v/>
      </c>
      <c r="H94" s="37" t="s">
        <v>50</v>
      </c>
      <c r="I94" s="37" t="s">
        <v>140</v>
      </c>
      <c r="J94" s="40"/>
      <c r="K94" s="41"/>
      <c r="L94" s="42" t="s">
        <v>128</v>
      </c>
      <c r="M94" s="43" t="s">
        <v>129</v>
      </c>
      <c r="N94" s="44">
        <v>6.855455436537E12</v>
      </c>
      <c r="O94" s="53" t="str">
        <f t="shared" si="1"/>
        <v>04/11/2025</v>
      </c>
      <c r="P94" s="46">
        <f t="shared" si="2"/>
        <v>1762288380</v>
      </c>
      <c r="Q94" s="47"/>
      <c r="R94" s="48"/>
      <c r="S94" s="46"/>
      <c r="T94" s="49" t="s">
        <v>724</v>
      </c>
      <c r="U94" s="49" t="s">
        <v>725</v>
      </c>
      <c r="V94" s="49" t="s">
        <v>823</v>
      </c>
      <c r="W94" s="46"/>
      <c r="X94" s="49" t="s">
        <v>132</v>
      </c>
      <c r="Y94" s="50" t="s">
        <v>133</v>
      </c>
      <c r="Z94" s="50" t="s">
        <v>134</v>
      </c>
      <c r="AA94" s="46"/>
      <c r="AB94" s="26"/>
      <c r="AC94" s="51" t="s">
        <v>135</v>
      </c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>
      <c r="A95" s="35">
        <v>45966.0</v>
      </c>
      <c r="B95" s="36" t="s">
        <v>824</v>
      </c>
      <c r="C95" s="37" t="s">
        <v>825</v>
      </c>
      <c r="D95" s="37" t="s">
        <v>826</v>
      </c>
      <c r="E95" s="54">
        <v>4795006886</v>
      </c>
      <c r="F95" s="39" t="s">
        <v>827</v>
      </c>
      <c r="G95" s="52" t="str">
        <f>IF(NOT(ISERROR(MATCH(D95,'Tannbleking - Oppsalg US'!D:D, 0))), "Ja", "")</f>
        <v/>
      </c>
      <c r="H95" s="37" t="s">
        <v>50</v>
      </c>
      <c r="I95" s="37" t="s">
        <v>72</v>
      </c>
      <c r="J95" s="40"/>
      <c r="K95" s="41"/>
      <c r="L95" s="42" t="s">
        <v>128</v>
      </c>
      <c r="M95" s="43" t="s">
        <v>129</v>
      </c>
      <c r="N95" s="44">
        <v>6.855455436537E12</v>
      </c>
      <c r="O95" s="53" t="str">
        <f t="shared" si="1"/>
        <v>05/11/2025</v>
      </c>
      <c r="P95" s="46">
        <f t="shared" si="2"/>
        <v>1762340340</v>
      </c>
      <c r="Q95" s="47"/>
      <c r="R95" s="48"/>
      <c r="S95" s="46"/>
      <c r="T95" s="49" t="s">
        <v>828</v>
      </c>
      <c r="U95" s="49" t="s">
        <v>829</v>
      </c>
      <c r="V95" s="49" t="s">
        <v>830</v>
      </c>
      <c r="W95" s="46"/>
      <c r="X95" s="49" t="s">
        <v>132</v>
      </c>
      <c r="Y95" s="50" t="s">
        <v>133</v>
      </c>
      <c r="Z95" s="50" t="s">
        <v>134</v>
      </c>
      <c r="AA95" s="46"/>
      <c r="AB95" s="26"/>
      <c r="AC95" s="51" t="s">
        <v>135</v>
      </c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</row>
    <row r="96">
      <c r="A96" s="35">
        <v>45966.0</v>
      </c>
      <c r="B96" s="36" t="s">
        <v>831</v>
      </c>
      <c r="C96" s="37" t="s">
        <v>832</v>
      </c>
      <c r="D96" s="37" t="s">
        <v>833</v>
      </c>
      <c r="E96" s="54">
        <v>4791694876</v>
      </c>
      <c r="F96" s="39" t="s">
        <v>238</v>
      </c>
      <c r="G96" s="52" t="str">
        <f>IF(NOT(ISERROR(MATCH(D96,'Tannbleking - Oppsalg US'!D:D, 0))), "Ja", "")</f>
        <v/>
      </c>
      <c r="H96" s="37" t="s">
        <v>50</v>
      </c>
      <c r="I96" s="37" t="s">
        <v>44</v>
      </c>
      <c r="J96" s="40"/>
      <c r="K96" s="41"/>
      <c r="L96" s="42" t="s">
        <v>128</v>
      </c>
      <c r="M96" s="43" t="s">
        <v>709</v>
      </c>
      <c r="N96" s="44">
        <v>6.855455435737E12</v>
      </c>
      <c r="O96" s="53" t="str">
        <f t="shared" si="1"/>
        <v>05/11/2025</v>
      </c>
      <c r="P96" s="46">
        <f t="shared" si="2"/>
        <v>1762377360</v>
      </c>
      <c r="Q96" s="47"/>
      <c r="R96" s="48"/>
      <c r="S96" s="46"/>
      <c r="T96" s="49" t="s">
        <v>834</v>
      </c>
      <c r="U96" s="49" t="s">
        <v>835</v>
      </c>
      <c r="V96" s="49" t="s">
        <v>836</v>
      </c>
      <c r="W96" s="46"/>
      <c r="X96" s="49" t="s">
        <v>132</v>
      </c>
      <c r="Y96" s="50" t="s">
        <v>133</v>
      </c>
      <c r="Z96" s="50" t="s">
        <v>134</v>
      </c>
      <c r="AA96" s="46"/>
      <c r="AB96" s="26"/>
      <c r="AC96" s="51" t="s">
        <v>135</v>
      </c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</row>
    <row r="97">
      <c r="A97" s="35">
        <v>45967.0</v>
      </c>
      <c r="B97" s="36" t="s">
        <v>837</v>
      </c>
      <c r="C97" s="37" t="s">
        <v>838</v>
      </c>
      <c r="D97" s="37" t="s">
        <v>839</v>
      </c>
      <c r="E97" s="54">
        <v>4798242478</v>
      </c>
      <c r="F97" s="39" t="s">
        <v>840</v>
      </c>
      <c r="G97" s="52" t="str">
        <f>IF(NOT(ISERROR(MATCH(D97,'Tannbleking - Oppsalg US'!D:D, 0))), "Ja", "")</f>
        <v/>
      </c>
      <c r="H97" s="37" t="s">
        <v>50</v>
      </c>
      <c r="I97" s="37" t="s">
        <v>107</v>
      </c>
      <c r="J97" s="40" t="s">
        <v>841</v>
      </c>
      <c r="K97" s="41"/>
      <c r="L97" s="42" t="s">
        <v>128</v>
      </c>
      <c r="M97" s="43" t="s">
        <v>803</v>
      </c>
      <c r="N97" s="44">
        <v>6.855455436137E12</v>
      </c>
      <c r="O97" s="53" t="str">
        <f t="shared" si="1"/>
        <v>06/11/2025</v>
      </c>
      <c r="P97" s="46">
        <f t="shared" si="2"/>
        <v>1762427640</v>
      </c>
      <c r="Q97" s="47"/>
      <c r="R97" s="48"/>
      <c r="S97" s="46"/>
      <c r="T97" s="49" t="s">
        <v>842</v>
      </c>
      <c r="U97" s="49" t="s">
        <v>843</v>
      </c>
      <c r="V97" s="49" t="s">
        <v>844</v>
      </c>
      <c r="W97" s="46"/>
      <c r="X97" s="49" t="s">
        <v>132</v>
      </c>
      <c r="Y97" s="50" t="s">
        <v>133</v>
      </c>
      <c r="Z97" s="50" t="s">
        <v>134</v>
      </c>
      <c r="AA97" s="46"/>
      <c r="AB97" s="26"/>
      <c r="AC97" s="51" t="s">
        <v>144</v>
      </c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</row>
    <row r="98">
      <c r="A98" s="35">
        <v>45967.0</v>
      </c>
      <c r="B98" s="36" t="s">
        <v>845</v>
      </c>
      <c r="C98" s="37" t="s">
        <v>846</v>
      </c>
      <c r="D98" s="37" t="s">
        <v>847</v>
      </c>
      <c r="E98" s="54">
        <v>4797152606</v>
      </c>
      <c r="F98" s="39" t="s">
        <v>848</v>
      </c>
      <c r="G98" s="52" t="str">
        <f>IF(NOT(ISERROR(MATCH(D98,'Tannbleking - Oppsalg US'!D:D, 0))), "Ja", "")</f>
        <v/>
      </c>
      <c r="H98" s="37" t="s">
        <v>50</v>
      </c>
      <c r="I98" s="37" t="s">
        <v>44</v>
      </c>
      <c r="J98" s="40"/>
      <c r="K98" s="41"/>
      <c r="L98" s="42" t="s">
        <v>128</v>
      </c>
      <c r="M98" s="43" t="s">
        <v>803</v>
      </c>
      <c r="N98" s="44">
        <v>6.855455436137E12</v>
      </c>
      <c r="O98" s="53" t="str">
        <f t="shared" si="1"/>
        <v>06/11/2025</v>
      </c>
      <c r="P98" s="46">
        <f t="shared" si="2"/>
        <v>1762431900</v>
      </c>
      <c r="Q98" s="47"/>
      <c r="R98" s="48"/>
      <c r="S98" s="46"/>
      <c r="T98" s="49" t="s">
        <v>849</v>
      </c>
      <c r="U98" s="49" t="s">
        <v>850</v>
      </c>
      <c r="V98" s="49" t="s">
        <v>851</v>
      </c>
      <c r="W98" s="46"/>
      <c r="X98" s="49" t="s">
        <v>132</v>
      </c>
      <c r="Y98" s="50" t="s">
        <v>133</v>
      </c>
      <c r="Z98" s="50" t="s">
        <v>134</v>
      </c>
      <c r="AA98" s="46"/>
      <c r="AB98" s="26"/>
      <c r="AC98" s="51" t="s">
        <v>135</v>
      </c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</row>
    <row r="99">
      <c r="A99" s="35">
        <v>45967.0</v>
      </c>
      <c r="B99" s="36" t="s">
        <v>852</v>
      </c>
      <c r="C99" s="37" t="s">
        <v>853</v>
      </c>
      <c r="D99" s="37" t="s">
        <v>854</v>
      </c>
      <c r="E99" s="54">
        <v>4791731867</v>
      </c>
      <c r="F99" s="39" t="s">
        <v>855</v>
      </c>
      <c r="G99" s="52" t="str">
        <f>IF(NOT(ISERROR(MATCH(D99,'Tannbleking - Oppsalg US'!D:D, 0))), "Ja", "")</f>
        <v/>
      </c>
      <c r="H99" s="37" t="s">
        <v>50</v>
      </c>
      <c r="I99" s="37" t="s">
        <v>44</v>
      </c>
      <c r="J99" s="40"/>
      <c r="K99" s="41"/>
      <c r="L99" s="42" t="s">
        <v>128</v>
      </c>
      <c r="M99" s="43" t="s">
        <v>300</v>
      </c>
      <c r="N99" s="44">
        <v>6.855455435537E12</v>
      </c>
      <c r="O99" s="53" t="str">
        <f t="shared" si="1"/>
        <v>06/11/2025</v>
      </c>
      <c r="P99" s="46">
        <f t="shared" si="2"/>
        <v>1762450740</v>
      </c>
      <c r="Q99" s="47"/>
      <c r="R99" s="48"/>
      <c r="S99" s="46"/>
      <c r="T99" s="49" t="s">
        <v>856</v>
      </c>
      <c r="U99" s="49" t="s">
        <v>857</v>
      </c>
      <c r="V99" s="49" t="s">
        <v>858</v>
      </c>
      <c r="W99" s="46"/>
      <c r="X99" s="49" t="s">
        <v>132</v>
      </c>
      <c r="Y99" s="50" t="s">
        <v>133</v>
      </c>
      <c r="Z99" s="50" t="s">
        <v>134</v>
      </c>
      <c r="AA99" s="46"/>
      <c r="AB99" s="26"/>
      <c r="AC99" s="51" t="s">
        <v>144</v>
      </c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</row>
    <row r="100">
      <c r="A100" s="35">
        <v>45968.0</v>
      </c>
      <c r="B100" s="36" t="s">
        <v>859</v>
      </c>
      <c r="C100" s="37" t="s">
        <v>860</v>
      </c>
      <c r="D100" s="37" t="s">
        <v>861</v>
      </c>
      <c r="E100" s="54">
        <v>4791552375</v>
      </c>
      <c r="F100" s="39" t="s">
        <v>862</v>
      </c>
      <c r="G100" s="52" t="str">
        <f>IF(NOT(ISERROR(MATCH(D100,'Tannbleking - Oppsalg US'!D:D, 0))), "Ja", "")</f>
        <v/>
      </c>
      <c r="H100" s="37" t="s">
        <v>50</v>
      </c>
      <c r="I100" s="37" t="s">
        <v>107</v>
      </c>
      <c r="J100" s="40"/>
      <c r="K100" s="41"/>
      <c r="L100" s="42" t="s">
        <v>128</v>
      </c>
      <c r="M100" s="43" t="s">
        <v>178</v>
      </c>
      <c r="N100" s="44">
        <v>6.855455436737E12</v>
      </c>
      <c r="O100" s="53" t="str">
        <f t="shared" si="1"/>
        <v>07/11/2025</v>
      </c>
      <c r="P100" s="46">
        <f t="shared" si="2"/>
        <v>1762552920</v>
      </c>
      <c r="Q100" s="47"/>
      <c r="R100" s="48"/>
      <c r="S100" s="46"/>
      <c r="T100" s="49" t="s">
        <v>863</v>
      </c>
      <c r="U100" s="49" t="s">
        <v>864</v>
      </c>
      <c r="V100" s="49" t="s">
        <v>865</v>
      </c>
      <c r="W100" s="46"/>
      <c r="X100" s="49" t="s">
        <v>132</v>
      </c>
      <c r="Y100" s="50" t="s">
        <v>133</v>
      </c>
      <c r="Z100" s="50" t="s">
        <v>134</v>
      </c>
      <c r="AA100" s="46"/>
      <c r="AB100" s="26"/>
      <c r="AC100" s="51" t="s">
        <v>135</v>
      </c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</row>
    <row r="101">
      <c r="A101" s="35">
        <v>45968.0</v>
      </c>
      <c r="B101" s="36" t="s">
        <v>866</v>
      </c>
      <c r="C101" s="37" t="s">
        <v>867</v>
      </c>
      <c r="D101" s="37" t="s">
        <v>868</v>
      </c>
      <c r="E101" s="54">
        <v>4796842495</v>
      </c>
      <c r="F101" s="39" t="s">
        <v>869</v>
      </c>
      <c r="G101" s="52" t="str">
        <f>IF(NOT(ISERROR(MATCH(D101,'Tannbleking - Oppsalg US'!D:D, 0))), "Ja", "")</f>
        <v/>
      </c>
      <c r="H101" s="37" t="s">
        <v>50</v>
      </c>
      <c r="I101" s="37" t="s">
        <v>44</v>
      </c>
      <c r="J101" s="40"/>
      <c r="K101" s="41"/>
      <c r="L101" s="42" t="s">
        <v>128</v>
      </c>
      <c r="M101" s="43" t="s">
        <v>803</v>
      </c>
      <c r="N101" s="44">
        <v>6.855455436137E12</v>
      </c>
      <c r="O101" s="53" t="str">
        <f t="shared" si="1"/>
        <v>07/11/2025</v>
      </c>
      <c r="P101" s="46">
        <f t="shared" si="2"/>
        <v>1762558260</v>
      </c>
      <c r="Q101" s="47"/>
      <c r="R101" s="48"/>
      <c r="S101" s="46"/>
      <c r="T101" s="49" t="s">
        <v>870</v>
      </c>
      <c r="U101" s="49" t="s">
        <v>871</v>
      </c>
      <c r="V101" s="49" t="s">
        <v>872</v>
      </c>
      <c r="W101" s="46"/>
      <c r="X101" s="49" t="s">
        <v>132</v>
      </c>
      <c r="Y101" s="50" t="s">
        <v>133</v>
      </c>
      <c r="Z101" s="50" t="s">
        <v>134</v>
      </c>
      <c r="AA101" s="46"/>
      <c r="AB101" s="26"/>
      <c r="AC101" s="51" t="s">
        <v>144</v>
      </c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</row>
    <row r="102">
      <c r="A102" s="35">
        <v>45969.0</v>
      </c>
      <c r="B102" s="36" t="s">
        <v>873</v>
      </c>
      <c r="C102" s="37" t="s">
        <v>874</v>
      </c>
      <c r="D102" s="37" t="s">
        <v>875</v>
      </c>
      <c r="E102" s="54">
        <v>4792530934</v>
      </c>
      <c r="F102" s="39" t="s">
        <v>876</v>
      </c>
      <c r="G102" s="52" t="str">
        <f>IF(NOT(ISERROR(MATCH(D102,'Tannbleking - Oppsalg US'!D:D, 0))), "Ja", "")</f>
        <v>Ja</v>
      </c>
      <c r="H102" s="37" t="s">
        <v>43</v>
      </c>
      <c r="I102" s="37" t="s">
        <v>44</v>
      </c>
      <c r="J102" s="40"/>
      <c r="K102" s="41"/>
      <c r="L102" s="42" t="s">
        <v>128</v>
      </c>
      <c r="M102" s="43" t="s">
        <v>803</v>
      </c>
      <c r="N102" s="44">
        <v>6.855455436137E12</v>
      </c>
      <c r="O102" s="53" t="str">
        <f t="shared" si="1"/>
        <v>08/11/2025</v>
      </c>
      <c r="P102" s="46">
        <f t="shared" si="2"/>
        <v>1762560420</v>
      </c>
      <c r="Q102" s="47"/>
      <c r="R102" s="48"/>
      <c r="S102" s="46"/>
      <c r="T102" s="49" t="s">
        <v>877</v>
      </c>
      <c r="U102" s="49" t="s">
        <v>878</v>
      </c>
      <c r="V102" s="49" t="s">
        <v>879</v>
      </c>
      <c r="W102" s="46"/>
      <c r="X102" s="49" t="s">
        <v>132</v>
      </c>
      <c r="Y102" s="50" t="s">
        <v>133</v>
      </c>
      <c r="Z102" s="50" t="s">
        <v>134</v>
      </c>
      <c r="AA102" s="46"/>
      <c r="AB102" s="26"/>
      <c r="AC102" s="51" t="s">
        <v>144</v>
      </c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</row>
    <row r="103">
      <c r="A103" s="35">
        <v>45969.0</v>
      </c>
      <c r="B103" s="36" t="s">
        <v>880</v>
      </c>
      <c r="C103" s="37" t="s">
        <v>881</v>
      </c>
      <c r="D103" s="37" t="s">
        <v>882</v>
      </c>
      <c r="E103" s="54">
        <v>4748388378</v>
      </c>
      <c r="F103" s="39" t="s">
        <v>883</v>
      </c>
      <c r="G103" s="52" t="str">
        <f>IF(NOT(ISERROR(MATCH(D103,'Tannbleking - Oppsalg US'!D:D, 0))), "Ja", "")</f>
        <v/>
      </c>
      <c r="H103" s="37" t="s">
        <v>50</v>
      </c>
      <c r="I103" s="37" t="s">
        <v>44</v>
      </c>
      <c r="J103" s="40"/>
      <c r="K103" s="41"/>
      <c r="L103" s="42" t="s">
        <v>128</v>
      </c>
      <c r="M103" s="43" t="s">
        <v>803</v>
      </c>
      <c r="N103" s="44">
        <v>6.855455436137E12</v>
      </c>
      <c r="O103" s="53" t="str">
        <f t="shared" si="1"/>
        <v>08/11/2025</v>
      </c>
      <c r="P103" s="46">
        <f t="shared" si="2"/>
        <v>1762561440</v>
      </c>
      <c r="Q103" s="47"/>
      <c r="R103" s="48"/>
      <c r="S103" s="46"/>
      <c r="T103" s="49" t="s">
        <v>884</v>
      </c>
      <c r="U103" s="49" t="s">
        <v>885</v>
      </c>
      <c r="V103" s="49" t="s">
        <v>886</v>
      </c>
      <c r="W103" s="46"/>
      <c r="X103" s="49" t="s">
        <v>132</v>
      </c>
      <c r="Y103" s="50" t="s">
        <v>133</v>
      </c>
      <c r="Z103" s="50" t="s">
        <v>134</v>
      </c>
      <c r="AA103" s="46"/>
      <c r="AB103" s="26"/>
      <c r="AC103" s="51" t="s">
        <v>144</v>
      </c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</row>
    <row r="104">
      <c r="A104" s="35">
        <v>45969.0</v>
      </c>
      <c r="B104" s="36" t="s">
        <v>887</v>
      </c>
      <c r="C104" s="37" t="s">
        <v>888</v>
      </c>
      <c r="D104" s="37" t="s">
        <v>889</v>
      </c>
      <c r="E104" s="54">
        <v>4746571053</v>
      </c>
      <c r="F104" s="39" t="s">
        <v>890</v>
      </c>
      <c r="G104" s="52" t="str">
        <f>IF(NOT(ISERROR(MATCH(D104,'Tannbleking - Oppsalg US'!D:D, 0))), "Ja", "")</f>
        <v/>
      </c>
      <c r="H104" s="37" t="s">
        <v>50</v>
      </c>
      <c r="I104" s="37" t="s">
        <v>44</v>
      </c>
      <c r="J104" s="40"/>
      <c r="K104" s="41"/>
      <c r="L104" s="42" t="s">
        <v>128</v>
      </c>
      <c r="M104" s="43" t="s">
        <v>803</v>
      </c>
      <c r="N104" s="44">
        <v>6.855455436137E12</v>
      </c>
      <c r="O104" s="53" t="str">
        <f t="shared" si="1"/>
        <v>08/11/2025</v>
      </c>
      <c r="P104" s="46">
        <f t="shared" si="2"/>
        <v>1762633500</v>
      </c>
      <c r="Q104" s="47"/>
      <c r="R104" s="48"/>
      <c r="S104" s="46"/>
      <c r="T104" s="49" t="s">
        <v>891</v>
      </c>
      <c r="U104" s="49" t="s">
        <v>892</v>
      </c>
      <c r="V104" s="49" t="s">
        <v>893</v>
      </c>
      <c r="W104" s="46"/>
      <c r="X104" s="49" t="s">
        <v>132</v>
      </c>
      <c r="Y104" s="50" t="s">
        <v>133</v>
      </c>
      <c r="Z104" s="50" t="s">
        <v>134</v>
      </c>
      <c r="AA104" s="46"/>
      <c r="AB104" s="26"/>
      <c r="AC104" s="51" t="s">
        <v>144</v>
      </c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</row>
    <row r="105">
      <c r="A105" s="35">
        <v>45969.0</v>
      </c>
      <c r="B105" s="36" t="s">
        <v>894</v>
      </c>
      <c r="C105" s="37" t="s">
        <v>895</v>
      </c>
      <c r="D105" s="37" t="s">
        <v>896</v>
      </c>
      <c r="E105" s="54">
        <v>4740075154</v>
      </c>
      <c r="F105" s="39" t="s">
        <v>897</v>
      </c>
      <c r="G105" s="52" t="str">
        <f>IF(NOT(ISERROR(MATCH(D105,'Tannbleking - Oppsalg US'!D:D, 0))), "Ja", "")</f>
        <v/>
      </c>
      <c r="H105" s="37" t="s">
        <v>50</v>
      </c>
      <c r="I105" s="37" t="s">
        <v>107</v>
      </c>
      <c r="J105" s="40"/>
      <c r="K105" s="41"/>
      <c r="L105" s="42" t="s">
        <v>128</v>
      </c>
      <c r="M105" s="43" t="s">
        <v>803</v>
      </c>
      <c r="N105" s="44">
        <v>6.855455436137E12</v>
      </c>
      <c r="O105" s="53" t="str">
        <f t="shared" si="1"/>
        <v>08/11/2025</v>
      </c>
      <c r="P105" s="46">
        <f t="shared" si="2"/>
        <v>1762639140</v>
      </c>
      <c r="Q105" s="47"/>
      <c r="R105" s="48"/>
      <c r="S105" s="46"/>
      <c r="T105" s="49" t="s">
        <v>898</v>
      </c>
      <c r="U105" s="49" t="s">
        <v>899</v>
      </c>
      <c r="V105" s="49" t="s">
        <v>900</v>
      </c>
      <c r="W105" s="46"/>
      <c r="X105" s="49" t="s">
        <v>132</v>
      </c>
      <c r="Y105" s="50" t="s">
        <v>133</v>
      </c>
      <c r="Z105" s="50" t="s">
        <v>134</v>
      </c>
      <c r="AA105" s="46"/>
      <c r="AB105" s="26"/>
      <c r="AC105" s="51" t="s">
        <v>144</v>
      </c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</row>
    <row r="106">
      <c r="A106" s="35">
        <v>45970.0</v>
      </c>
      <c r="B106" s="36" t="s">
        <v>901</v>
      </c>
      <c r="C106" s="37" t="s">
        <v>902</v>
      </c>
      <c r="D106" s="37" t="s">
        <v>903</v>
      </c>
      <c r="E106" s="54">
        <v>4746543585</v>
      </c>
      <c r="F106" s="39" t="s">
        <v>904</v>
      </c>
      <c r="G106" s="52" t="str">
        <f>IF(NOT(ISERROR(MATCH(D106,'Tannbleking - Oppsalg US'!D:D, 0))), "Ja", "")</f>
        <v/>
      </c>
      <c r="H106" s="37" t="s">
        <v>43</v>
      </c>
      <c r="I106" s="37" t="s">
        <v>72</v>
      </c>
      <c r="J106" s="40"/>
      <c r="K106" s="41"/>
      <c r="L106" s="42" t="s">
        <v>128</v>
      </c>
      <c r="M106" s="43" t="s">
        <v>231</v>
      </c>
      <c r="N106" s="44">
        <v>6.855455434537E12</v>
      </c>
      <c r="O106" s="53" t="str">
        <f t="shared" si="1"/>
        <v>09/11/2025</v>
      </c>
      <c r="P106" s="46">
        <f t="shared" si="2"/>
        <v>1762720800</v>
      </c>
      <c r="Q106" s="47"/>
      <c r="R106" s="48"/>
      <c r="S106" s="46"/>
      <c r="T106" s="49" t="s">
        <v>905</v>
      </c>
      <c r="U106" s="49" t="s">
        <v>906</v>
      </c>
      <c r="V106" s="49" t="s">
        <v>907</v>
      </c>
      <c r="W106" s="46"/>
      <c r="X106" s="49" t="s">
        <v>132</v>
      </c>
      <c r="Y106" s="50" t="s">
        <v>133</v>
      </c>
      <c r="Z106" s="50" t="s">
        <v>134</v>
      </c>
      <c r="AA106" s="46"/>
      <c r="AB106" s="26"/>
      <c r="AC106" s="51" t="s">
        <v>280</v>
      </c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</row>
    <row r="107">
      <c r="A107" s="35">
        <v>45970.0</v>
      </c>
      <c r="B107" s="36" t="s">
        <v>908</v>
      </c>
      <c r="C107" s="37" t="s">
        <v>909</v>
      </c>
      <c r="D107" s="37" t="s">
        <v>910</v>
      </c>
      <c r="E107" s="54">
        <v>4799742148</v>
      </c>
      <c r="F107" s="39" t="s">
        <v>911</v>
      </c>
      <c r="G107" s="52" t="str">
        <f>IF(NOT(ISERROR(MATCH(D107,'Tannbleking - Oppsalg US'!D:D, 0))), "Ja", "")</f>
        <v/>
      </c>
      <c r="H107" s="37" t="s">
        <v>50</v>
      </c>
      <c r="I107" s="37" t="s">
        <v>72</v>
      </c>
      <c r="J107" s="40"/>
      <c r="K107" s="41"/>
      <c r="L107" s="42" t="s">
        <v>347</v>
      </c>
      <c r="M107" s="43">
        <v>6.855455436537E12</v>
      </c>
      <c r="N107" s="44"/>
      <c r="O107" s="53" t="str">
        <f t="shared" si="1"/>
        <v>09/11/2025</v>
      </c>
      <c r="P107" s="46">
        <f t="shared" si="2"/>
        <v>1762727280</v>
      </c>
      <c r="Q107" s="47"/>
      <c r="R107" s="48"/>
      <c r="S107" s="46"/>
      <c r="T107" s="49" t="s">
        <v>912</v>
      </c>
      <c r="U107" s="49" t="s">
        <v>913</v>
      </c>
      <c r="V107" s="49" t="s">
        <v>914</v>
      </c>
      <c r="W107" s="46"/>
      <c r="X107" s="49" t="s">
        <v>132</v>
      </c>
      <c r="Y107" s="50" t="s">
        <v>133</v>
      </c>
      <c r="Z107" s="50" t="s">
        <v>134</v>
      </c>
      <c r="AA107" s="46"/>
      <c r="AB107" s="26"/>
      <c r="AC107" s="51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</row>
    <row r="108">
      <c r="A108" s="35">
        <v>45971.0</v>
      </c>
      <c r="B108" s="36" t="s">
        <v>915</v>
      </c>
      <c r="C108" s="37" t="s">
        <v>916</v>
      </c>
      <c r="D108" s="37" t="s">
        <v>917</v>
      </c>
      <c r="E108" s="54">
        <v>4745257541</v>
      </c>
      <c r="F108" s="39" t="s">
        <v>869</v>
      </c>
      <c r="G108" s="52" t="str">
        <f>IF(NOT(ISERROR(MATCH(D108,'Tannbleking - Oppsalg US'!D:D, 0))), "Ja", "")</f>
        <v/>
      </c>
      <c r="H108" s="37" t="s">
        <v>50</v>
      </c>
      <c r="I108" s="37" t="s">
        <v>44</v>
      </c>
      <c r="J108" s="40"/>
      <c r="K108" s="41"/>
      <c r="L108" s="42" t="s">
        <v>128</v>
      </c>
      <c r="M108" s="43" t="s">
        <v>803</v>
      </c>
      <c r="N108" s="44">
        <v>6.855455436137E12</v>
      </c>
      <c r="O108" s="53" t="str">
        <f t="shared" si="1"/>
        <v>10/11/2025</v>
      </c>
      <c r="P108" s="46">
        <f t="shared" si="2"/>
        <v>1762741080</v>
      </c>
      <c r="Q108" s="47"/>
      <c r="R108" s="48"/>
      <c r="S108" s="46"/>
      <c r="T108" s="49" t="s">
        <v>918</v>
      </c>
      <c r="U108" s="49" t="s">
        <v>919</v>
      </c>
      <c r="V108" s="49" t="s">
        <v>920</v>
      </c>
      <c r="W108" s="46"/>
      <c r="X108" s="49" t="s">
        <v>132</v>
      </c>
      <c r="Y108" s="50" t="s">
        <v>133</v>
      </c>
      <c r="Z108" s="50" t="s">
        <v>134</v>
      </c>
      <c r="AA108" s="46"/>
      <c r="AB108" s="26"/>
      <c r="AC108" s="51" t="s">
        <v>144</v>
      </c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</row>
    <row r="109">
      <c r="A109" s="35">
        <v>45971.0</v>
      </c>
      <c r="B109" s="36" t="s">
        <v>921</v>
      </c>
      <c r="C109" s="37" t="s">
        <v>922</v>
      </c>
      <c r="D109" s="37" t="s">
        <v>923</v>
      </c>
      <c r="E109" s="54">
        <v>4746252802</v>
      </c>
      <c r="F109" s="39" t="s">
        <v>924</v>
      </c>
      <c r="G109" s="52" t="str">
        <f>IF(NOT(ISERROR(MATCH(D109,'Tannbleking - Oppsalg US'!D:D, 0))), "Ja", "")</f>
        <v/>
      </c>
      <c r="H109" s="37" t="s">
        <v>50</v>
      </c>
      <c r="I109" s="37" t="s">
        <v>44</v>
      </c>
      <c r="J109" s="40"/>
      <c r="K109" s="41"/>
      <c r="L109" s="42" t="s">
        <v>128</v>
      </c>
      <c r="M109" s="43" t="s">
        <v>925</v>
      </c>
      <c r="N109" s="44">
        <v>6.858495226137E12</v>
      </c>
      <c r="O109" s="53" t="str">
        <f t="shared" si="1"/>
        <v>10/11/2025</v>
      </c>
      <c r="P109" s="46">
        <f t="shared" si="2"/>
        <v>1762800720</v>
      </c>
      <c r="Q109" s="47"/>
      <c r="R109" s="48"/>
      <c r="S109" s="46"/>
      <c r="T109" s="49" t="s">
        <v>926</v>
      </c>
      <c r="U109" s="49" t="s">
        <v>927</v>
      </c>
      <c r="V109" s="49" t="s">
        <v>928</v>
      </c>
      <c r="W109" s="46"/>
      <c r="X109" s="49" t="s">
        <v>132</v>
      </c>
      <c r="Y109" s="50" t="s">
        <v>133</v>
      </c>
      <c r="Z109" s="50" t="s">
        <v>134</v>
      </c>
      <c r="AA109" s="46"/>
      <c r="AB109" s="26"/>
      <c r="AC109" s="51" t="s">
        <v>151</v>
      </c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>
      <c r="A110" s="35">
        <v>45971.0</v>
      </c>
      <c r="B110" s="36" t="s">
        <v>929</v>
      </c>
      <c r="C110" s="37" t="s">
        <v>930</v>
      </c>
      <c r="D110" s="37" t="s">
        <v>931</v>
      </c>
      <c r="E110" s="54">
        <v>4748442424</v>
      </c>
      <c r="F110" s="39" t="s">
        <v>932</v>
      </c>
      <c r="G110" s="52" t="str">
        <f>IF(NOT(ISERROR(MATCH(D110,'Tannbleking - Oppsalg US'!D:D, 0))), "Ja", "")</f>
        <v/>
      </c>
      <c r="H110" s="37" t="s">
        <v>50</v>
      </c>
      <c r="I110" s="37" t="s">
        <v>107</v>
      </c>
      <c r="J110" s="40"/>
      <c r="K110" s="41"/>
      <c r="L110" s="42" t="s">
        <v>128</v>
      </c>
      <c r="M110" s="43" t="s">
        <v>925</v>
      </c>
      <c r="N110" s="44">
        <v>6.858495226137E12</v>
      </c>
      <c r="O110" s="53" t="str">
        <f t="shared" si="1"/>
        <v>10/11/2025</v>
      </c>
      <c r="P110" s="46">
        <f t="shared" si="2"/>
        <v>1762817340</v>
      </c>
      <c r="Q110" s="47"/>
      <c r="R110" s="48"/>
      <c r="S110" s="46"/>
      <c r="T110" s="49" t="s">
        <v>933</v>
      </c>
      <c r="U110" s="49" t="s">
        <v>934</v>
      </c>
      <c r="V110" s="49" t="s">
        <v>935</v>
      </c>
      <c r="W110" s="46"/>
      <c r="X110" s="49" t="s">
        <v>132</v>
      </c>
      <c r="Y110" s="50" t="s">
        <v>133</v>
      </c>
      <c r="Z110" s="50" t="s">
        <v>134</v>
      </c>
      <c r="AA110" s="46"/>
      <c r="AB110" s="26"/>
      <c r="AC110" s="51" t="s">
        <v>135</v>
      </c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>
      <c r="A111" s="35">
        <v>45972.0</v>
      </c>
      <c r="B111" s="36" t="s">
        <v>936</v>
      </c>
      <c r="C111" s="37" t="s">
        <v>937</v>
      </c>
      <c r="D111" s="37" t="s">
        <v>938</v>
      </c>
      <c r="E111" s="54">
        <v>4798403001</v>
      </c>
      <c r="F111" s="39" t="s">
        <v>939</v>
      </c>
      <c r="G111" s="52" t="str">
        <f>IF(NOT(ISERROR(MATCH(D111,'Tannbleking - Oppsalg US'!D:D, 0))), "Ja", "")</f>
        <v/>
      </c>
      <c r="H111" s="37" t="s">
        <v>43</v>
      </c>
      <c r="I111" s="37" t="s">
        <v>140</v>
      </c>
      <c r="J111" s="40"/>
      <c r="K111" s="41"/>
      <c r="L111" s="42" t="s">
        <v>128</v>
      </c>
      <c r="M111" s="43" t="s">
        <v>925</v>
      </c>
      <c r="N111" s="44">
        <v>6.858495226137E12</v>
      </c>
      <c r="O111" s="53" t="str">
        <f t="shared" si="1"/>
        <v>11/11/2025</v>
      </c>
      <c r="P111" s="46">
        <f t="shared" si="2"/>
        <v>1762823400</v>
      </c>
      <c r="Q111" s="47"/>
      <c r="R111" s="48"/>
      <c r="S111" s="46"/>
      <c r="T111" s="49" t="s">
        <v>940</v>
      </c>
      <c r="U111" s="49" t="s">
        <v>941</v>
      </c>
      <c r="V111" s="49" t="s">
        <v>942</v>
      </c>
      <c r="W111" s="46"/>
      <c r="X111" s="49" t="s">
        <v>132</v>
      </c>
      <c r="Y111" s="50" t="s">
        <v>133</v>
      </c>
      <c r="Z111" s="50" t="s">
        <v>134</v>
      </c>
      <c r="AA111" s="46"/>
      <c r="AB111" s="26"/>
      <c r="AC111" s="51" t="s">
        <v>135</v>
      </c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</row>
    <row r="112">
      <c r="A112" s="35">
        <v>45972.0</v>
      </c>
      <c r="B112" s="36" t="s">
        <v>943</v>
      </c>
      <c r="C112" s="37" t="s">
        <v>944</v>
      </c>
      <c r="D112" s="37" t="s">
        <v>945</v>
      </c>
      <c r="E112" s="54">
        <v>4797039854</v>
      </c>
      <c r="F112" s="39" t="s">
        <v>946</v>
      </c>
      <c r="G112" s="52" t="str">
        <f>IF(NOT(ISERROR(MATCH(D112,'Tannbleking - Oppsalg US'!D:D, 0))), "Ja", "")</f>
        <v/>
      </c>
      <c r="H112" s="37" t="s">
        <v>50</v>
      </c>
      <c r="I112" s="37" t="s">
        <v>107</v>
      </c>
      <c r="J112" s="40"/>
      <c r="K112" s="41"/>
      <c r="L112" s="42" t="s">
        <v>128</v>
      </c>
      <c r="M112" s="43" t="s">
        <v>947</v>
      </c>
      <c r="N112" s="44">
        <v>6.858495226337E12</v>
      </c>
      <c r="O112" s="53" t="str">
        <f t="shared" si="1"/>
        <v>11/11/2025</v>
      </c>
      <c r="P112" s="46">
        <f t="shared" si="2"/>
        <v>1762855800</v>
      </c>
      <c r="Q112" s="47"/>
      <c r="R112" s="48"/>
      <c r="S112" s="46"/>
      <c r="T112" s="49" t="s">
        <v>948</v>
      </c>
      <c r="U112" s="49" t="s">
        <v>949</v>
      </c>
      <c r="V112" s="49" t="s">
        <v>950</v>
      </c>
      <c r="W112" s="46"/>
      <c r="X112" s="49" t="s">
        <v>132</v>
      </c>
      <c r="Y112" s="50" t="s">
        <v>133</v>
      </c>
      <c r="Z112" s="50" t="s">
        <v>134</v>
      </c>
      <c r="AA112" s="46"/>
      <c r="AB112" s="26"/>
      <c r="AC112" s="51" t="s">
        <v>135</v>
      </c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</row>
    <row r="113">
      <c r="A113" s="35">
        <v>45972.0</v>
      </c>
      <c r="B113" s="36" t="s">
        <v>951</v>
      </c>
      <c r="C113" s="37" t="s">
        <v>952</v>
      </c>
      <c r="D113" s="37" t="s">
        <v>953</v>
      </c>
      <c r="E113" s="54">
        <v>4740085518</v>
      </c>
      <c r="F113" s="39" t="s">
        <v>954</v>
      </c>
      <c r="G113" s="52" t="str">
        <f>IF(NOT(ISERROR(MATCH(D113,'Tannbleking - Oppsalg US'!D:D, 0))), "Ja", "")</f>
        <v/>
      </c>
      <c r="H113" s="37" t="s">
        <v>50</v>
      </c>
      <c r="I113" s="37" t="s">
        <v>44</v>
      </c>
      <c r="J113" s="40"/>
      <c r="K113" s="41"/>
      <c r="L113" s="42" t="s">
        <v>128</v>
      </c>
      <c r="M113" s="43" t="s">
        <v>947</v>
      </c>
      <c r="N113" s="44">
        <v>6.858495226337E12</v>
      </c>
      <c r="O113" s="53" t="str">
        <f t="shared" si="1"/>
        <v>11/11/2025</v>
      </c>
      <c r="P113" s="46">
        <f t="shared" si="2"/>
        <v>1762872900</v>
      </c>
      <c r="Q113" s="47"/>
      <c r="R113" s="48"/>
      <c r="S113" s="46"/>
      <c r="T113" s="49" t="s">
        <v>955</v>
      </c>
      <c r="U113" s="49" t="s">
        <v>956</v>
      </c>
      <c r="V113" s="49" t="s">
        <v>957</v>
      </c>
      <c r="W113" s="46"/>
      <c r="X113" s="49" t="s">
        <v>132</v>
      </c>
      <c r="Y113" s="50" t="s">
        <v>133</v>
      </c>
      <c r="Z113" s="50" t="s">
        <v>134</v>
      </c>
      <c r="AA113" s="46"/>
      <c r="AB113" s="26"/>
      <c r="AC113" s="51" t="s">
        <v>135</v>
      </c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</row>
    <row r="114">
      <c r="A114" s="35">
        <v>45973.0</v>
      </c>
      <c r="B114" s="36" t="s">
        <v>958</v>
      </c>
      <c r="C114" s="37" t="s">
        <v>959</v>
      </c>
      <c r="D114" s="37" t="s">
        <v>960</v>
      </c>
      <c r="E114" s="54">
        <v>4740957899</v>
      </c>
      <c r="F114" s="39" t="s">
        <v>961</v>
      </c>
      <c r="G114" s="52" t="str">
        <f>IF(NOT(ISERROR(MATCH(D114,'Tannbleking - Oppsalg US'!D:D, 0))), "Ja", "")</f>
        <v/>
      </c>
      <c r="H114" s="37" t="s">
        <v>43</v>
      </c>
      <c r="I114" s="37" t="s">
        <v>72</v>
      </c>
      <c r="J114" s="40"/>
      <c r="K114" s="41"/>
      <c r="L114" s="42" t="s">
        <v>128</v>
      </c>
      <c r="M114" s="43" t="s">
        <v>947</v>
      </c>
      <c r="N114" s="44">
        <v>6.858495226337E12</v>
      </c>
      <c r="O114" s="53" t="str">
        <f t="shared" si="1"/>
        <v>12/11/2025</v>
      </c>
      <c r="P114" s="46">
        <f t="shared" si="2"/>
        <v>1762913700</v>
      </c>
      <c r="Q114" s="47"/>
      <c r="R114" s="48"/>
      <c r="S114" s="46"/>
      <c r="T114" s="49" t="s">
        <v>962</v>
      </c>
      <c r="U114" s="49" t="s">
        <v>963</v>
      </c>
      <c r="V114" s="49" t="s">
        <v>964</v>
      </c>
      <c r="W114" s="46"/>
      <c r="X114" s="49" t="s">
        <v>132</v>
      </c>
      <c r="Y114" s="50" t="s">
        <v>133</v>
      </c>
      <c r="Z114" s="50" t="s">
        <v>134</v>
      </c>
      <c r="AA114" s="46"/>
      <c r="AB114" s="26"/>
      <c r="AC114" s="51" t="s">
        <v>144</v>
      </c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</row>
    <row r="115">
      <c r="A115" s="35">
        <v>45973.0</v>
      </c>
      <c r="B115" s="36" t="s">
        <v>965</v>
      </c>
      <c r="C115" s="37" t="s">
        <v>966</v>
      </c>
      <c r="D115" s="37" t="s">
        <v>967</v>
      </c>
      <c r="E115" s="54">
        <v>4792873356</v>
      </c>
      <c r="F115" s="39" t="s">
        <v>968</v>
      </c>
      <c r="G115" s="52" t="str">
        <f>IF(NOT(ISERROR(MATCH(D115,'Tannbleking - Oppsalg US'!D:D, 0))), "Ja", "")</f>
        <v/>
      </c>
      <c r="H115" s="37" t="s">
        <v>90</v>
      </c>
      <c r="I115" s="37" t="s">
        <v>107</v>
      </c>
      <c r="J115" s="40" t="s">
        <v>969</v>
      </c>
      <c r="K115" s="41"/>
      <c r="L115" s="42" t="s">
        <v>128</v>
      </c>
      <c r="M115" s="43" t="s">
        <v>925</v>
      </c>
      <c r="N115" s="44">
        <v>6.858495226137E12</v>
      </c>
      <c r="O115" s="53" t="str">
        <f t="shared" si="1"/>
        <v>12/11/2025</v>
      </c>
      <c r="P115" s="46">
        <f t="shared" si="2"/>
        <v>1762932120</v>
      </c>
      <c r="Q115" s="47"/>
      <c r="R115" s="48"/>
      <c r="S115" s="46"/>
      <c r="T115" s="49" t="s">
        <v>970</v>
      </c>
      <c r="U115" s="49" t="s">
        <v>971</v>
      </c>
      <c r="V115" s="49" t="s">
        <v>972</v>
      </c>
      <c r="W115" s="46"/>
      <c r="X115" s="49" t="s">
        <v>132</v>
      </c>
      <c r="Y115" s="50" t="s">
        <v>133</v>
      </c>
      <c r="Z115" s="50" t="s">
        <v>134</v>
      </c>
      <c r="AA115" s="46"/>
      <c r="AB115" s="26"/>
      <c r="AC115" s="51" t="s">
        <v>151</v>
      </c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</row>
    <row r="116">
      <c r="A116" s="35">
        <v>45973.0</v>
      </c>
      <c r="B116" s="36" t="s">
        <v>973</v>
      </c>
      <c r="C116" s="37" t="s">
        <v>974</v>
      </c>
      <c r="D116" s="37" t="s">
        <v>975</v>
      </c>
      <c r="E116" s="54">
        <v>4745502263</v>
      </c>
      <c r="F116" s="39" t="s">
        <v>976</v>
      </c>
      <c r="G116" s="52" t="str">
        <f>IF(NOT(ISERROR(MATCH(D116,'Tannbleking - Oppsalg US'!D:D, 0))), "Ja", "")</f>
        <v/>
      </c>
      <c r="H116" s="37" t="s">
        <v>50</v>
      </c>
      <c r="I116" s="37" t="s">
        <v>107</v>
      </c>
      <c r="J116" s="40"/>
      <c r="K116" s="41"/>
      <c r="L116" s="42" t="s">
        <v>128</v>
      </c>
      <c r="M116" s="43" t="s">
        <v>947</v>
      </c>
      <c r="N116" s="44">
        <v>6.858495226337E12</v>
      </c>
      <c r="O116" s="53" t="str">
        <f t="shared" si="1"/>
        <v>12/11/2025</v>
      </c>
      <c r="P116" s="46">
        <f t="shared" si="2"/>
        <v>1762948560</v>
      </c>
      <c r="Q116" s="47"/>
      <c r="R116" s="48"/>
      <c r="S116" s="46"/>
      <c r="T116" s="49" t="s">
        <v>977</v>
      </c>
      <c r="U116" s="49" t="s">
        <v>978</v>
      </c>
      <c r="V116" s="49" t="s">
        <v>979</v>
      </c>
      <c r="W116" s="46"/>
      <c r="X116" s="49" t="s">
        <v>132</v>
      </c>
      <c r="Y116" s="50" t="s">
        <v>133</v>
      </c>
      <c r="Z116" s="50" t="s">
        <v>134</v>
      </c>
      <c r="AA116" s="46"/>
      <c r="AB116" s="26"/>
      <c r="AC116" s="51" t="s">
        <v>280</v>
      </c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</row>
    <row r="117">
      <c r="A117" s="35">
        <v>45973.0</v>
      </c>
      <c r="B117" s="36" t="s">
        <v>980</v>
      </c>
      <c r="C117" s="37" t="s">
        <v>981</v>
      </c>
      <c r="D117" s="37" t="s">
        <v>982</v>
      </c>
      <c r="E117" s="54">
        <v>4747142932</v>
      </c>
      <c r="F117" s="39" t="s">
        <v>983</v>
      </c>
      <c r="G117" s="52" t="str">
        <f>IF(NOT(ISERROR(MATCH(D117,'Tannbleking - Oppsalg US'!D:D, 0))), "Ja", "")</f>
        <v/>
      </c>
      <c r="H117" s="37" t="s">
        <v>50</v>
      </c>
      <c r="I117" s="37" t="s">
        <v>44</v>
      </c>
      <c r="J117" s="40"/>
      <c r="K117" s="41"/>
      <c r="L117" s="42" t="s">
        <v>128</v>
      </c>
      <c r="M117" s="43" t="s">
        <v>231</v>
      </c>
      <c r="N117" s="44">
        <v>6.858495226337E12</v>
      </c>
      <c r="O117" s="53" t="str">
        <f t="shared" si="1"/>
        <v>12/11/2025</v>
      </c>
      <c r="P117" s="46">
        <f t="shared" si="2"/>
        <v>1762966680</v>
      </c>
      <c r="Q117" s="47"/>
      <c r="R117" s="48"/>
      <c r="S117" s="46"/>
      <c r="T117" s="49" t="s">
        <v>984</v>
      </c>
      <c r="U117" s="49" t="s">
        <v>985</v>
      </c>
      <c r="V117" s="49" t="s">
        <v>986</v>
      </c>
      <c r="W117" s="46"/>
      <c r="X117" s="49" t="s">
        <v>132</v>
      </c>
      <c r="Y117" s="50" t="s">
        <v>133</v>
      </c>
      <c r="Z117" s="50" t="s">
        <v>134</v>
      </c>
      <c r="AA117" s="46"/>
      <c r="AB117" s="26"/>
      <c r="AC117" s="51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</row>
    <row r="118">
      <c r="A118" s="35">
        <v>45974.0</v>
      </c>
      <c r="B118" s="36" t="s">
        <v>987</v>
      </c>
      <c r="C118" s="37" t="s">
        <v>988</v>
      </c>
      <c r="D118" s="37" t="s">
        <v>989</v>
      </c>
      <c r="E118" s="54">
        <v>4796842464</v>
      </c>
      <c r="F118" s="39" t="s">
        <v>840</v>
      </c>
      <c r="G118" s="52" t="str">
        <f>IF(NOT(ISERROR(MATCH(D118,'Tannbleking - Oppsalg US'!D:D, 0))), "Ja", "")</f>
        <v/>
      </c>
      <c r="H118" s="37" t="s">
        <v>50</v>
      </c>
      <c r="I118" s="37" t="s">
        <v>107</v>
      </c>
      <c r="J118" s="40"/>
      <c r="K118" s="41"/>
      <c r="L118" s="42" t="s">
        <v>128</v>
      </c>
      <c r="M118" s="43" t="s">
        <v>947</v>
      </c>
      <c r="N118" s="44">
        <v>6.858495226337E12</v>
      </c>
      <c r="O118" s="53" t="str">
        <f t="shared" si="1"/>
        <v>13/11/2025</v>
      </c>
      <c r="P118" s="46">
        <f t="shared" si="2"/>
        <v>1763018280</v>
      </c>
      <c r="Q118" s="47"/>
      <c r="R118" s="48"/>
      <c r="S118" s="46"/>
      <c r="T118" s="49" t="s">
        <v>990</v>
      </c>
      <c r="U118" s="49" t="s">
        <v>991</v>
      </c>
      <c r="V118" s="49" t="s">
        <v>992</v>
      </c>
      <c r="W118" s="46"/>
      <c r="X118" s="49" t="s">
        <v>132</v>
      </c>
      <c r="Y118" s="50" t="s">
        <v>133</v>
      </c>
      <c r="Z118" s="50" t="s">
        <v>134</v>
      </c>
      <c r="AA118" s="46"/>
      <c r="AB118" s="26"/>
      <c r="AC118" s="51" t="s">
        <v>135</v>
      </c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</row>
    <row r="119">
      <c r="A119" s="35">
        <v>45974.0</v>
      </c>
      <c r="B119" s="36" t="s">
        <v>993</v>
      </c>
      <c r="C119" s="37" t="s">
        <v>994</v>
      </c>
      <c r="D119" s="37" t="s">
        <v>995</v>
      </c>
      <c r="E119" s="54">
        <v>4791610788</v>
      </c>
      <c r="F119" s="39" t="s">
        <v>996</v>
      </c>
      <c r="G119" s="52" t="str">
        <f>IF(NOT(ISERROR(MATCH(D119,'Tannbleking - Oppsalg US'!D:D, 0))), "Ja", "")</f>
        <v/>
      </c>
      <c r="H119" s="37" t="s">
        <v>50</v>
      </c>
      <c r="I119" s="37" t="s">
        <v>72</v>
      </c>
      <c r="J119" s="40"/>
      <c r="K119" s="41"/>
      <c r="L119" s="42" t="s">
        <v>128</v>
      </c>
      <c r="M119" s="43" t="s">
        <v>947</v>
      </c>
      <c r="N119" s="44">
        <v>6.858495226337E12</v>
      </c>
      <c r="O119" s="53" t="str">
        <f t="shared" si="1"/>
        <v>13/11/2025</v>
      </c>
      <c r="P119" s="46">
        <f t="shared" si="2"/>
        <v>1763027760</v>
      </c>
      <c r="Q119" s="47"/>
      <c r="R119" s="48"/>
      <c r="S119" s="46"/>
      <c r="T119" s="49" t="s">
        <v>997</v>
      </c>
      <c r="U119" s="49" t="s">
        <v>998</v>
      </c>
      <c r="V119" s="49" t="s">
        <v>999</v>
      </c>
      <c r="W119" s="46"/>
      <c r="X119" s="49" t="s">
        <v>132</v>
      </c>
      <c r="Y119" s="50" t="s">
        <v>133</v>
      </c>
      <c r="Z119" s="50" t="s">
        <v>134</v>
      </c>
      <c r="AA119" s="46"/>
      <c r="AB119" s="26"/>
      <c r="AC119" s="51" t="s">
        <v>144</v>
      </c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</row>
    <row r="120">
      <c r="A120" s="35">
        <v>45975.0</v>
      </c>
      <c r="B120" s="36" t="s">
        <v>1000</v>
      </c>
      <c r="C120" s="37" t="s">
        <v>1001</v>
      </c>
      <c r="D120" s="37" t="s">
        <v>1002</v>
      </c>
      <c r="E120" s="54">
        <v>4746238809</v>
      </c>
      <c r="F120" s="39" t="s">
        <v>1003</v>
      </c>
      <c r="G120" s="52" t="str">
        <f>IF(NOT(ISERROR(MATCH(D120,'Tannbleking - Oppsalg US'!D:D, 0))), "Ja", "")</f>
        <v/>
      </c>
      <c r="H120" s="37" t="s">
        <v>50</v>
      </c>
      <c r="I120" s="37" t="s">
        <v>44</v>
      </c>
      <c r="J120" s="40"/>
      <c r="K120" s="41"/>
      <c r="L120" s="42" t="s">
        <v>128</v>
      </c>
      <c r="M120" s="43" t="s">
        <v>1004</v>
      </c>
      <c r="N120" s="44">
        <v>6.858510223937E12</v>
      </c>
      <c r="O120" s="53" t="str">
        <f t="shared" si="1"/>
        <v>14/11/2025</v>
      </c>
      <c r="P120" s="46">
        <f t="shared" si="2"/>
        <v>1763154180</v>
      </c>
      <c r="Q120" s="47"/>
      <c r="R120" s="48"/>
      <c r="S120" s="46"/>
      <c r="T120" s="49" t="s">
        <v>1005</v>
      </c>
      <c r="U120" s="49" t="s">
        <v>1006</v>
      </c>
      <c r="V120" s="49" t="s">
        <v>1007</v>
      </c>
      <c r="W120" s="46"/>
      <c r="X120" s="49" t="s">
        <v>132</v>
      </c>
      <c r="Y120" s="50" t="s">
        <v>133</v>
      </c>
      <c r="Z120" s="50" t="s">
        <v>134</v>
      </c>
      <c r="AA120" s="46"/>
      <c r="AB120" s="26"/>
      <c r="AC120" s="51" t="s">
        <v>135</v>
      </c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</row>
    <row r="121">
      <c r="A121" s="35">
        <v>45976.0</v>
      </c>
      <c r="B121" s="36" t="s">
        <v>1008</v>
      </c>
      <c r="C121" s="37" t="s">
        <v>1009</v>
      </c>
      <c r="D121" s="37" t="s">
        <v>1010</v>
      </c>
      <c r="E121" s="54">
        <v>4792831118</v>
      </c>
      <c r="F121" s="39" t="s">
        <v>1011</v>
      </c>
      <c r="G121" s="52" t="str">
        <f>IF(NOT(ISERROR(MATCH(D121,'Tannbleking - Oppsalg US'!D:D, 0))), "Ja", "")</f>
        <v/>
      </c>
      <c r="H121" s="37" t="s">
        <v>50</v>
      </c>
      <c r="I121" s="37" t="s">
        <v>44</v>
      </c>
      <c r="J121" s="40"/>
      <c r="K121" s="41"/>
      <c r="L121" s="42" t="s">
        <v>128</v>
      </c>
      <c r="M121" s="43" t="s">
        <v>1012</v>
      </c>
      <c r="N121" s="44">
        <v>6.858495224937E12</v>
      </c>
      <c r="O121" s="53" t="str">
        <f t="shared" si="1"/>
        <v>15/11/2025</v>
      </c>
      <c r="P121" s="46">
        <f t="shared" si="2"/>
        <v>1763172540</v>
      </c>
      <c r="Q121" s="47"/>
      <c r="R121" s="48"/>
      <c r="S121" s="46"/>
      <c r="T121" s="49" t="s">
        <v>1013</v>
      </c>
      <c r="U121" s="49" t="s">
        <v>1014</v>
      </c>
      <c r="V121" s="49" t="s">
        <v>1015</v>
      </c>
      <c r="W121" s="46"/>
      <c r="X121" s="49" t="s">
        <v>132</v>
      </c>
      <c r="Y121" s="50" t="s">
        <v>133</v>
      </c>
      <c r="Z121" s="50" t="s">
        <v>134</v>
      </c>
      <c r="AA121" s="46"/>
      <c r="AB121" s="26"/>
      <c r="AC121" s="51" t="s">
        <v>144</v>
      </c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</row>
    <row r="122">
      <c r="A122" s="35">
        <v>45976.0</v>
      </c>
      <c r="B122" s="36" t="s">
        <v>1016</v>
      </c>
      <c r="C122" s="37" t="s">
        <v>1017</v>
      </c>
      <c r="D122" s="37" t="s">
        <v>1018</v>
      </c>
      <c r="E122" s="54">
        <v>4790568723</v>
      </c>
      <c r="F122" s="39" t="s">
        <v>67</v>
      </c>
      <c r="G122" s="52" t="str">
        <f>IF(NOT(ISERROR(MATCH(D122,'Tannbleking - Oppsalg US'!D:D, 0))), "Ja", "")</f>
        <v/>
      </c>
      <c r="H122" s="37" t="s">
        <v>50</v>
      </c>
      <c r="I122" s="37" t="s">
        <v>72</v>
      </c>
      <c r="J122" s="40"/>
      <c r="K122" s="41"/>
      <c r="L122" s="42" t="s">
        <v>128</v>
      </c>
      <c r="M122" s="43" t="s">
        <v>1012</v>
      </c>
      <c r="N122" s="44">
        <v>6.858495224937E12</v>
      </c>
      <c r="O122" s="53" t="str">
        <f t="shared" si="1"/>
        <v>15/11/2025</v>
      </c>
      <c r="P122" s="46">
        <f t="shared" si="2"/>
        <v>1763182800</v>
      </c>
      <c r="Q122" s="47"/>
      <c r="R122" s="48"/>
      <c r="S122" s="46"/>
      <c r="T122" s="49" t="s">
        <v>1019</v>
      </c>
      <c r="U122" s="49" t="s">
        <v>1020</v>
      </c>
      <c r="V122" s="49" t="s">
        <v>1021</v>
      </c>
      <c r="W122" s="46"/>
      <c r="X122" s="49" t="s">
        <v>132</v>
      </c>
      <c r="Y122" s="50" t="s">
        <v>133</v>
      </c>
      <c r="Z122" s="50" t="s">
        <v>134</v>
      </c>
      <c r="AA122" s="46"/>
      <c r="AB122" s="26"/>
      <c r="AC122" s="51" t="s">
        <v>144</v>
      </c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</row>
    <row r="123">
      <c r="A123" s="35">
        <v>45976.0</v>
      </c>
      <c r="B123" s="36" t="s">
        <v>1022</v>
      </c>
      <c r="C123" s="37" t="s">
        <v>1023</v>
      </c>
      <c r="D123" s="37" t="s">
        <v>1024</v>
      </c>
      <c r="E123" s="54">
        <v>4745431616</v>
      </c>
      <c r="F123" s="39" t="s">
        <v>1025</v>
      </c>
      <c r="G123" s="52" t="str">
        <f>IF(NOT(ISERROR(MATCH(D123,'Tannbleking - Oppsalg US'!D:D, 0))), "Ja", "")</f>
        <v/>
      </c>
      <c r="H123" s="37" t="s">
        <v>43</v>
      </c>
      <c r="I123" s="37" t="s">
        <v>107</v>
      </c>
      <c r="J123" s="40" t="s">
        <v>1026</v>
      </c>
      <c r="K123" s="41"/>
      <c r="L123" s="42" t="s">
        <v>128</v>
      </c>
      <c r="M123" s="43" t="s">
        <v>1004</v>
      </c>
      <c r="N123" s="44">
        <v>6.858510223937E12</v>
      </c>
      <c r="O123" s="53" t="str">
        <f t="shared" si="1"/>
        <v>15/11/2025</v>
      </c>
      <c r="P123" s="46">
        <f t="shared" si="2"/>
        <v>1763191140</v>
      </c>
      <c r="Q123" s="47"/>
      <c r="R123" s="48"/>
      <c r="S123" s="46"/>
      <c r="T123" s="49" t="s">
        <v>1027</v>
      </c>
      <c r="U123" s="49" t="s">
        <v>1028</v>
      </c>
      <c r="V123" s="49" t="s">
        <v>1029</v>
      </c>
      <c r="W123" s="46"/>
      <c r="X123" s="49" t="s">
        <v>132</v>
      </c>
      <c r="Y123" s="50" t="s">
        <v>133</v>
      </c>
      <c r="Z123" s="50" t="s">
        <v>134</v>
      </c>
      <c r="AA123" s="46"/>
      <c r="AB123" s="26"/>
      <c r="AC123" s="51" t="s">
        <v>135</v>
      </c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</row>
    <row r="124">
      <c r="A124" s="35">
        <v>45976.0</v>
      </c>
      <c r="B124" s="36" t="s">
        <v>1030</v>
      </c>
      <c r="C124" s="37" t="s">
        <v>1031</v>
      </c>
      <c r="D124" s="37" t="s">
        <v>1032</v>
      </c>
      <c r="E124" s="54">
        <v>4796868192</v>
      </c>
      <c r="F124" s="39" t="s">
        <v>822</v>
      </c>
      <c r="G124" s="52" t="str">
        <f>IF(NOT(ISERROR(MATCH(D124,'Tannbleking - Oppsalg US'!D:D, 0))), "Ja", "")</f>
        <v/>
      </c>
      <c r="H124" s="37" t="s">
        <v>50</v>
      </c>
      <c r="I124" s="37" t="s">
        <v>72</v>
      </c>
      <c r="J124" s="40"/>
      <c r="K124" s="41"/>
      <c r="L124" s="42" t="s">
        <v>128</v>
      </c>
      <c r="M124" s="43" t="s">
        <v>1004</v>
      </c>
      <c r="N124" s="44">
        <v>6.858510223937E12</v>
      </c>
      <c r="O124" s="53" t="str">
        <f t="shared" si="1"/>
        <v>15/11/2025</v>
      </c>
      <c r="P124" s="46">
        <f t="shared" si="2"/>
        <v>1763192700</v>
      </c>
      <c r="Q124" s="47"/>
      <c r="R124" s="48"/>
      <c r="S124" s="46"/>
      <c r="T124" s="49" t="s">
        <v>1033</v>
      </c>
      <c r="U124" s="49" t="s">
        <v>1034</v>
      </c>
      <c r="V124" s="49" t="s">
        <v>1035</v>
      </c>
      <c r="W124" s="46"/>
      <c r="X124" s="49" t="s">
        <v>132</v>
      </c>
      <c r="Y124" s="50" t="s">
        <v>133</v>
      </c>
      <c r="Z124" s="50" t="s">
        <v>134</v>
      </c>
      <c r="AA124" s="46"/>
      <c r="AB124" s="26"/>
      <c r="AC124" s="51" t="s">
        <v>135</v>
      </c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</row>
    <row r="125">
      <c r="A125" s="35">
        <v>45977.0</v>
      </c>
      <c r="B125" s="36" t="s">
        <v>1036</v>
      </c>
      <c r="C125" s="37" t="s">
        <v>1037</v>
      </c>
      <c r="D125" s="37" t="s">
        <v>1038</v>
      </c>
      <c r="E125" s="54">
        <v>4793408121</v>
      </c>
      <c r="F125" s="39" t="s">
        <v>1039</v>
      </c>
      <c r="G125" s="52" t="str">
        <f>IF(NOT(ISERROR(MATCH(D125,'Tannbleking - Oppsalg US'!D:D, 0))), "Ja", "")</f>
        <v/>
      </c>
      <c r="H125" s="37" t="s">
        <v>50</v>
      </c>
      <c r="I125" s="37" t="s">
        <v>107</v>
      </c>
      <c r="J125" s="40"/>
      <c r="K125" s="41"/>
      <c r="L125" s="42" t="s">
        <v>128</v>
      </c>
      <c r="M125" s="43" t="s">
        <v>1040</v>
      </c>
      <c r="N125" s="44">
        <v>6.858495224137E12</v>
      </c>
      <c r="O125" s="53" t="str">
        <f t="shared" si="1"/>
        <v>16/11/2025</v>
      </c>
      <c r="P125" s="46">
        <f t="shared" si="2"/>
        <v>1763297220</v>
      </c>
      <c r="Q125" s="47"/>
      <c r="R125" s="48"/>
      <c r="S125" s="46"/>
      <c r="T125" s="49" t="s">
        <v>1041</v>
      </c>
      <c r="U125" s="49" t="s">
        <v>1042</v>
      </c>
      <c r="V125" s="49" t="s">
        <v>1043</v>
      </c>
      <c r="W125" s="46"/>
      <c r="X125" s="49" t="s">
        <v>132</v>
      </c>
      <c r="Y125" s="50" t="s">
        <v>133</v>
      </c>
      <c r="Z125" s="50" t="s">
        <v>134</v>
      </c>
      <c r="AA125" s="46"/>
      <c r="AB125" s="26"/>
      <c r="AC125" s="51" t="s">
        <v>144</v>
      </c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</row>
    <row r="126">
      <c r="A126" s="35">
        <v>45977.0</v>
      </c>
      <c r="B126" s="36" t="s">
        <v>1044</v>
      </c>
      <c r="C126" s="37" t="s">
        <v>1045</v>
      </c>
      <c r="D126" s="37" t="s">
        <v>1046</v>
      </c>
      <c r="E126" s="54" t="s">
        <v>1047</v>
      </c>
      <c r="F126" s="39" t="s">
        <v>1048</v>
      </c>
      <c r="G126" s="52" t="str">
        <f>IF(NOT(ISERROR(MATCH(D126,'Tannbleking - Oppsalg US'!D:D, 0))), "Ja", "")</f>
        <v/>
      </c>
      <c r="H126" s="37" t="s">
        <v>50</v>
      </c>
      <c r="I126" s="37"/>
      <c r="J126" s="40" t="s">
        <v>1049</v>
      </c>
      <c r="K126" s="41"/>
      <c r="L126" s="42" t="s">
        <v>347</v>
      </c>
      <c r="M126" s="43">
        <v>6.858495224537E12</v>
      </c>
      <c r="N126" s="44"/>
      <c r="O126" s="53" t="str">
        <f t="shared" si="1"/>
        <v>16/11/2025</v>
      </c>
      <c r="P126" s="46">
        <f t="shared" si="2"/>
        <v>1763298420</v>
      </c>
      <c r="Q126" s="47"/>
      <c r="R126" s="48"/>
      <c r="S126" s="46"/>
      <c r="T126" s="49" t="s">
        <v>1050</v>
      </c>
      <c r="U126" s="49" t="s">
        <v>1051</v>
      </c>
      <c r="V126" s="49" t="s">
        <v>1052</v>
      </c>
      <c r="W126" s="46"/>
      <c r="X126" s="49" t="s">
        <v>132</v>
      </c>
      <c r="Y126" s="50" t="s">
        <v>133</v>
      </c>
      <c r="Z126" s="50" t="s">
        <v>134</v>
      </c>
      <c r="AA126" s="46"/>
      <c r="AB126" s="26"/>
      <c r="AC126" s="51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</row>
    <row r="127">
      <c r="A127" s="35">
        <v>45977.0</v>
      </c>
      <c r="B127" s="36" t="s">
        <v>1053</v>
      </c>
      <c r="C127" s="37" t="s">
        <v>1054</v>
      </c>
      <c r="D127" s="37" t="s">
        <v>1055</v>
      </c>
      <c r="E127" s="54">
        <v>4793986420</v>
      </c>
      <c r="F127" s="39" t="s">
        <v>1056</v>
      </c>
      <c r="G127" s="52" t="str">
        <f>IF(NOT(ISERROR(MATCH(D127,'Tannbleking - Oppsalg US'!D:D, 0))), "Ja", "")</f>
        <v/>
      </c>
      <c r="H127" s="37" t="s">
        <v>676</v>
      </c>
      <c r="I127" s="37" t="s">
        <v>107</v>
      </c>
      <c r="J127" s="40" t="s">
        <v>1057</v>
      </c>
      <c r="K127" s="41"/>
      <c r="L127" s="42" t="s">
        <v>128</v>
      </c>
      <c r="M127" s="43" t="s">
        <v>1004</v>
      </c>
      <c r="N127" s="44">
        <v>6.858510223937E12</v>
      </c>
      <c r="O127" s="53" t="str">
        <f t="shared" si="1"/>
        <v>16/11/2025</v>
      </c>
      <c r="P127" s="46">
        <f t="shared" si="2"/>
        <v>1763317080</v>
      </c>
      <c r="Q127" s="47"/>
      <c r="R127" s="48"/>
      <c r="S127" s="46"/>
      <c r="T127" s="49" t="s">
        <v>1058</v>
      </c>
      <c r="U127" s="49" t="s">
        <v>1059</v>
      </c>
      <c r="V127" s="49" t="s">
        <v>1060</v>
      </c>
      <c r="W127" s="46"/>
      <c r="X127" s="49" t="s">
        <v>132</v>
      </c>
      <c r="Y127" s="50" t="s">
        <v>133</v>
      </c>
      <c r="Z127" s="50" t="s">
        <v>134</v>
      </c>
      <c r="AA127" s="46"/>
      <c r="AB127" s="26"/>
      <c r="AC127" s="51" t="s">
        <v>135</v>
      </c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</row>
    <row r="128">
      <c r="A128" s="35">
        <v>45977.0</v>
      </c>
      <c r="B128" s="36" t="s">
        <v>1061</v>
      </c>
      <c r="C128" s="37" t="s">
        <v>1062</v>
      </c>
      <c r="D128" s="37" t="s">
        <v>1063</v>
      </c>
      <c r="E128" s="54">
        <v>4740995601</v>
      </c>
      <c r="F128" s="39" t="s">
        <v>1064</v>
      </c>
      <c r="G128" s="52" t="str">
        <f>IF(NOT(ISERROR(MATCH(D128,'Tannbleking - Oppsalg US'!D:D, 0))), "Ja", "")</f>
        <v/>
      </c>
      <c r="H128" s="37" t="s">
        <v>50</v>
      </c>
      <c r="I128" s="37" t="s">
        <v>107</v>
      </c>
      <c r="J128" s="40"/>
      <c r="K128" s="41"/>
      <c r="L128" s="42" t="s">
        <v>128</v>
      </c>
      <c r="M128" s="43" t="s">
        <v>947</v>
      </c>
      <c r="N128" s="44">
        <v>6.858495226337E12</v>
      </c>
      <c r="O128" s="53" t="str">
        <f t="shared" si="1"/>
        <v>16/11/2025</v>
      </c>
      <c r="P128" s="46">
        <f t="shared" si="2"/>
        <v>1763317320</v>
      </c>
      <c r="Q128" s="47"/>
      <c r="R128" s="48"/>
      <c r="S128" s="46"/>
      <c r="T128" s="49" t="s">
        <v>1065</v>
      </c>
      <c r="U128" s="49" t="s">
        <v>1066</v>
      </c>
      <c r="V128" s="49" t="s">
        <v>1067</v>
      </c>
      <c r="W128" s="46"/>
      <c r="X128" s="49" t="s">
        <v>132</v>
      </c>
      <c r="Y128" s="50" t="s">
        <v>133</v>
      </c>
      <c r="Z128" s="50" t="s">
        <v>134</v>
      </c>
      <c r="AA128" s="46"/>
      <c r="AB128" s="26"/>
      <c r="AC128" s="51" t="s">
        <v>135</v>
      </c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</row>
    <row r="129">
      <c r="A129" s="35">
        <v>45978.0</v>
      </c>
      <c r="B129" s="36" t="s">
        <v>1068</v>
      </c>
      <c r="C129" s="37" t="s">
        <v>1069</v>
      </c>
      <c r="D129" s="37" t="s">
        <v>1070</v>
      </c>
      <c r="E129" s="54">
        <v>4746639092</v>
      </c>
      <c r="F129" s="39" t="s">
        <v>1071</v>
      </c>
      <c r="G129" s="52" t="str">
        <f>IF(NOT(ISERROR(MATCH(D129,'Tannbleking - Oppsalg US'!D:D, 0))), "Ja", "")</f>
        <v/>
      </c>
      <c r="H129" s="37" t="s">
        <v>50</v>
      </c>
      <c r="I129" s="37" t="s">
        <v>44</v>
      </c>
      <c r="J129" s="40"/>
      <c r="K129" s="41"/>
      <c r="L129" s="42" t="s">
        <v>128</v>
      </c>
      <c r="M129" s="43" t="s">
        <v>947</v>
      </c>
      <c r="N129" s="44">
        <v>6.858495226337E12</v>
      </c>
      <c r="O129" s="53" t="str">
        <f t="shared" si="1"/>
        <v>17/11/2025</v>
      </c>
      <c r="P129" s="46">
        <f t="shared" si="2"/>
        <v>1763357220</v>
      </c>
      <c r="Q129" s="47"/>
      <c r="R129" s="48"/>
      <c r="S129" s="46"/>
      <c r="T129" s="49" t="s">
        <v>1072</v>
      </c>
      <c r="U129" s="49" t="s">
        <v>1073</v>
      </c>
      <c r="V129" s="49" t="s">
        <v>1074</v>
      </c>
      <c r="W129" s="46"/>
      <c r="X129" s="49" t="s">
        <v>132</v>
      </c>
      <c r="Y129" s="50" t="s">
        <v>133</v>
      </c>
      <c r="Z129" s="50" t="s">
        <v>134</v>
      </c>
      <c r="AA129" s="46"/>
      <c r="AB129" s="26"/>
      <c r="AC129" s="51" t="s">
        <v>151</v>
      </c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</row>
    <row r="130">
      <c r="A130" s="35">
        <v>45978.0</v>
      </c>
      <c r="B130" s="36" t="s">
        <v>1075</v>
      </c>
      <c r="C130" s="37" t="s">
        <v>1076</v>
      </c>
      <c r="D130" s="37" t="s">
        <v>1077</v>
      </c>
      <c r="E130" s="54">
        <v>4791826652</v>
      </c>
      <c r="F130" s="39" t="s">
        <v>1078</v>
      </c>
      <c r="G130" s="52" t="str">
        <f>IF(NOT(ISERROR(MATCH(D130,'Tannbleking - Oppsalg US'!D:D, 0))), "Ja", "")</f>
        <v/>
      </c>
      <c r="H130" s="37" t="s">
        <v>50</v>
      </c>
      <c r="I130" s="37" t="s">
        <v>107</v>
      </c>
      <c r="J130" s="40"/>
      <c r="K130" s="41"/>
      <c r="L130" s="42" t="s">
        <v>128</v>
      </c>
      <c r="M130" s="43" t="s">
        <v>1012</v>
      </c>
      <c r="N130" s="44">
        <v>6.858495224937E12</v>
      </c>
      <c r="O130" s="53" t="str">
        <f t="shared" si="1"/>
        <v>17/11/2025</v>
      </c>
      <c r="P130" s="46">
        <f t="shared" si="2"/>
        <v>1763403180</v>
      </c>
      <c r="Q130" s="47"/>
      <c r="R130" s="48"/>
      <c r="S130" s="46"/>
      <c r="T130" s="49" t="s">
        <v>1079</v>
      </c>
      <c r="U130" s="49" t="s">
        <v>1080</v>
      </c>
      <c r="V130" s="49" t="s">
        <v>1081</v>
      </c>
      <c r="W130" s="46"/>
      <c r="X130" s="49" t="s">
        <v>132</v>
      </c>
      <c r="Y130" s="50" t="s">
        <v>133</v>
      </c>
      <c r="Z130" s="50" t="s">
        <v>134</v>
      </c>
      <c r="AA130" s="46"/>
      <c r="AB130" s="26"/>
      <c r="AC130" s="51" t="s">
        <v>144</v>
      </c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</row>
    <row r="131">
      <c r="A131" s="35">
        <v>45979.0</v>
      </c>
      <c r="B131" s="36" t="s">
        <v>1082</v>
      </c>
      <c r="C131" s="37" t="s">
        <v>1083</v>
      </c>
      <c r="D131" s="37" t="s">
        <v>1084</v>
      </c>
      <c r="E131" s="54">
        <v>4748505531</v>
      </c>
      <c r="F131" s="39" t="s">
        <v>1085</v>
      </c>
      <c r="G131" s="52" t="str">
        <f>IF(NOT(ISERROR(MATCH(D131,'Tannbleking - Oppsalg US'!D:D, 0))), "Ja", "")</f>
        <v/>
      </c>
      <c r="H131" s="37" t="s">
        <v>50</v>
      </c>
      <c r="I131" s="37" t="s">
        <v>44</v>
      </c>
      <c r="J131" s="40"/>
      <c r="K131" s="41"/>
      <c r="L131" s="42" t="s">
        <v>128</v>
      </c>
      <c r="M131" s="43" t="s">
        <v>1012</v>
      </c>
      <c r="N131" s="44">
        <v>6.858495224937E12</v>
      </c>
      <c r="O131" s="53" t="str">
        <f t="shared" si="1"/>
        <v>18/11/2025</v>
      </c>
      <c r="P131" s="46">
        <f t="shared" si="2"/>
        <v>1763446260</v>
      </c>
      <c r="Q131" s="47"/>
      <c r="R131" s="48"/>
      <c r="S131" s="46"/>
      <c r="T131" s="49" t="s">
        <v>1086</v>
      </c>
      <c r="U131" s="49" t="s">
        <v>1087</v>
      </c>
      <c r="V131" s="49" t="s">
        <v>1088</v>
      </c>
      <c r="W131" s="46"/>
      <c r="X131" s="49" t="s">
        <v>132</v>
      </c>
      <c r="Y131" s="50" t="s">
        <v>133</v>
      </c>
      <c r="Z131" s="50" t="s">
        <v>134</v>
      </c>
      <c r="AA131" s="46"/>
      <c r="AB131" s="26"/>
      <c r="AC131" s="51" t="s">
        <v>135</v>
      </c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</row>
    <row r="132">
      <c r="A132" s="35">
        <v>45979.0</v>
      </c>
      <c r="B132" s="36" t="s">
        <v>1089</v>
      </c>
      <c r="C132" s="37" t="s">
        <v>1090</v>
      </c>
      <c r="D132" s="37" t="s">
        <v>1091</v>
      </c>
      <c r="E132" s="54">
        <v>4794494780</v>
      </c>
      <c r="F132" s="39" t="s">
        <v>1092</v>
      </c>
      <c r="G132" s="52" t="str">
        <f>IF(NOT(ISERROR(MATCH(D132,'Tannbleking - Oppsalg US'!D:D, 0))), "Ja", "")</f>
        <v/>
      </c>
      <c r="H132" s="37" t="s">
        <v>50</v>
      </c>
      <c r="I132" s="37" t="s">
        <v>44</v>
      </c>
      <c r="J132" s="40"/>
      <c r="K132" s="41"/>
      <c r="L132" s="42" t="s">
        <v>128</v>
      </c>
      <c r="M132" s="43" t="s">
        <v>1093</v>
      </c>
      <c r="N132" s="44">
        <v>6.858495225137E12</v>
      </c>
      <c r="O132" s="53" t="str">
        <f t="shared" si="1"/>
        <v>18/11/2025</v>
      </c>
      <c r="P132" s="46">
        <f t="shared" si="2"/>
        <v>1763452140</v>
      </c>
      <c r="Q132" s="47"/>
      <c r="R132" s="48"/>
      <c r="S132" s="46"/>
      <c r="T132" s="49" t="s">
        <v>1094</v>
      </c>
      <c r="U132" s="49" t="s">
        <v>1095</v>
      </c>
      <c r="V132" s="49" t="s">
        <v>1096</v>
      </c>
      <c r="W132" s="46"/>
      <c r="X132" s="49" t="s">
        <v>132</v>
      </c>
      <c r="Y132" s="50" t="s">
        <v>133</v>
      </c>
      <c r="Z132" s="50" t="s">
        <v>134</v>
      </c>
      <c r="AA132" s="46"/>
      <c r="AB132" s="26"/>
      <c r="AC132" s="51" t="s">
        <v>144</v>
      </c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</row>
    <row r="133">
      <c r="A133" s="35">
        <v>45980.0</v>
      </c>
      <c r="B133" s="36" t="s">
        <v>1097</v>
      </c>
      <c r="C133" s="37" t="s">
        <v>1098</v>
      </c>
      <c r="D133" s="37" t="s">
        <v>1099</v>
      </c>
      <c r="E133" s="54">
        <v>4796990735</v>
      </c>
      <c r="F133" s="39" t="s">
        <v>1100</v>
      </c>
      <c r="G133" s="52" t="str">
        <f>IF(NOT(ISERROR(MATCH(D133,'Tannbleking - Oppsalg US'!D:D, 0))), "Ja", "")</f>
        <v/>
      </c>
      <c r="H133" s="37" t="s">
        <v>90</v>
      </c>
      <c r="I133" s="37" t="s">
        <v>72</v>
      </c>
      <c r="J133" s="40" t="s">
        <v>1101</v>
      </c>
      <c r="K133" s="41"/>
      <c r="L133" s="42" t="s">
        <v>128</v>
      </c>
      <c r="M133" s="43" t="s">
        <v>1012</v>
      </c>
      <c r="N133" s="44">
        <v>6.858495224937E12</v>
      </c>
      <c r="O133" s="53" t="str">
        <f t="shared" si="1"/>
        <v>19/11/2025</v>
      </c>
      <c r="P133" s="46">
        <f t="shared" si="2"/>
        <v>1763524080</v>
      </c>
      <c r="Q133" s="47"/>
      <c r="R133" s="48"/>
      <c r="S133" s="46"/>
      <c r="T133" s="49" t="s">
        <v>1102</v>
      </c>
      <c r="U133" s="49" t="s">
        <v>1103</v>
      </c>
      <c r="V133" s="49" t="s">
        <v>1104</v>
      </c>
      <c r="W133" s="46"/>
      <c r="X133" s="49" t="s">
        <v>132</v>
      </c>
      <c r="Y133" s="50" t="s">
        <v>133</v>
      </c>
      <c r="Z133" s="50" t="s">
        <v>134</v>
      </c>
      <c r="AA133" s="46"/>
      <c r="AB133" s="26"/>
      <c r="AC133" s="51" t="s">
        <v>144</v>
      </c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</row>
    <row r="134">
      <c r="A134" s="35">
        <v>45980.0</v>
      </c>
      <c r="B134" s="36" t="s">
        <v>1105</v>
      </c>
      <c r="C134" s="37" t="s">
        <v>1106</v>
      </c>
      <c r="D134" s="37" t="s">
        <v>1107</v>
      </c>
      <c r="E134" s="54">
        <v>4799568120</v>
      </c>
      <c r="F134" s="39" t="s">
        <v>1108</v>
      </c>
      <c r="G134" s="52" t="str">
        <f>IF(NOT(ISERROR(MATCH(D134,'Tannbleking - Oppsalg US'!D:D, 0))), "Ja", "")</f>
        <v/>
      </c>
      <c r="H134" s="37" t="s">
        <v>50</v>
      </c>
      <c r="I134" s="37" t="s">
        <v>44</v>
      </c>
      <c r="J134" s="40"/>
      <c r="K134" s="41"/>
      <c r="L134" s="42" t="s">
        <v>128</v>
      </c>
      <c r="M134" s="43" t="s">
        <v>1012</v>
      </c>
      <c r="N134" s="44">
        <v>6.858495224937E12</v>
      </c>
      <c r="O134" s="53" t="str">
        <f t="shared" si="1"/>
        <v>19/11/2025</v>
      </c>
      <c r="P134" s="46">
        <f t="shared" si="2"/>
        <v>1763572320</v>
      </c>
      <c r="Q134" s="47"/>
      <c r="R134" s="48"/>
      <c r="S134" s="46"/>
      <c r="T134" s="49" t="s">
        <v>1109</v>
      </c>
      <c r="U134" s="49" t="s">
        <v>1110</v>
      </c>
      <c r="V134" s="49" t="s">
        <v>1111</v>
      </c>
      <c r="W134" s="46"/>
      <c r="X134" s="49" t="s">
        <v>132</v>
      </c>
      <c r="Y134" s="50" t="s">
        <v>133</v>
      </c>
      <c r="Z134" s="50" t="s">
        <v>134</v>
      </c>
      <c r="AA134" s="46"/>
      <c r="AB134" s="26"/>
      <c r="AC134" s="51" t="s">
        <v>135</v>
      </c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</row>
    <row r="135">
      <c r="A135" s="35">
        <v>45980.0</v>
      </c>
      <c r="B135" s="36" t="s">
        <v>1112</v>
      </c>
      <c r="C135" s="37" t="s">
        <v>1113</v>
      </c>
      <c r="D135" s="37" t="s">
        <v>1114</v>
      </c>
      <c r="E135" s="54">
        <v>4796991269</v>
      </c>
      <c r="F135" s="39" t="s">
        <v>1115</v>
      </c>
      <c r="G135" s="52" t="str">
        <f>IF(NOT(ISERROR(MATCH(D135,'Tannbleking - Oppsalg US'!D:D, 0))), "Ja", "")</f>
        <v/>
      </c>
      <c r="H135" s="37" t="s">
        <v>43</v>
      </c>
      <c r="I135" s="37" t="s">
        <v>72</v>
      </c>
      <c r="J135" s="40"/>
      <c r="K135" s="41"/>
      <c r="L135" s="42" t="s">
        <v>128</v>
      </c>
      <c r="M135" s="43" t="s">
        <v>1012</v>
      </c>
      <c r="N135" s="44">
        <v>6.858495224937E12</v>
      </c>
      <c r="O135" s="53" t="str">
        <f t="shared" si="1"/>
        <v>19/11/2025</v>
      </c>
      <c r="P135" s="46">
        <f t="shared" si="2"/>
        <v>1763581620</v>
      </c>
      <c r="Q135" s="47"/>
      <c r="R135" s="48"/>
      <c r="S135" s="46"/>
      <c r="T135" s="49" t="s">
        <v>1116</v>
      </c>
      <c r="U135" s="49" t="s">
        <v>1117</v>
      </c>
      <c r="V135" s="49" t="s">
        <v>1118</v>
      </c>
      <c r="W135" s="46"/>
      <c r="X135" s="49" t="s">
        <v>132</v>
      </c>
      <c r="Y135" s="50" t="s">
        <v>133</v>
      </c>
      <c r="Z135" s="50" t="s">
        <v>134</v>
      </c>
      <c r="AA135" s="46"/>
      <c r="AB135" s="26"/>
      <c r="AC135" s="51" t="s">
        <v>135</v>
      </c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</row>
    <row r="136">
      <c r="A136" s="35">
        <v>45981.0</v>
      </c>
      <c r="B136" s="36" t="s">
        <v>1119</v>
      </c>
      <c r="C136" s="37" t="s">
        <v>1120</v>
      </c>
      <c r="D136" s="37" t="s">
        <v>1121</v>
      </c>
      <c r="E136" s="54">
        <v>4797106461</v>
      </c>
      <c r="F136" s="39" t="s">
        <v>1122</v>
      </c>
      <c r="G136" s="52" t="str">
        <f>IF(NOT(ISERROR(MATCH(D136,'Tannbleking - Oppsalg US'!D:D, 0))), "Ja", "")</f>
        <v/>
      </c>
      <c r="H136" s="37" t="s">
        <v>50</v>
      </c>
      <c r="I136" s="37" t="s">
        <v>44</v>
      </c>
      <c r="J136" s="40"/>
      <c r="K136" s="41"/>
      <c r="L136" s="42" t="s">
        <v>128</v>
      </c>
      <c r="M136" s="43" t="s">
        <v>1004</v>
      </c>
      <c r="N136" s="44">
        <v>6.858510223937E12</v>
      </c>
      <c r="O136" s="53" t="str">
        <f t="shared" si="1"/>
        <v>20/11/2025</v>
      </c>
      <c r="P136" s="46">
        <f t="shared" si="2"/>
        <v>1763619120</v>
      </c>
      <c r="Q136" s="47"/>
      <c r="R136" s="48"/>
      <c r="S136" s="46"/>
      <c r="T136" s="49" t="s">
        <v>1123</v>
      </c>
      <c r="U136" s="49" t="s">
        <v>1124</v>
      </c>
      <c r="V136" s="49" t="s">
        <v>1125</v>
      </c>
      <c r="W136" s="46"/>
      <c r="X136" s="49" t="s">
        <v>132</v>
      </c>
      <c r="Y136" s="50" t="s">
        <v>133</v>
      </c>
      <c r="Z136" s="50" t="s">
        <v>134</v>
      </c>
      <c r="AA136" s="46"/>
      <c r="AB136" s="26"/>
      <c r="AC136" s="51" t="s">
        <v>1126</v>
      </c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</row>
    <row r="137">
      <c r="A137" s="35">
        <v>45981.0</v>
      </c>
      <c r="B137" s="36" t="s">
        <v>1127</v>
      </c>
      <c r="C137" s="37" t="s">
        <v>1128</v>
      </c>
      <c r="D137" s="37" t="s">
        <v>1129</v>
      </c>
      <c r="E137" s="54">
        <v>4745922384</v>
      </c>
      <c r="F137" s="39" t="s">
        <v>1130</v>
      </c>
      <c r="G137" s="52" t="str">
        <f>IF(NOT(ISERROR(MATCH(D137,'Tannbleking - Oppsalg US'!D:D, 0))), "Ja", "")</f>
        <v/>
      </c>
      <c r="H137" s="37" t="s">
        <v>50</v>
      </c>
      <c r="I137" s="37" t="s">
        <v>107</v>
      </c>
      <c r="J137" s="40"/>
      <c r="K137" s="41"/>
      <c r="L137" s="42" t="s">
        <v>128</v>
      </c>
      <c r="M137" s="43" t="s">
        <v>925</v>
      </c>
      <c r="N137" s="44">
        <v>6.858495226137E12</v>
      </c>
      <c r="O137" s="53" t="str">
        <f t="shared" si="1"/>
        <v>20/11/2025</v>
      </c>
      <c r="P137" s="46">
        <f t="shared" si="2"/>
        <v>1763629080</v>
      </c>
      <c r="Q137" s="47"/>
      <c r="R137" s="48"/>
      <c r="S137" s="46"/>
      <c r="T137" s="49" t="s">
        <v>1131</v>
      </c>
      <c r="U137" s="49" t="s">
        <v>1132</v>
      </c>
      <c r="V137" s="49" t="s">
        <v>1133</v>
      </c>
      <c r="W137" s="46"/>
      <c r="X137" s="49" t="s">
        <v>132</v>
      </c>
      <c r="Y137" s="50" t="s">
        <v>133</v>
      </c>
      <c r="Z137" s="50" t="s">
        <v>134</v>
      </c>
      <c r="AA137" s="46"/>
      <c r="AB137" s="26"/>
      <c r="AC137" s="51" t="s">
        <v>135</v>
      </c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</row>
    <row r="138">
      <c r="A138" s="35">
        <v>45981.0</v>
      </c>
      <c r="B138" s="36" t="s">
        <v>1134</v>
      </c>
      <c r="C138" s="37" t="s">
        <v>1135</v>
      </c>
      <c r="D138" s="37" t="s">
        <v>1136</v>
      </c>
      <c r="E138" s="54">
        <v>4795774570</v>
      </c>
      <c r="F138" s="39" t="s">
        <v>780</v>
      </c>
      <c r="G138" s="52" t="str">
        <f>IF(NOT(ISERROR(MATCH(D138,'Tannbleking - Oppsalg US'!D:D, 0))), "Ja", "")</f>
        <v/>
      </c>
      <c r="H138" s="37" t="s">
        <v>50</v>
      </c>
      <c r="I138" s="37" t="s">
        <v>107</v>
      </c>
      <c r="J138" s="40"/>
      <c r="K138" s="41"/>
      <c r="L138" s="42" t="s">
        <v>128</v>
      </c>
      <c r="M138" s="43" t="s">
        <v>947</v>
      </c>
      <c r="N138" s="44">
        <v>6.858495226337E12</v>
      </c>
      <c r="O138" s="53" t="str">
        <f t="shared" si="1"/>
        <v>20/11/2025</v>
      </c>
      <c r="P138" s="46">
        <f t="shared" si="2"/>
        <v>1763629680</v>
      </c>
      <c r="Q138" s="47"/>
      <c r="R138" s="48"/>
      <c r="S138" s="46"/>
      <c r="T138" s="49" t="s">
        <v>1137</v>
      </c>
      <c r="U138" s="49" t="s">
        <v>1138</v>
      </c>
      <c r="V138" s="49" t="s">
        <v>1139</v>
      </c>
      <c r="W138" s="46"/>
      <c r="X138" s="49" t="s">
        <v>132</v>
      </c>
      <c r="Y138" s="50" t="s">
        <v>133</v>
      </c>
      <c r="Z138" s="50" t="s">
        <v>134</v>
      </c>
      <c r="AA138" s="46"/>
      <c r="AB138" s="26"/>
      <c r="AC138" s="51" t="s">
        <v>135</v>
      </c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</row>
    <row r="139">
      <c r="A139" s="35">
        <v>45981.0</v>
      </c>
      <c r="B139" s="36" t="s">
        <v>1140</v>
      </c>
      <c r="C139" s="37" t="s">
        <v>1141</v>
      </c>
      <c r="D139" s="37" t="s">
        <v>1142</v>
      </c>
      <c r="E139" s="54">
        <v>4799884564</v>
      </c>
      <c r="F139" s="39" t="s">
        <v>1143</v>
      </c>
      <c r="G139" s="52" t="str">
        <f>IF(NOT(ISERROR(MATCH(D139,'Tannbleking - Oppsalg US'!D:D, 0))), "Ja", "")</f>
        <v/>
      </c>
      <c r="H139" s="37" t="s">
        <v>50</v>
      </c>
      <c r="I139" s="37" t="s">
        <v>44</v>
      </c>
      <c r="J139" s="40"/>
      <c r="K139" s="41"/>
      <c r="L139" s="42" t="s">
        <v>128</v>
      </c>
      <c r="M139" s="43" t="s">
        <v>1012</v>
      </c>
      <c r="N139" s="44">
        <v>6.858495224937E12</v>
      </c>
      <c r="O139" s="53" t="str">
        <f t="shared" si="1"/>
        <v>20/11/2025</v>
      </c>
      <c r="P139" s="46">
        <f t="shared" si="2"/>
        <v>1763635380</v>
      </c>
      <c r="Q139" s="47"/>
      <c r="R139" s="48"/>
      <c r="S139" s="46"/>
      <c r="T139" s="49" t="s">
        <v>1144</v>
      </c>
      <c r="U139" s="49" t="s">
        <v>1145</v>
      </c>
      <c r="V139" s="49" t="s">
        <v>1146</v>
      </c>
      <c r="W139" s="46"/>
      <c r="X139" s="49" t="s">
        <v>132</v>
      </c>
      <c r="Y139" s="50" t="s">
        <v>133</v>
      </c>
      <c r="Z139" s="50" t="s">
        <v>134</v>
      </c>
      <c r="AA139" s="46"/>
      <c r="AB139" s="26"/>
      <c r="AC139" s="51" t="s">
        <v>144</v>
      </c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</row>
    <row r="140">
      <c r="A140" s="35">
        <v>45982.0</v>
      </c>
      <c r="B140" s="36" t="s">
        <v>1147</v>
      </c>
      <c r="C140" s="37" t="s">
        <v>1148</v>
      </c>
      <c r="D140" s="37" t="s">
        <v>1149</v>
      </c>
      <c r="E140" s="54">
        <v>4748467019</v>
      </c>
      <c r="F140" s="39" t="s">
        <v>1150</v>
      </c>
      <c r="G140" s="52" t="str">
        <f>IF(NOT(ISERROR(MATCH(D140,'Tannbleking - Oppsalg US'!D:D, 0))), "Ja", "")</f>
        <v/>
      </c>
      <c r="H140" s="37" t="s">
        <v>50</v>
      </c>
      <c r="I140" s="37" t="s">
        <v>44</v>
      </c>
      <c r="J140" s="40"/>
      <c r="K140" s="41"/>
      <c r="L140" s="42" t="s">
        <v>128</v>
      </c>
      <c r="M140" s="43" t="s">
        <v>1004</v>
      </c>
      <c r="N140" s="44">
        <v>6.858510223937E12</v>
      </c>
      <c r="O140" s="53" t="str">
        <f t="shared" si="1"/>
        <v>21/11/2025</v>
      </c>
      <c r="P140" s="46">
        <f t="shared" si="2"/>
        <v>1763693520</v>
      </c>
      <c r="Q140" s="47"/>
      <c r="R140" s="48"/>
      <c r="S140" s="46"/>
      <c r="T140" s="49" t="s">
        <v>1151</v>
      </c>
      <c r="U140" s="49" t="s">
        <v>1152</v>
      </c>
      <c r="V140" s="49" t="s">
        <v>1153</v>
      </c>
      <c r="W140" s="46"/>
      <c r="X140" s="49" t="s">
        <v>132</v>
      </c>
      <c r="Y140" s="50" t="s">
        <v>133</v>
      </c>
      <c r="Z140" s="50" t="s">
        <v>134</v>
      </c>
      <c r="AA140" s="46"/>
      <c r="AB140" s="26"/>
      <c r="AC140" s="51" t="s">
        <v>135</v>
      </c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</row>
    <row r="141">
      <c r="A141" s="35">
        <v>45982.0</v>
      </c>
      <c r="B141" s="36" t="s">
        <v>756</v>
      </c>
      <c r="C141" s="37" t="s">
        <v>1154</v>
      </c>
      <c r="D141" s="37" t="s">
        <v>1155</v>
      </c>
      <c r="E141" s="54">
        <v>4741246746</v>
      </c>
      <c r="F141" s="39" t="s">
        <v>1156</v>
      </c>
      <c r="G141" s="52" t="str">
        <f>IF(NOT(ISERROR(MATCH(D141,'Tannbleking - Oppsalg US'!D:D, 0))), "Ja", "")</f>
        <v/>
      </c>
      <c r="H141" s="37" t="s">
        <v>50</v>
      </c>
      <c r="I141" s="37" t="s">
        <v>107</v>
      </c>
      <c r="J141" s="40"/>
      <c r="K141" s="41"/>
      <c r="L141" s="42" t="s">
        <v>128</v>
      </c>
      <c r="M141" s="43" t="s">
        <v>1012</v>
      </c>
      <c r="N141" s="44">
        <v>6.858495224937E12</v>
      </c>
      <c r="O141" s="53" t="str">
        <f t="shared" si="1"/>
        <v>21/11/2025</v>
      </c>
      <c r="P141" s="46">
        <f t="shared" si="2"/>
        <v>1763714040</v>
      </c>
      <c r="Q141" s="47"/>
      <c r="R141" s="48"/>
      <c r="S141" s="46"/>
      <c r="T141" s="49" t="s">
        <v>1157</v>
      </c>
      <c r="U141" s="49" t="s">
        <v>1158</v>
      </c>
      <c r="V141" s="49" t="s">
        <v>1159</v>
      </c>
      <c r="W141" s="46"/>
      <c r="X141" s="49" t="s">
        <v>132</v>
      </c>
      <c r="Y141" s="50" t="s">
        <v>133</v>
      </c>
      <c r="Z141" s="50" t="s">
        <v>134</v>
      </c>
      <c r="AA141" s="46"/>
      <c r="AB141" s="26"/>
      <c r="AC141" s="51" t="s">
        <v>144</v>
      </c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</row>
    <row r="142">
      <c r="A142" s="35">
        <v>45982.0</v>
      </c>
      <c r="B142" s="36" t="s">
        <v>763</v>
      </c>
      <c r="C142" s="37" t="s">
        <v>1160</v>
      </c>
      <c r="D142" s="37" t="s">
        <v>1161</v>
      </c>
      <c r="E142" s="54">
        <v>4794085948</v>
      </c>
      <c r="F142" s="39" t="s">
        <v>1162</v>
      </c>
      <c r="G142" s="52" t="str">
        <f>IF(NOT(ISERROR(MATCH(D142,'Tannbleking - Oppsalg US'!D:D, 0))), "Ja", "")</f>
        <v/>
      </c>
      <c r="H142" s="37" t="s">
        <v>50</v>
      </c>
      <c r="I142" s="37" t="s">
        <v>44</v>
      </c>
      <c r="J142" s="40"/>
      <c r="K142" s="41"/>
      <c r="L142" s="42" t="s">
        <v>128</v>
      </c>
      <c r="M142" s="43" t="s">
        <v>1163</v>
      </c>
      <c r="N142" s="44">
        <v>6.858510223737E12</v>
      </c>
      <c r="O142" s="53" t="str">
        <f t="shared" si="1"/>
        <v>21/11/2025</v>
      </c>
      <c r="P142" s="46">
        <f t="shared" si="2"/>
        <v>1763715120</v>
      </c>
      <c r="Q142" s="47"/>
      <c r="R142" s="48"/>
      <c r="S142" s="46"/>
      <c r="T142" s="49" t="s">
        <v>1164</v>
      </c>
      <c r="U142" s="49" t="s">
        <v>1165</v>
      </c>
      <c r="V142" s="49" t="s">
        <v>1166</v>
      </c>
      <c r="W142" s="46"/>
      <c r="X142" s="49" t="s">
        <v>132</v>
      </c>
      <c r="Y142" s="50" t="s">
        <v>133</v>
      </c>
      <c r="Z142" s="50" t="s">
        <v>134</v>
      </c>
      <c r="AA142" s="46"/>
      <c r="AB142" s="26"/>
      <c r="AC142" s="51" t="s">
        <v>135</v>
      </c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</row>
    <row r="143">
      <c r="A143" s="35">
        <v>45982.0</v>
      </c>
      <c r="B143" s="36" t="s">
        <v>1167</v>
      </c>
      <c r="C143" s="37" t="s">
        <v>1168</v>
      </c>
      <c r="D143" s="37" t="s">
        <v>1169</v>
      </c>
      <c r="E143" s="54">
        <v>4797129636</v>
      </c>
      <c r="F143" s="39" t="s">
        <v>1170</v>
      </c>
      <c r="G143" s="52" t="str">
        <f>IF(NOT(ISERROR(MATCH(D143,'Tannbleking - Oppsalg US'!D:D, 0))), "Ja", "")</f>
        <v/>
      </c>
      <c r="H143" s="37" t="s">
        <v>50</v>
      </c>
      <c r="I143" s="37" t="s">
        <v>44</v>
      </c>
      <c r="J143" s="40"/>
      <c r="K143" s="41"/>
      <c r="L143" s="42" t="s">
        <v>128</v>
      </c>
      <c r="M143" s="43" t="s">
        <v>925</v>
      </c>
      <c r="N143" s="44">
        <v>6.858495226137E12</v>
      </c>
      <c r="O143" s="53" t="str">
        <f t="shared" si="1"/>
        <v>21/11/2025</v>
      </c>
      <c r="P143" s="46">
        <f t="shared" si="2"/>
        <v>1763731380</v>
      </c>
      <c r="Q143" s="47"/>
      <c r="R143" s="48"/>
      <c r="S143" s="46"/>
      <c r="T143" s="49" t="s">
        <v>1171</v>
      </c>
      <c r="U143" s="49" t="s">
        <v>1172</v>
      </c>
      <c r="V143" s="49" t="s">
        <v>1173</v>
      </c>
      <c r="W143" s="46"/>
      <c r="X143" s="49" t="s">
        <v>132</v>
      </c>
      <c r="Y143" s="50" t="s">
        <v>133</v>
      </c>
      <c r="Z143" s="50" t="s">
        <v>134</v>
      </c>
      <c r="AA143" s="46"/>
      <c r="AB143" s="26"/>
      <c r="AC143" s="51" t="s">
        <v>135</v>
      </c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</row>
    <row r="144">
      <c r="A144" s="35">
        <v>45982.0</v>
      </c>
      <c r="B144" s="36" t="s">
        <v>1174</v>
      </c>
      <c r="C144" s="37" t="s">
        <v>1175</v>
      </c>
      <c r="D144" s="37" t="s">
        <v>1176</v>
      </c>
      <c r="E144" s="54">
        <v>4793887649</v>
      </c>
      <c r="F144" s="39" t="s">
        <v>1156</v>
      </c>
      <c r="G144" s="52" t="str">
        <f>IF(NOT(ISERROR(MATCH(D144,'Tannbleking - Oppsalg US'!D:D, 0))), "Ja", "")</f>
        <v/>
      </c>
      <c r="H144" s="37" t="s">
        <v>50</v>
      </c>
      <c r="I144" s="37" t="s">
        <v>107</v>
      </c>
      <c r="J144" s="40"/>
      <c r="K144" s="41"/>
      <c r="L144" s="42" t="s">
        <v>128</v>
      </c>
      <c r="M144" s="43" t="s">
        <v>925</v>
      </c>
      <c r="N144" s="44">
        <v>6.858495226137E12</v>
      </c>
      <c r="O144" s="53" t="str">
        <f t="shared" si="1"/>
        <v>21/11/2025</v>
      </c>
      <c r="P144" s="46">
        <f t="shared" si="2"/>
        <v>1763743980</v>
      </c>
      <c r="Q144" s="47"/>
      <c r="R144" s="48"/>
      <c r="S144" s="46"/>
      <c r="T144" s="49" t="s">
        <v>1177</v>
      </c>
      <c r="U144" s="49" t="s">
        <v>1178</v>
      </c>
      <c r="V144" s="49" t="s">
        <v>1179</v>
      </c>
      <c r="W144" s="46"/>
      <c r="X144" s="49" t="s">
        <v>132</v>
      </c>
      <c r="Y144" s="50" t="s">
        <v>133</v>
      </c>
      <c r="Z144" s="50" t="s">
        <v>134</v>
      </c>
      <c r="AA144" s="46"/>
      <c r="AB144" s="26"/>
      <c r="AC144" s="51" t="s">
        <v>135</v>
      </c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</row>
    <row r="145">
      <c r="A145" s="35">
        <v>45984.0</v>
      </c>
      <c r="B145" s="36" t="s">
        <v>1180</v>
      </c>
      <c r="C145" s="37" t="s">
        <v>1181</v>
      </c>
      <c r="D145" s="37" t="s">
        <v>1182</v>
      </c>
      <c r="E145" s="54">
        <v>4746959367</v>
      </c>
      <c r="F145" s="39" t="s">
        <v>1183</v>
      </c>
      <c r="G145" s="52" t="str">
        <f>IF(NOT(ISERROR(MATCH(D145,'Tannbleking - Oppsalg US'!D:D, 0))), "Ja", "")</f>
        <v/>
      </c>
      <c r="H145" s="37" t="s">
        <v>43</v>
      </c>
      <c r="I145" s="37" t="s">
        <v>140</v>
      </c>
      <c r="J145" s="40" t="s">
        <v>1184</v>
      </c>
      <c r="K145" s="41"/>
      <c r="L145" s="42" t="s">
        <v>128</v>
      </c>
      <c r="M145" s="43" t="s">
        <v>1012</v>
      </c>
      <c r="N145" s="44">
        <v>6.858495224937E12</v>
      </c>
      <c r="O145" s="53" t="str">
        <f t="shared" si="1"/>
        <v>23/11/2025</v>
      </c>
      <c r="P145" s="46">
        <f t="shared" si="2"/>
        <v>1763928420</v>
      </c>
      <c r="Q145" s="47"/>
      <c r="R145" s="48"/>
      <c r="S145" s="46"/>
      <c r="T145" s="49" t="s">
        <v>1185</v>
      </c>
      <c r="U145" s="49" t="s">
        <v>1186</v>
      </c>
      <c r="V145" s="49" t="s">
        <v>1187</v>
      </c>
      <c r="W145" s="46"/>
      <c r="X145" s="49" t="s">
        <v>132</v>
      </c>
      <c r="Y145" s="50" t="s">
        <v>133</v>
      </c>
      <c r="Z145" s="50" t="s">
        <v>134</v>
      </c>
      <c r="AA145" s="46"/>
      <c r="AB145" s="26"/>
      <c r="AC145" s="51" t="s">
        <v>144</v>
      </c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</row>
    <row r="146">
      <c r="A146" s="35">
        <v>45984.0</v>
      </c>
      <c r="B146" s="36" t="s">
        <v>831</v>
      </c>
      <c r="C146" s="37" t="s">
        <v>1188</v>
      </c>
      <c r="D146" s="37" t="s">
        <v>1189</v>
      </c>
      <c r="E146" s="54">
        <v>4798648553</v>
      </c>
      <c r="F146" s="39" t="s">
        <v>1190</v>
      </c>
      <c r="G146" s="52" t="str">
        <f>IF(NOT(ISERROR(MATCH(D146,'Tannbleking - Oppsalg US'!D:D, 0))), "Ja", "")</f>
        <v/>
      </c>
      <c r="H146" s="37" t="s">
        <v>50</v>
      </c>
      <c r="I146" s="37" t="s">
        <v>44</v>
      </c>
      <c r="J146" s="40"/>
      <c r="K146" s="41"/>
      <c r="L146" s="42" t="s">
        <v>128</v>
      </c>
      <c r="M146" s="43" t="s">
        <v>1191</v>
      </c>
      <c r="N146" s="44">
        <v>6.858502538137E12</v>
      </c>
      <c r="O146" s="53" t="str">
        <f t="shared" si="1"/>
        <v>23/11/2025</v>
      </c>
      <c r="P146" s="46">
        <f t="shared" si="2"/>
        <v>1763932560</v>
      </c>
      <c r="Q146" s="47"/>
      <c r="R146" s="48"/>
      <c r="S146" s="46"/>
      <c r="T146" s="49" t="s">
        <v>1192</v>
      </c>
      <c r="U146" s="49" t="s">
        <v>1193</v>
      </c>
      <c r="V146" s="49" t="s">
        <v>1194</v>
      </c>
      <c r="W146" s="46"/>
      <c r="X146" s="49" t="s">
        <v>132</v>
      </c>
      <c r="Y146" s="50" t="s">
        <v>133</v>
      </c>
      <c r="Z146" s="50" t="s">
        <v>134</v>
      </c>
      <c r="AA146" s="46"/>
      <c r="AB146" s="26"/>
      <c r="AC146" s="51" t="s">
        <v>144</v>
      </c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</row>
    <row r="147">
      <c r="A147" s="35">
        <v>45984.0</v>
      </c>
      <c r="B147" s="36" t="s">
        <v>1195</v>
      </c>
      <c r="C147" s="37" t="s">
        <v>1196</v>
      </c>
      <c r="D147" s="37" t="s">
        <v>1197</v>
      </c>
      <c r="E147" s="54">
        <v>4793249726</v>
      </c>
      <c r="F147" s="39" t="s">
        <v>1198</v>
      </c>
      <c r="G147" s="52" t="str">
        <f>IF(NOT(ISERROR(MATCH(D147,'Tannbleking - Oppsalg US'!D:D, 0))), "Ja", "")</f>
        <v/>
      </c>
      <c r="H147" s="37" t="s">
        <v>50</v>
      </c>
      <c r="I147" s="37" t="s">
        <v>107</v>
      </c>
      <c r="J147" s="40"/>
      <c r="K147" s="41"/>
      <c r="L147" s="42" t="s">
        <v>128</v>
      </c>
      <c r="M147" s="43" t="s">
        <v>1012</v>
      </c>
      <c r="N147" s="44">
        <v>6.858495224937E12</v>
      </c>
      <c r="O147" s="53" t="str">
        <f t="shared" si="1"/>
        <v>23/11/2025</v>
      </c>
      <c r="P147" s="46">
        <f t="shared" si="2"/>
        <v>1763937480</v>
      </c>
      <c r="Q147" s="47"/>
      <c r="R147" s="48"/>
      <c r="S147" s="46"/>
      <c r="T147" s="49" t="s">
        <v>1199</v>
      </c>
      <c r="U147" s="49" t="s">
        <v>1200</v>
      </c>
      <c r="V147" s="49" t="s">
        <v>1201</v>
      </c>
      <c r="W147" s="46"/>
      <c r="X147" s="49" t="s">
        <v>132</v>
      </c>
      <c r="Y147" s="50" t="s">
        <v>133</v>
      </c>
      <c r="Z147" s="50" t="s">
        <v>134</v>
      </c>
      <c r="AA147" s="46"/>
      <c r="AB147" s="26"/>
      <c r="AC147" s="51" t="s">
        <v>135</v>
      </c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</row>
    <row r="148">
      <c r="A148" s="35">
        <v>45985.0</v>
      </c>
      <c r="B148" s="36" t="s">
        <v>1202</v>
      </c>
      <c r="C148" s="37" t="s">
        <v>1203</v>
      </c>
      <c r="D148" s="37" t="s">
        <v>1204</v>
      </c>
      <c r="E148" s="54">
        <v>4792403699</v>
      </c>
      <c r="F148" s="39" t="s">
        <v>1205</v>
      </c>
      <c r="G148" s="52" t="str">
        <f>IF(NOT(ISERROR(MATCH(D148,'Tannbleking - Oppsalg US'!D:D, 0))), "Ja", "")</f>
        <v/>
      </c>
      <c r="H148" s="37" t="s">
        <v>43</v>
      </c>
      <c r="I148" s="37" t="s">
        <v>140</v>
      </c>
      <c r="J148" s="40"/>
      <c r="K148" s="41"/>
      <c r="L148" s="42" t="s">
        <v>128</v>
      </c>
      <c r="M148" s="43" t="s">
        <v>1191</v>
      </c>
      <c r="N148" s="44">
        <v>6.858502538137E12</v>
      </c>
      <c r="O148" s="53" t="str">
        <f t="shared" si="1"/>
        <v>24/11/2025</v>
      </c>
      <c r="P148" s="46">
        <f t="shared" si="2"/>
        <v>1763967180</v>
      </c>
      <c r="Q148" s="47"/>
      <c r="R148" s="48"/>
      <c r="S148" s="46"/>
      <c r="T148" s="49" t="s">
        <v>1206</v>
      </c>
      <c r="U148" s="49" t="s">
        <v>1207</v>
      </c>
      <c r="V148" s="49" t="s">
        <v>1208</v>
      </c>
      <c r="W148" s="46"/>
      <c r="X148" s="49" t="s">
        <v>132</v>
      </c>
      <c r="Y148" s="50" t="s">
        <v>133</v>
      </c>
      <c r="Z148" s="50" t="s">
        <v>134</v>
      </c>
      <c r="AA148" s="46"/>
      <c r="AB148" s="26"/>
      <c r="AC148" s="51" t="s">
        <v>135</v>
      </c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</row>
    <row r="149">
      <c r="A149" s="35">
        <v>45985.0</v>
      </c>
      <c r="B149" s="36" t="s">
        <v>1209</v>
      </c>
      <c r="C149" s="37" t="s">
        <v>1210</v>
      </c>
      <c r="D149" s="37" t="s">
        <v>1211</v>
      </c>
      <c r="E149" s="54">
        <v>4797716746</v>
      </c>
      <c r="F149" s="39" t="s">
        <v>1212</v>
      </c>
      <c r="G149" s="52" t="str">
        <f>IF(NOT(ISERROR(MATCH(D149,'Tannbleking - Oppsalg US'!D:D, 0))), "Ja", "")</f>
        <v/>
      </c>
      <c r="H149" s="37" t="s">
        <v>50</v>
      </c>
      <c r="I149" s="37" t="s">
        <v>140</v>
      </c>
      <c r="J149" s="40"/>
      <c r="K149" s="41"/>
      <c r="L149" s="42" t="s">
        <v>128</v>
      </c>
      <c r="M149" s="43" t="s">
        <v>1191</v>
      </c>
      <c r="N149" s="44">
        <v>6.858502538137E12</v>
      </c>
      <c r="O149" s="53" t="str">
        <f t="shared" si="1"/>
        <v>24/11/2025</v>
      </c>
      <c r="P149" s="46">
        <f t="shared" si="2"/>
        <v>1763969520</v>
      </c>
      <c r="Q149" s="47"/>
      <c r="R149" s="48"/>
      <c r="S149" s="46"/>
      <c r="T149" s="49" t="s">
        <v>1213</v>
      </c>
      <c r="U149" s="49" t="s">
        <v>1214</v>
      </c>
      <c r="V149" s="49" t="s">
        <v>1215</v>
      </c>
      <c r="W149" s="46"/>
      <c r="X149" s="49" t="s">
        <v>132</v>
      </c>
      <c r="Y149" s="50" t="s">
        <v>133</v>
      </c>
      <c r="Z149" s="50" t="s">
        <v>134</v>
      </c>
      <c r="AA149" s="46"/>
      <c r="AB149" s="26"/>
      <c r="AC149" s="51" t="s">
        <v>135</v>
      </c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</row>
    <row r="150">
      <c r="A150" s="35">
        <v>45985.0</v>
      </c>
      <c r="B150" s="36" t="s">
        <v>1216</v>
      </c>
      <c r="C150" s="37" t="s">
        <v>1217</v>
      </c>
      <c r="D150" s="37" t="s">
        <v>1218</v>
      </c>
      <c r="E150" s="54">
        <v>4746840406</v>
      </c>
      <c r="F150" s="39" t="s">
        <v>1219</v>
      </c>
      <c r="G150" s="52" t="str">
        <f>IF(NOT(ISERROR(MATCH(D150,'Tannbleking - Oppsalg US'!D:D, 0))), "Ja", "")</f>
        <v/>
      </c>
      <c r="H150" s="37" t="s">
        <v>50</v>
      </c>
      <c r="I150" s="37" t="s">
        <v>72</v>
      </c>
      <c r="J150" s="40"/>
      <c r="K150" s="41"/>
      <c r="L150" s="42" t="s">
        <v>347</v>
      </c>
      <c r="M150" s="43">
        <v>6.858502538137E12</v>
      </c>
      <c r="N150" s="44"/>
      <c r="O150" s="53" t="str">
        <f t="shared" si="1"/>
        <v>24/11/2025</v>
      </c>
      <c r="P150" s="46">
        <f t="shared" si="2"/>
        <v>1763969820</v>
      </c>
      <c r="Q150" s="47"/>
      <c r="R150" s="48"/>
      <c r="S150" s="46"/>
      <c r="T150" s="49" t="s">
        <v>1220</v>
      </c>
      <c r="U150" s="49" t="s">
        <v>1221</v>
      </c>
      <c r="V150" s="49" t="s">
        <v>1222</v>
      </c>
      <c r="W150" s="46"/>
      <c r="X150" s="49" t="s">
        <v>132</v>
      </c>
      <c r="Y150" s="50" t="s">
        <v>133</v>
      </c>
      <c r="Z150" s="50" t="s">
        <v>134</v>
      </c>
      <c r="AA150" s="46"/>
      <c r="AB150" s="26"/>
      <c r="AC150" s="51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</row>
    <row r="151">
      <c r="A151" s="35">
        <v>45986.0</v>
      </c>
      <c r="B151" s="36" t="s">
        <v>1223</v>
      </c>
      <c r="C151" s="37" t="s">
        <v>1224</v>
      </c>
      <c r="D151" s="37" t="s">
        <v>1225</v>
      </c>
      <c r="E151" s="54">
        <v>4794214416</v>
      </c>
      <c r="F151" s="39" t="s">
        <v>1226</v>
      </c>
      <c r="G151" s="52" t="str">
        <f>IF(NOT(ISERROR(MATCH(D151,'Tannbleking - Oppsalg US'!D:D, 0))), "Ja", "")</f>
        <v/>
      </c>
      <c r="H151" s="37" t="s">
        <v>90</v>
      </c>
      <c r="I151" s="37" t="s">
        <v>322</v>
      </c>
      <c r="J151" s="40"/>
      <c r="K151" s="41"/>
      <c r="L151" s="42" t="s">
        <v>128</v>
      </c>
      <c r="M151" s="43" t="s">
        <v>947</v>
      </c>
      <c r="N151" s="44">
        <v>6.858495226337E12</v>
      </c>
      <c r="O151" s="53" t="str">
        <f t="shared" si="1"/>
        <v>25/11/2025</v>
      </c>
      <c r="P151" s="46">
        <f t="shared" si="2"/>
        <v>1764067620</v>
      </c>
      <c r="Q151" s="47"/>
      <c r="R151" s="48"/>
      <c r="S151" s="46"/>
      <c r="T151" s="49" t="s">
        <v>1227</v>
      </c>
      <c r="U151" s="49" t="s">
        <v>1228</v>
      </c>
      <c r="V151" s="49" t="s">
        <v>1229</v>
      </c>
      <c r="W151" s="46"/>
      <c r="X151" s="49" t="s">
        <v>132</v>
      </c>
      <c r="Y151" s="50" t="s">
        <v>133</v>
      </c>
      <c r="Z151" s="50" t="s">
        <v>134</v>
      </c>
      <c r="AA151" s="46"/>
      <c r="AB151" s="26"/>
      <c r="AC151" s="51" t="s">
        <v>135</v>
      </c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</row>
    <row r="152">
      <c r="A152" s="35">
        <v>45986.0</v>
      </c>
      <c r="B152" s="36" t="s">
        <v>1230</v>
      </c>
      <c r="C152" s="37" t="s">
        <v>1231</v>
      </c>
      <c r="D152" s="37" t="s">
        <v>1232</v>
      </c>
      <c r="E152" s="54">
        <v>4798899670</v>
      </c>
      <c r="F152" s="39" t="s">
        <v>1233</v>
      </c>
      <c r="G152" s="52" t="str">
        <f>IF(NOT(ISERROR(MATCH(D152,'Tannbleking - Oppsalg US'!D:D, 0))), "Ja", "")</f>
        <v/>
      </c>
      <c r="H152" s="37" t="s">
        <v>43</v>
      </c>
      <c r="I152" s="37" t="s">
        <v>107</v>
      </c>
      <c r="J152" s="40"/>
      <c r="K152" s="41"/>
      <c r="L152" s="42" t="s">
        <v>128</v>
      </c>
      <c r="M152" s="43" t="s">
        <v>1191</v>
      </c>
      <c r="N152" s="44">
        <v>6.858502538137E12</v>
      </c>
      <c r="O152" s="53" t="str">
        <f t="shared" si="1"/>
        <v>25/11/2025</v>
      </c>
      <c r="P152" s="46">
        <f t="shared" si="2"/>
        <v>1764104400</v>
      </c>
      <c r="Q152" s="47"/>
      <c r="R152" s="48"/>
      <c r="S152" s="46"/>
      <c r="T152" s="49" t="s">
        <v>1234</v>
      </c>
      <c r="U152" s="49" t="s">
        <v>1235</v>
      </c>
      <c r="V152" s="49" t="s">
        <v>1236</v>
      </c>
      <c r="W152" s="46"/>
      <c r="X152" s="49" t="s">
        <v>132</v>
      </c>
      <c r="Y152" s="50" t="s">
        <v>133</v>
      </c>
      <c r="Z152" s="50" t="s">
        <v>134</v>
      </c>
      <c r="AA152" s="46"/>
      <c r="AB152" s="26"/>
      <c r="AC152" s="51" t="s">
        <v>135</v>
      </c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</row>
    <row r="153">
      <c r="A153" s="35">
        <v>45987.0</v>
      </c>
      <c r="B153" s="36" t="s">
        <v>1237</v>
      </c>
      <c r="C153" s="37" t="s">
        <v>1238</v>
      </c>
      <c r="D153" s="37" t="s">
        <v>1239</v>
      </c>
      <c r="E153" s="54">
        <v>4791278340</v>
      </c>
      <c r="F153" s="39" t="s">
        <v>1240</v>
      </c>
      <c r="G153" s="52" t="str">
        <f>IF(NOT(ISERROR(MATCH(D153,'Tannbleking - Oppsalg US'!D:D, 0))), "Ja", "")</f>
        <v>Ja</v>
      </c>
      <c r="H153" s="37" t="s">
        <v>50</v>
      </c>
      <c r="I153" s="37"/>
      <c r="J153" s="40" t="s">
        <v>127</v>
      </c>
      <c r="K153" s="41"/>
      <c r="L153" s="42"/>
      <c r="M153" s="43"/>
      <c r="N153" s="44"/>
      <c r="O153" s="53" t="str">
        <f t="shared" si="1"/>
        <v>26/11/2025</v>
      </c>
      <c r="P153" s="46">
        <f t="shared" si="2"/>
        <v>1764197520</v>
      </c>
      <c r="Q153" s="47"/>
      <c r="R153" s="48"/>
      <c r="S153" s="46"/>
      <c r="T153" s="49" t="s">
        <v>1241</v>
      </c>
      <c r="U153" s="49" t="s">
        <v>1242</v>
      </c>
      <c r="V153" s="49" t="s">
        <v>1243</v>
      </c>
      <c r="W153" s="46"/>
      <c r="X153" s="49" t="s">
        <v>132</v>
      </c>
      <c r="Y153" s="50" t="s">
        <v>133</v>
      </c>
      <c r="Z153" s="50" t="s">
        <v>134</v>
      </c>
      <c r="AA153" s="46"/>
      <c r="AB153" s="26"/>
      <c r="AC153" s="51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</row>
    <row r="154">
      <c r="A154" s="35">
        <v>45988.0</v>
      </c>
      <c r="B154" s="36" t="s">
        <v>1244</v>
      </c>
      <c r="C154" s="37" t="s">
        <v>1245</v>
      </c>
      <c r="D154" s="37" t="s">
        <v>1246</v>
      </c>
      <c r="E154" s="54">
        <v>4799897761</v>
      </c>
      <c r="F154" s="39" t="s">
        <v>1247</v>
      </c>
      <c r="G154" s="52" t="str">
        <f>IF(NOT(ISERROR(MATCH(D154,'Tannbleking - Oppsalg US'!D:D, 0))), "Ja", "")</f>
        <v/>
      </c>
      <c r="H154" s="37" t="s">
        <v>43</v>
      </c>
      <c r="I154" s="37" t="s">
        <v>72</v>
      </c>
      <c r="J154" s="40"/>
      <c r="K154" s="41"/>
      <c r="L154" s="42" t="s">
        <v>128</v>
      </c>
      <c r="M154" s="43" t="s">
        <v>1191</v>
      </c>
      <c r="N154" s="44">
        <v>6.858502538137E12</v>
      </c>
      <c r="O154" s="53" t="str">
        <f t="shared" si="1"/>
        <v>27/11/2025</v>
      </c>
      <c r="P154" s="46">
        <f t="shared" si="2"/>
        <v>1764225240</v>
      </c>
      <c r="Q154" s="47"/>
      <c r="R154" s="48"/>
      <c r="S154" s="46"/>
      <c r="T154" s="49" t="s">
        <v>1248</v>
      </c>
      <c r="U154" s="49" t="s">
        <v>1249</v>
      </c>
      <c r="V154" s="49" t="s">
        <v>1250</v>
      </c>
      <c r="W154" s="46"/>
      <c r="X154" s="49" t="s">
        <v>132</v>
      </c>
      <c r="Y154" s="50" t="s">
        <v>133</v>
      </c>
      <c r="Z154" s="50" t="s">
        <v>134</v>
      </c>
      <c r="AA154" s="46"/>
      <c r="AB154" s="26"/>
      <c r="AC154" s="51" t="s">
        <v>135</v>
      </c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</row>
    <row r="155">
      <c r="A155" s="35">
        <v>45988.0</v>
      </c>
      <c r="B155" s="36" t="s">
        <v>1251</v>
      </c>
      <c r="C155" s="37" t="s">
        <v>1252</v>
      </c>
      <c r="D155" s="37" t="s">
        <v>1253</v>
      </c>
      <c r="E155" s="54">
        <v>4799707882</v>
      </c>
      <c r="F155" s="39" t="s">
        <v>1254</v>
      </c>
      <c r="G155" s="52" t="str">
        <f>IF(NOT(ISERROR(MATCH(D155,'Tannbleking - Oppsalg US'!D:D, 0))), "Ja", "")</f>
        <v/>
      </c>
      <c r="H155" s="37" t="s">
        <v>676</v>
      </c>
      <c r="I155" s="37"/>
      <c r="J155" s="40" t="s">
        <v>1255</v>
      </c>
      <c r="K155" s="41"/>
      <c r="L155" s="42" t="s">
        <v>128</v>
      </c>
      <c r="M155" s="43" t="s">
        <v>1012</v>
      </c>
      <c r="N155" s="44">
        <v>6.858495224937E12</v>
      </c>
      <c r="O155" s="53" t="str">
        <f t="shared" si="1"/>
        <v>27/11/2025</v>
      </c>
      <c r="P155" s="46">
        <f t="shared" si="2"/>
        <v>1764231300</v>
      </c>
      <c r="Q155" s="47"/>
      <c r="R155" s="48"/>
      <c r="S155" s="46"/>
      <c r="T155" s="49" t="s">
        <v>1256</v>
      </c>
      <c r="U155" s="49" t="s">
        <v>1257</v>
      </c>
      <c r="V155" s="49" t="s">
        <v>1258</v>
      </c>
      <c r="W155" s="46"/>
      <c r="X155" s="49" t="s">
        <v>132</v>
      </c>
      <c r="Y155" s="50" t="s">
        <v>133</v>
      </c>
      <c r="Z155" s="50" t="s">
        <v>134</v>
      </c>
      <c r="AA155" s="46"/>
      <c r="AB155" s="26"/>
      <c r="AC155" s="51" t="s">
        <v>135</v>
      </c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</row>
    <row r="156">
      <c r="A156" s="35">
        <v>45993.0</v>
      </c>
      <c r="B156" s="36" t="s">
        <v>1259</v>
      </c>
      <c r="C156" s="37" t="s">
        <v>1260</v>
      </c>
      <c r="D156" s="37" t="s">
        <v>1261</v>
      </c>
      <c r="E156" s="54">
        <v>4741586308</v>
      </c>
      <c r="F156" s="39" t="s">
        <v>1262</v>
      </c>
      <c r="G156" s="52" t="str">
        <f>IF(NOT(ISERROR(MATCH(D156,'Tannbleking - Oppsalg US'!D:D, 0))), "Ja", "")</f>
        <v/>
      </c>
      <c r="H156" s="37" t="s">
        <v>43</v>
      </c>
      <c r="I156" s="37" t="s">
        <v>44</v>
      </c>
      <c r="J156" s="40"/>
      <c r="K156" s="41"/>
      <c r="L156" s="42" t="s">
        <v>128</v>
      </c>
      <c r="M156" s="43" t="s">
        <v>1263</v>
      </c>
      <c r="N156" s="44">
        <v>6.867462540737E12</v>
      </c>
      <c r="O156" s="53" t="str">
        <f t="shared" si="1"/>
        <v>02/12/2025</v>
      </c>
      <c r="P156" s="46">
        <f t="shared" si="2"/>
        <v>1764679980</v>
      </c>
      <c r="Q156" s="47"/>
      <c r="R156" s="48"/>
      <c r="S156" s="46"/>
      <c r="T156" s="49" t="s">
        <v>1264</v>
      </c>
      <c r="U156" s="49" t="s">
        <v>1265</v>
      </c>
      <c r="V156" s="49" t="s">
        <v>1266</v>
      </c>
      <c r="W156" s="46"/>
      <c r="X156" s="49" t="s">
        <v>132</v>
      </c>
      <c r="Y156" s="50" t="s">
        <v>133</v>
      </c>
      <c r="Z156" s="50" t="s">
        <v>134</v>
      </c>
      <c r="AA156" s="46"/>
      <c r="AB156" s="26"/>
      <c r="AC156" s="51" t="s">
        <v>135</v>
      </c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</row>
    <row r="157">
      <c r="A157" s="35">
        <v>45993.0</v>
      </c>
      <c r="B157" s="36" t="s">
        <v>1267</v>
      </c>
      <c r="C157" s="37" t="s">
        <v>1268</v>
      </c>
      <c r="D157" s="37" t="s">
        <v>1269</v>
      </c>
      <c r="E157" s="54">
        <v>4745907199</v>
      </c>
      <c r="F157" s="39" t="s">
        <v>1270</v>
      </c>
      <c r="G157" s="52" t="str">
        <f>IF(NOT(ISERROR(MATCH(D157,'Tannbleking - Oppsalg US'!D:D, 0))), "Ja", "")</f>
        <v>Ja</v>
      </c>
      <c r="H157" s="37" t="s">
        <v>50</v>
      </c>
      <c r="I157" s="37" t="s">
        <v>72</v>
      </c>
      <c r="J157" s="40" t="s">
        <v>1271</v>
      </c>
      <c r="K157" s="41"/>
      <c r="L157" s="42" t="s">
        <v>128</v>
      </c>
      <c r="M157" s="43" t="s">
        <v>1040</v>
      </c>
      <c r="N157" s="44">
        <v>6.867462540537E12</v>
      </c>
      <c r="O157" s="53" t="str">
        <f t="shared" si="1"/>
        <v>02/12/2025</v>
      </c>
      <c r="P157" s="46">
        <f t="shared" si="2"/>
        <v>1764696240</v>
      </c>
      <c r="Q157" s="47"/>
      <c r="R157" s="48"/>
      <c r="S157" s="46"/>
      <c r="T157" s="49" t="s">
        <v>1272</v>
      </c>
      <c r="U157" s="49" t="s">
        <v>1273</v>
      </c>
      <c r="V157" s="49" t="s">
        <v>1274</v>
      </c>
      <c r="W157" s="46"/>
      <c r="X157" s="49" t="s">
        <v>132</v>
      </c>
      <c r="Y157" s="50" t="s">
        <v>133</v>
      </c>
      <c r="Z157" s="50" t="s">
        <v>134</v>
      </c>
      <c r="AA157" s="46"/>
      <c r="AB157" s="26"/>
      <c r="AC157" s="51" t="s">
        <v>144</v>
      </c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</row>
    <row r="158">
      <c r="A158" s="35">
        <v>45994.0</v>
      </c>
      <c r="B158" s="36" t="s">
        <v>1275</v>
      </c>
      <c r="C158" s="37" t="s">
        <v>1276</v>
      </c>
      <c r="D158" s="37" t="s">
        <v>1277</v>
      </c>
      <c r="E158" s="54">
        <v>4798611989</v>
      </c>
      <c r="F158" s="39" t="s">
        <v>1278</v>
      </c>
      <c r="G158" s="52" t="str">
        <f>IF(NOT(ISERROR(MATCH(D158,'Tannbleking - Oppsalg US'!D:D, 0))), "Ja", "")</f>
        <v/>
      </c>
      <c r="H158" s="37" t="s">
        <v>50</v>
      </c>
      <c r="I158" s="37" t="s">
        <v>140</v>
      </c>
      <c r="J158" s="40"/>
      <c r="K158" s="41"/>
      <c r="L158" s="42" t="s">
        <v>128</v>
      </c>
      <c r="M158" s="43" t="s">
        <v>1191</v>
      </c>
      <c r="N158" s="44">
        <v>6.867462540937E12</v>
      </c>
      <c r="O158" s="53" t="str">
        <f t="shared" si="1"/>
        <v>03/12/2025</v>
      </c>
      <c r="P158" s="46">
        <f t="shared" si="2"/>
        <v>1764731400</v>
      </c>
      <c r="Q158" s="47"/>
      <c r="R158" s="48"/>
      <c r="S158" s="46"/>
      <c r="T158" s="49" t="s">
        <v>1279</v>
      </c>
      <c r="U158" s="49" t="s">
        <v>1280</v>
      </c>
      <c r="V158" s="49" t="s">
        <v>1281</v>
      </c>
      <c r="W158" s="46"/>
      <c r="X158" s="49" t="s">
        <v>132</v>
      </c>
      <c r="Y158" s="50" t="s">
        <v>133</v>
      </c>
      <c r="Z158" s="50" t="s">
        <v>134</v>
      </c>
      <c r="AA158" s="46"/>
      <c r="AB158" s="26"/>
      <c r="AC158" s="51" t="s">
        <v>1282</v>
      </c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</row>
    <row r="159">
      <c r="A159" s="35">
        <v>45994.0</v>
      </c>
      <c r="B159" s="36" t="s">
        <v>1283</v>
      </c>
      <c r="C159" s="37" t="s">
        <v>1284</v>
      </c>
      <c r="D159" s="37" t="s">
        <v>1285</v>
      </c>
      <c r="E159" s="54">
        <v>4796968996</v>
      </c>
      <c r="F159" s="39" t="s">
        <v>1286</v>
      </c>
      <c r="G159" s="52" t="str">
        <f>IF(NOT(ISERROR(MATCH(D159,'Tannbleking - Oppsalg US'!D:D, 0))), "Ja", "")</f>
        <v/>
      </c>
      <c r="H159" s="37" t="s">
        <v>50</v>
      </c>
      <c r="I159" s="37" t="s">
        <v>44</v>
      </c>
      <c r="J159" s="40"/>
      <c r="K159" s="41"/>
      <c r="L159" s="42" t="s">
        <v>128</v>
      </c>
      <c r="M159" s="43" t="s">
        <v>1287</v>
      </c>
      <c r="N159" s="44">
        <v>6.867462540137E12</v>
      </c>
      <c r="O159" s="53" t="str">
        <f t="shared" si="1"/>
        <v>03/12/2025</v>
      </c>
      <c r="P159" s="46">
        <f t="shared" si="2"/>
        <v>1764754200</v>
      </c>
      <c r="Q159" s="47"/>
      <c r="R159" s="48"/>
      <c r="S159" s="46"/>
      <c r="T159" s="49" t="s">
        <v>1288</v>
      </c>
      <c r="U159" s="49" t="s">
        <v>1289</v>
      </c>
      <c r="V159" s="49" t="s">
        <v>1290</v>
      </c>
      <c r="W159" s="46"/>
      <c r="X159" s="49" t="s">
        <v>132</v>
      </c>
      <c r="Y159" s="50" t="s">
        <v>133</v>
      </c>
      <c r="Z159" s="50" t="s">
        <v>134</v>
      </c>
      <c r="AA159" s="46"/>
      <c r="AB159" s="26"/>
      <c r="AC159" s="51" t="s">
        <v>423</v>
      </c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</row>
    <row r="160">
      <c r="A160" s="35">
        <v>45995.0</v>
      </c>
      <c r="B160" s="36" t="s">
        <v>1291</v>
      </c>
      <c r="C160" s="37" t="s">
        <v>1292</v>
      </c>
      <c r="D160" s="37" t="s">
        <v>1293</v>
      </c>
      <c r="E160" s="54">
        <v>4794436604</v>
      </c>
      <c r="F160" s="39" t="s">
        <v>1294</v>
      </c>
      <c r="G160" s="52" t="str">
        <f>IF(NOT(ISERROR(MATCH(D160,'Tannbleking - Oppsalg US'!D:D, 0))), "Ja", "")</f>
        <v/>
      </c>
      <c r="H160" s="37" t="s">
        <v>50</v>
      </c>
      <c r="I160" s="37" t="s">
        <v>44</v>
      </c>
      <c r="J160" s="40"/>
      <c r="K160" s="41"/>
      <c r="L160" s="42" t="s">
        <v>128</v>
      </c>
      <c r="M160" s="43" t="s">
        <v>1263</v>
      </c>
      <c r="N160" s="44">
        <v>6.867462540737E12</v>
      </c>
      <c r="O160" s="53" t="str">
        <f t="shared" si="1"/>
        <v>04/12/2025</v>
      </c>
      <c r="P160" s="46">
        <f t="shared" si="2"/>
        <v>1764862020</v>
      </c>
      <c r="Q160" s="47"/>
      <c r="R160" s="48"/>
      <c r="S160" s="46"/>
      <c r="T160" s="49" t="s">
        <v>1295</v>
      </c>
      <c r="U160" s="49" t="s">
        <v>1296</v>
      </c>
      <c r="V160" s="49" t="s">
        <v>1297</v>
      </c>
      <c r="W160" s="46"/>
      <c r="X160" s="49" t="s">
        <v>132</v>
      </c>
      <c r="Y160" s="50" t="s">
        <v>133</v>
      </c>
      <c r="Z160" s="50" t="s">
        <v>134</v>
      </c>
      <c r="AA160" s="46"/>
      <c r="AB160" s="26"/>
      <c r="AC160" s="51" t="s">
        <v>280</v>
      </c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</row>
    <row r="161">
      <c r="A161" s="35">
        <v>45995.0</v>
      </c>
      <c r="B161" s="36" t="s">
        <v>1298</v>
      </c>
      <c r="C161" s="37" t="s">
        <v>1299</v>
      </c>
      <c r="D161" s="37" t="s">
        <v>1300</v>
      </c>
      <c r="E161" s="54">
        <v>4748689707</v>
      </c>
      <c r="F161" s="39" t="s">
        <v>1301</v>
      </c>
      <c r="G161" s="52" t="str">
        <f>IF(NOT(ISERROR(MATCH(D161,'Tannbleking - Oppsalg US'!D:D, 0))), "Ja", "")</f>
        <v/>
      </c>
      <c r="H161" s="37" t="s">
        <v>50</v>
      </c>
      <c r="I161" s="37" t="s">
        <v>44</v>
      </c>
      <c r="J161" s="40"/>
      <c r="K161" s="41"/>
      <c r="L161" s="42" t="s">
        <v>128</v>
      </c>
      <c r="M161" s="43" t="s">
        <v>1302</v>
      </c>
      <c r="N161" s="44">
        <v>6.867462542937E12</v>
      </c>
      <c r="O161" s="53" t="str">
        <f t="shared" si="1"/>
        <v>04/12/2025</v>
      </c>
      <c r="P161" s="46">
        <f t="shared" si="2"/>
        <v>1764866880</v>
      </c>
      <c r="Q161" s="47"/>
      <c r="R161" s="48"/>
      <c r="S161" s="46"/>
      <c r="T161" s="49" t="s">
        <v>1303</v>
      </c>
      <c r="U161" s="49" t="s">
        <v>1304</v>
      </c>
      <c r="V161" s="49" t="s">
        <v>1305</v>
      </c>
      <c r="W161" s="46"/>
      <c r="X161" s="49" t="s">
        <v>132</v>
      </c>
      <c r="Y161" s="50" t="s">
        <v>133</v>
      </c>
      <c r="Z161" s="50" t="s">
        <v>134</v>
      </c>
      <c r="AA161" s="46"/>
      <c r="AB161" s="26"/>
      <c r="AC161" s="51" t="s">
        <v>144</v>
      </c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</row>
    <row r="162">
      <c r="A162" s="35">
        <v>45995.0</v>
      </c>
      <c r="B162" s="36" t="s">
        <v>1306</v>
      </c>
      <c r="C162" s="37" t="s">
        <v>1307</v>
      </c>
      <c r="D162" s="37" t="s">
        <v>1308</v>
      </c>
      <c r="E162" s="54">
        <v>4793405081</v>
      </c>
      <c r="F162" s="39" t="s">
        <v>1309</v>
      </c>
      <c r="G162" s="52" t="str">
        <f>IF(NOT(ISERROR(MATCH(D162,'Tannbleking - Oppsalg US'!D:D, 0))), "Ja", "")</f>
        <v/>
      </c>
      <c r="H162" s="37" t="s">
        <v>676</v>
      </c>
      <c r="I162" s="37" t="s">
        <v>44</v>
      </c>
      <c r="J162" s="40" t="s">
        <v>1310</v>
      </c>
      <c r="K162" s="41"/>
      <c r="L162" s="42" t="s">
        <v>128</v>
      </c>
      <c r="M162" s="43" t="s">
        <v>1040</v>
      </c>
      <c r="N162" s="44">
        <v>6.867462540537E12</v>
      </c>
      <c r="O162" s="53" t="str">
        <f t="shared" si="1"/>
        <v>04/12/2025</v>
      </c>
      <c r="P162" s="46">
        <f t="shared" si="2"/>
        <v>1764889260</v>
      </c>
      <c r="Q162" s="47"/>
      <c r="R162" s="48"/>
      <c r="S162" s="46"/>
      <c r="T162" s="49" t="s">
        <v>1311</v>
      </c>
      <c r="U162" s="49" t="s">
        <v>1312</v>
      </c>
      <c r="V162" s="49" t="s">
        <v>1313</v>
      </c>
      <c r="W162" s="46"/>
      <c r="X162" s="49" t="s">
        <v>132</v>
      </c>
      <c r="Y162" s="50" t="s">
        <v>133</v>
      </c>
      <c r="Z162" s="50" t="s">
        <v>134</v>
      </c>
      <c r="AA162" s="46"/>
      <c r="AB162" s="26"/>
      <c r="AC162" s="51" t="s">
        <v>144</v>
      </c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</row>
    <row r="163">
      <c r="A163" s="35">
        <v>45996.0</v>
      </c>
      <c r="B163" s="36" t="s">
        <v>1314</v>
      </c>
      <c r="C163" s="37" t="s">
        <v>966</v>
      </c>
      <c r="D163" s="37" t="s">
        <v>967</v>
      </c>
      <c r="E163" s="54">
        <v>4792873356</v>
      </c>
      <c r="F163" s="39" t="s">
        <v>1315</v>
      </c>
      <c r="G163" s="52" t="str">
        <f>IF(NOT(ISERROR(MATCH(D163,'Tannbleking - Oppsalg US'!D:D, 0))), "Ja", "")</f>
        <v/>
      </c>
      <c r="H163" s="37" t="s">
        <v>676</v>
      </c>
      <c r="I163" s="37" t="s">
        <v>72</v>
      </c>
      <c r="J163" s="40" t="s">
        <v>1316</v>
      </c>
      <c r="K163" s="41"/>
      <c r="L163" s="42" t="s">
        <v>128</v>
      </c>
      <c r="M163" s="43" t="s">
        <v>925</v>
      </c>
      <c r="N163" s="44">
        <v>6.867462541337E12</v>
      </c>
      <c r="O163" s="53" t="str">
        <f t="shared" si="1"/>
        <v>05/12/2025</v>
      </c>
      <c r="P163" s="46">
        <f t="shared" si="2"/>
        <v>1764948960</v>
      </c>
      <c r="Q163" s="47"/>
      <c r="R163" s="48"/>
      <c r="S163" s="46"/>
      <c r="T163" s="49" t="s">
        <v>970</v>
      </c>
      <c r="U163" s="49" t="s">
        <v>971</v>
      </c>
      <c r="V163" s="49" t="s">
        <v>1317</v>
      </c>
      <c r="W163" s="46"/>
      <c r="X163" s="49" t="s">
        <v>132</v>
      </c>
      <c r="Y163" s="50" t="s">
        <v>133</v>
      </c>
      <c r="Z163" s="50" t="s">
        <v>134</v>
      </c>
      <c r="AA163" s="46"/>
      <c r="AB163" s="26"/>
      <c r="AC163" s="51" t="s">
        <v>151</v>
      </c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</row>
    <row r="164">
      <c r="A164" s="35">
        <v>45996.0</v>
      </c>
      <c r="B164" s="36" t="s">
        <v>1318</v>
      </c>
      <c r="C164" s="37" t="s">
        <v>1319</v>
      </c>
      <c r="D164" s="37" t="s">
        <v>1320</v>
      </c>
      <c r="E164" s="54">
        <v>4745834567</v>
      </c>
      <c r="F164" s="39" t="s">
        <v>1321</v>
      </c>
      <c r="G164" s="52" t="str">
        <f>IF(NOT(ISERROR(MATCH(D164,'Tannbleking - Oppsalg US'!D:D, 0))), "Ja", "")</f>
        <v/>
      </c>
      <c r="H164" s="37" t="s">
        <v>50</v>
      </c>
      <c r="I164" s="37" t="s">
        <v>44</v>
      </c>
      <c r="J164" s="40"/>
      <c r="K164" s="41"/>
      <c r="L164" s="42" t="s">
        <v>128</v>
      </c>
      <c r="M164" s="43" t="s">
        <v>1302</v>
      </c>
      <c r="N164" s="44">
        <v>6.867462542937E12</v>
      </c>
      <c r="O164" s="53" t="str">
        <f t="shared" si="1"/>
        <v>05/12/2025</v>
      </c>
      <c r="P164" s="46">
        <f t="shared" si="2"/>
        <v>1764967140</v>
      </c>
      <c r="Q164" s="47"/>
      <c r="R164" s="48"/>
      <c r="S164" s="46"/>
      <c r="T164" s="49" t="s">
        <v>1322</v>
      </c>
      <c r="U164" s="49" t="s">
        <v>1323</v>
      </c>
      <c r="V164" s="49" t="s">
        <v>1324</v>
      </c>
      <c r="W164" s="46"/>
      <c r="X164" s="49" t="s">
        <v>132</v>
      </c>
      <c r="Y164" s="50" t="s">
        <v>133</v>
      </c>
      <c r="Z164" s="50" t="s">
        <v>134</v>
      </c>
      <c r="AA164" s="46"/>
      <c r="AB164" s="26"/>
      <c r="AC164" s="51" t="s">
        <v>144</v>
      </c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</row>
    <row r="165">
      <c r="A165" s="35">
        <v>45996.0</v>
      </c>
      <c r="B165" s="36" t="s">
        <v>1325</v>
      </c>
      <c r="C165" s="37" t="s">
        <v>1326</v>
      </c>
      <c r="D165" s="37" t="s">
        <v>1327</v>
      </c>
      <c r="E165" s="54">
        <v>4792554392</v>
      </c>
      <c r="F165" s="39" t="s">
        <v>1328</v>
      </c>
      <c r="G165" s="52" t="str">
        <f>IF(NOT(ISERROR(MATCH(D165,'Tannbleking - Oppsalg US'!D:D, 0))), "Ja", "")</f>
        <v>Ja</v>
      </c>
      <c r="H165" s="37" t="s">
        <v>50</v>
      </c>
      <c r="I165" s="37" t="s">
        <v>44</v>
      </c>
      <c r="J165" s="40"/>
      <c r="K165" s="41"/>
      <c r="L165" s="42" t="s">
        <v>128</v>
      </c>
      <c r="M165" s="43" t="s">
        <v>1191</v>
      </c>
      <c r="N165" s="44">
        <v>6.867462540937E12</v>
      </c>
      <c r="O165" s="53" t="str">
        <f t="shared" si="1"/>
        <v>05/12/2025</v>
      </c>
      <c r="P165" s="46">
        <f t="shared" si="2"/>
        <v>1764967800</v>
      </c>
      <c r="Q165" s="47"/>
      <c r="R165" s="48"/>
      <c r="S165" s="46"/>
      <c r="T165" s="49" t="s">
        <v>1329</v>
      </c>
      <c r="U165" s="49" t="s">
        <v>1330</v>
      </c>
      <c r="V165" s="49" t="s">
        <v>1331</v>
      </c>
      <c r="W165" s="46"/>
      <c r="X165" s="49" t="s">
        <v>132</v>
      </c>
      <c r="Y165" s="50" t="s">
        <v>133</v>
      </c>
      <c r="Z165" s="50" t="s">
        <v>134</v>
      </c>
      <c r="AA165" s="46"/>
      <c r="AB165" s="26"/>
      <c r="AC165" s="51" t="s">
        <v>144</v>
      </c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</row>
    <row r="166">
      <c r="A166" s="35">
        <v>45997.0</v>
      </c>
      <c r="B166" s="36" t="s">
        <v>1332</v>
      </c>
      <c r="C166" s="37" t="s">
        <v>1333</v>
      </c>
      <c r="D166" s="37" t="s">
        <v>1334</v>
      </c>
      <c r="E166" s="54">
        <v>4748401917</v>
      </c>
      <c r="F166" s="39" t="s">
        <v>1335</v>
      </c>
      <c r="G166" s="52" t="str">
        <f>IF(NOT(ISERROR(MATCH(D166,'Tannbleking - Oppsalg US'!D:D, 0))), "Ja", "")</f>
        <v/>
      </c>
      <c r="H166" s="37" t="s">
        <v>50</v>
      </c>
      <c r="I166" s="37" t="s">
        <v>44</v>
      </c>
      <c r="J166" s="40"/>
      <c r="K166" s="41"/>
      <c r="L166" s="42" t="s">
        <v>347</v>
      </c>
      <c r="M166" s="43">
        <v>6.867462541337E12</v>
      </c>
      <c r="N166" s="44"/>
      <c r="O166" s="53" t="str">
        <f t="shared" si="1"/>
        <v>06/12/2025</v>
      </c>
      <c r="P166" s="46">
        <f t="shared" si="2"/>
        <v>1764985380</v>
      </c>
      <c r="Q166" s="47"/>
      <c r="R166" s="48"/>
      <c r="S166" s="46"/>
      <c r="T166" s="49" t="s">
        <v>1336</v>
      </c>
      <c r="U166" s="49" t="s">
        <v>1337</v>
      </c>
      <c r="V166" s="49" t="s">
        <v>1338</v>
      </c>
      <c r="W166" s="46"/>
      <c r="X166" s="49" t="s">
        <v>132</v>
      </c>
      <c r="Y166" s="50" t="s">
        <v>133</v>
      </c>
      <c r="Z166" s="50" t="s">
        <v>134</v>
      </c>
      <c r="AA166" s="46"/>
      <c r="AB166" s="26"/>
      <c r="AC166" s="51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</row>
    <row r="167">
      <c r="A167" s="35">
        <v>45997.0</v>
      </c>
      <c r="B167" s="36" t="s">
        <v>1259</v>
      </c>
      <c r="C167" s="37" t="s">
        <v>1339</v>
      </c>
      <c r="D167" s="37" t="s">
        <v>1340</v>
      </c>
      <c r="E167" s="54">
        <v>4748065706</v>
      </c>
      <c r="F167" s="39" t="s">
        <v>1341</v>
      </c>
      <c r="G167" s="52" t="str">
        <f>IF(NOT(ISERROR(MATCH(D167,'Tannbleking - Oppsalg US'!D:D, 0))), "Ja", "")</f>
        <v/>
      </c>
      <c r="H167" s="37" t="s">
        <v>50</v>
      </c>
      <c r="I167" s="37" t="s">
        <v>44</v>
      </c>
      <c r="J167" s="40"/>
      <c r="K167" s="41"/>
      <c r="L167" s="42" t="s">
        <v>128</v>
      </c>
      <c r="M167" s="43" t="s">
        <v>925</v>
      </c>
      <c r="N167" s="44">
        <v>6.867462541337E12</v>
      </c>
      <c r="O167" s="53" t="str">
        <f t="shared" si="1"/>
        <v>06/12/2025</v>
      </c>
      <c r="P167" s="46">
        <f t="shared" si="2"/>
        <v>1765025580</v>
      </c>
      <c r="Q167" s="47"/>
      <c r="R167" s="48"/>
      <c r="S167" s="46"/>
      <c r="T167" s="49" t="s">
        <v>1342</v>
      </c>
      <c r="U167" s="49" t="s">
        <v>1343</v>
      </c>
      <c r="V167" s="49" t="s">
        <v>1344</v>
      </c>
      <c r="W167" s="46"/>
      <c r="X167" s="49" t="s">
        <v>132</v>
      </c>
      <c r="Y167" s="50" t="s">
        <v>133</v>
      </c>
      <c r="Z167" s="50" t="s">
        <v>134</v>
      </c>
      <c r="AA167" s="46"/>
      <c r="AB167" s="26"/>
      <c r="AC167" s="51" t="s">
        <v>135</v>
      </c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</row>
    <row r="168">
      <c r="A168" s="35">
        <v>45997.0</v>
      </c>
      <c r="B168" s="36" t="s">
        <v>1345</v>
      </c>
      <c r="C168" s="37" t="s">
        <v>1346</v>
      </c>
      <c r="D168" s="37" t="s">
        <v>1347</v>
      </c>
      <c r="E168" s="54">
        <v>4741504612</v>
      </c>
      <c r="F168" s="39" t="s">
        <v>1348</v>
      </c>
      <c r="G168" s="52" t="str">
        <f>IF(NOT(ISERROR(MATCH(D168,'Tannbleking - Oppsalg US'!D:D, 0))), "Ja", "")</f>
        <v/>
      </c>
      <c r="H168" s="37" t="s">
        <v>43</v>
      </c>
      <c r="I168" s="37" t="s">
        <v>72</v>
      </c>
      <c r="J168" s="40"/>
      <c r="K168" s="41"/>
      <c r="L168" s="42" t="s">
        <v>128</v>
      </c>
      <c r="M168" s="43" t="s">
        <v>1302</v>
      </c>
      <c r="N168" s="44">
        <v>6.867462542937E12</v>
      </c>
      <c r="O168" s="53" t="str">
        <f t="shared" si="1"/>
        <v>06/12/2025</v>
      </c>
      <c r="P168" s="46">
        <f t="shared" si="2"/>
        <v>1765063980</v>
      </c>
      <c r="Q168" s="47"/>
      <c r="R168" s="48"/>
      <c r="S168" s="46"/>
      <c r="T168" s="49" t="s">
        <v>1349</v>
      </c>
      <c r="U168" s="49" t="s">
        <v>1350</v>
      </c>
      <c r="V168" s="49" t="s">
        <v>1351</v>
      </c>
      <c r="W168" s="46"/>
      <c r="X168" s="49" t="s">
        <v>132</v>
      </c>
      <c r="Y168" s="50" t="s">
        <v>133</v>
      </c>
      <c r="Z168" s="50" t="s">
        <v>134</v>
      </c>
      <c r="AA168" s="46"/>
      <c r="AB168" s="26"/>
      <c r="AC168" s="51" t="s">
        <v>144</v>
      </c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</row>
    <row r="169">
      <c r="A169" s="35">
        <v>45998.0</v>
      </c>
      <c r="B169" s="36" t="s">
        <v>1352</v>
      </c>
      <c r="C169" s="37" t="s">
        <v>1353</v>
      </c>
      <c r="D169" s="37" t="s">
        <v>1354</v>
      </c>
      <c r="E169" s="54">
        <v>4797152769</v>
      </c>
      <c r="F169" s="39" t="s">
        <v>1355</v>
      </c>
      <c r="G169" s="52" t="str">
        <f>IF(NOT(ISERROR(MATCH(D169,'Tannbleking - Oppsalg US'!D:D, 0))), "Ja", "")</f>
        <v/>
      </c>
      <c r="H169" s="37" t="s">
        <v>50</v>
      </c>
      <c r="I169" s="37" t="s">
        <v>44</v>
      </c>
      <c r="J169" s="40"/>
      <c r="K169" s="41"/>
      <c r="L169" s="42" t="s">
        <v>128</v>
      </c>
      <c r="M169" s="43" t="s">
        <v>1302</v>
      </c>
      <c r="N169" s="44">
        <v>6.867462542937E12</v>
      </c>
      <c r="O169" s="53" t="str">
        <f t="shared" si="1"/>
        <v>07/12/2025</v>
      </c>
      <c r="P169" s="46">
        <f t="shared" si="2"/>
        <v>1765067520</v>
      </c>
      <c r="Q169" s="47"/>
      <c r="R169" s="48"/>
      <c r="S169" s="46"/>
      <c r="T169" s="49" t="s">
        <v>1356</v>
      </c>
      <c r="U169" s="49" t="s">
        <v>1357</v>
      </c>
      <c r="V169" s="49" t="s">
        <v>1358</v>
      </c>
      <c r="W169" s="46"/>
      <c r="X169" s="49" t="s">
        <v>132</v>
      </c>
      <c r="Y169" s="50" t="s">
        <v>133</v>
      </c>
      <c r="Z169" s="50" t="s">
        <v>134</v>
      </c>
      <c r="AA169" s="46"/>
      <c r="AB169" s="26"/>
      <c r="AC169" s="51" t="s">
        <v>135</v>
      </c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</row>
    <row r="170">
      <c r="A170" s="35">
        <v>45998.0</v>
      </c>
      <c r="B170" s="36" t="s">
        <v>1359</v>
      </c>
      <c r="C170" s="37" t="s">
        <v>1360</v>
      </c>
      <c r="D170" s="37" t="s">
        <v>1361</v>
      </c>
      <c r="E170" s="54">
        <v>4796992024</v>
      </c>
      <c r="F170" s="39" t="s">
        <v>1362</v>
      </c>
      <c r="G170" s="52" t="str">
        <f>IF(NOT(ISERROR(MATCH(D170,'Tannbleking - Oppsalg US'!D:D, 0))), "Ja", "")</f>
        <v/>
      </c>
      <c r="H170" s="37" t="s">
        <v>50</v>
      </c>
      <c r="I170" s="37" t="s">
        <v>44</v>
      </c>
      <c r="J170" s="40"/>
      <c r="K170" s="41"/>
      <c r="L170" s="42" t="s">
        <v>128</v>
      </c>
      <c r="M170" s="43" t="s">
        <v>1263</v>
      </c>
      <c r="N170" s="44">
        <v>6.867462540737E12</v>
      </c>
      <c r="O170" s="53" t="str">
        <f t="shared" si="1"/>
        <v>07/12/2025</v>
      </c>
      <c r="P170" s="46">
        <f t="shared" si="2"/>
        <v>1765068780</v>
      </c>
      <c r="Q170" s="47"/>
      <c r="R170" s="48"/>
      <c r="S170" s="46"/>
      <c r="T170" s="49" t="s">
        <v>1363</v>
      </c>
      <c r="U170" s="49" t="s">
        <v>1364</v>
      </c>
      <c r="V170" s="49" t="s">
        <v>1365</v>
      </c>
      <c r="W170" s="46"/>
      <c r="X170" s="49" t="s">
        <v>132</v>
      </c>
      <c r="Y170" s="50" t="s">
        <v>133</v>
      </c>
      <c r="Z170" s="50" t="s">
        <v>134</v>
      </c>
      <c r="AA170" s="46"/>
      <c r="AB170" s="26"/>
      <c r="AC170" s="51" t="s">
        <v>280</v>
      </c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</row>
    <row r="171">
      <c r="A171" s="35">
        <v>45998.0</v>
      </c>
      <c r="B171" s="36" t="s">
        <v>1366</v>
      </c>
      <c r="C171" s="37" t="s">
        <v>1367</v>
      </c>
      <c r="D171" s="37" t="s">
        <v>1368</v>
      </c>
      <c r="E171" s="54">
        <v>4797483260</v>
      </c>
      <c r="F171" s="39" t="s">
        <v>1369</v>
      </c>
      <c r="G171" s="52" t="str">
        <f>IF(NOT(ISERROR(MATCH(D171,'Tannbleking - Oppsalg US'!D:D, 0))), "Ja", "")</f>
        <v/>
      </c>
      <c r="H171" s="37" t="s">
        <v>43</v>
      </c>
      <c r="I171" s="37" t="s">
        <v>72</v>
      </c>
      <c r="J171" s="40"/>
      <c r="K171" s="41"/>
      <c r="L171" s="42" t="s">
        <v>128</v>
      </c>
      <c r="M171" s="43" t="s">
        <v>1040</v>
      </c>
      <c r="N171" s="44">
        <v>6.867462540537E12</v>
      </c>
      <c r="O171" s="53" t="str">
        <f t="shared" si="1"/>
        <v>07/12/2025</v>
      </c>
      <c r="P171" s="46">
        <f t="shared" si="2"/>
        <v>1765091160</v>
      </c>
      <c r="Q171" s="47"/>
      <c r="R171" s="48"/>
      <c r="S171" s="46"/>
      <c r="T171" s="49" t="s">
        <v>1370</v>
      </c>
      <c r="U171" s="49" t="s">
        <v>1371</v>
      </c>
      <c r="V171" s="49" t="s">
        <v>1372</v>
      </c>
      <c r="W171" s="46"/>
      <c r="X171" s="49" t="s">
        <v>132</v>
      </c>
      <c r="Y171" s="50" t="s">
        <v>133</v>
      </c>
      <c r="Z171" s="50" t="s">
        <v>134</v>
      </c>
      <c r="AA171" s="46"/>
      <c r="AB171" s="26"/>
      <c r="AC171" s="51" t="s">
        <v>144</v>
      </c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</row>
    <row r="172">
      <c r="A172" s="35">
        <v>45999.0</v>
      </c>
      <c r="B172" s="36" t="s">
        <v>713</v>
      </c>
      <c r="C172" s="37" t="s">
        <v>659</v>
      </c>
      <c r="D172" s="37" t="s">
        <v>660</v>
      </c>
      <c r="E172" s="54">
        <v>4794296204</v>
      </c>
      <c r="F172" s="39" t="s">
        <v>1373</v>
      </c>
      <c r="G172" s="52" t="str">
        <f>IF(NOT(ISERROR(MATCH(D172,'Tannbleking - Oppsalg US'!D:D, 0))), "Ja", "")</f>
        <v>Ja</v>
      </c>
      <c r="H172" s="37" t="s">
        <v>43</v>
      </c>
      <c r="I172" s="37" t="s">
        <v>72</v>
      </c>
      <c r="J172" s="40"/>
      <c r="K172" s="41"/>
      <c r="L172" s="42" t="s">
        <v>128</v>
      </c>
      <c r="M172" s="43" t="s">
        <v>925</v>
      </c>
      <c r="N172" s="44">
        <v>6.867462541337E12</v>
      </c>
      <c r="O172" s="53" t="str">
        <f t="shared" si="1"/>
        <v>08/12/2025</v>
      </c>
      <c r="P172" s="46">
        <f t="shared" si="2"/>
        <v>1765191900</v>
      </c>
      <c r="Q172" s="47"/>
      <c r="R172" s="48"/>
      <c r="S172" s="46"/>
      <c r="T172" s="49" t="s">
        <v>662</v>
      </c>
      <c r="U172" s="49" t="s">
        <v>663</v>
      </c>
      <c r="V172" s="49" t="s">
        <v>1374</v>
      </c>
      <c r="W172" s="46"/>
      <c r="X172" s="49" t="s">
        <v>132</v>
      </c>
      <c r="Y172" s="50" t="s">
        <v>133</v>
      </c>
      <c r="Z172" s="50" t="s">
        <v>134</v>
      </c>
      <c r="AA172" s="46"/>
      <c r="AB172" s="26"/>
      <c r="AC172" s="51" t="s">
        <v>135</v>
      </c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</row>
    <row r="173">
      <c r="A173" s="35">
        <v>45999.0</v>
      </c>
      <c r="B173" s="36" t="s">
        <v>1375</v>
      </c>
      <c r="C173" s="37" t="s">
        <v>1376</v>
      </c>
      <c r="D173" s="37" t="s">
        <v>1377</v>
      </c>
      <c r="E173" s="54">
        <v>4792484345</v>
      </c>
      <c r="F173" s="39" t="s">
        <v>1378</v>
      </c>
      <c r="G173" s="52" t="str">
        <f>IF(NOT(ISERROR(MATCH(D173,'Tannbleking - Oppsalg US'!D:D, 0))), "Ja", "")</f>
        <v/>
      </c>
      <c r="H173" s="37" t="s">
        <v>90</v>
      </c>
      <c r="I173" s="37" t="s">
        <v>44</v>
      </c>
      <c r="J173" s="40"/>
      <c r="K173" s="41"/>
      <c r="L173" s="42" t="s">
        <v>128</v>
      </c>
      <c r="M173" s="43" t="s">
        <v>1191</v>
      </c>
      <c r="N173" s="44">
        <v>6.867462540937E12</v>
      </c>
      <c r="O173" s="53" t="str">
        <f t="shared" si="1"/>
        <v>08/12/2025</v>
      </c>
      <c r="P173" s="46">
        <f t="shared" si="2"/>
        <v>1765203180</v>
      </c>
      <c r="Q173" s="47"/>
      <c r="R173" s="48"/>
      <c r="S173" s="46"/>
      <c r="T173" s="49" t="s">
        <v>1379</v>
      </c>
      <c r="U173" s="49" t="s">
        <v>1380</v>
      </c>
      <c r="V173" s="49" t="s">
        <v>1381</v>
      </c>
      <c r="W173" s="46"/>
      <c r="X173" s="49" t="s">
        <v>132</v>
      </c>
      <c r="Y173" s="50" t="s">
        <v>133</v>
      </c>
      <c r="Z173" s="50" t="s">
        <v>134</v>
      </c>
      <c r="AA173" s="46"/>
      <c r="AB173" s="26"/>
      <c r="AC173" s="51" t="s">
        <v>144</v>
      </c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</row>
    <row r="174">
      <c r="A174" s="35">
        <v>45999.0</v>
      </c>
      <c r="B174" s="36" t="s">
        <v>1382</v>
      </c>
      <c r="C174" s="37" t="s">
        <v>1383</v>
      </c>
      <c r="D174" s="37" t="s">
        <v>1384</v>
      </c>
      <c r="E174" s="54">
        <v>4799609255</v>
      </c>
      <c r="F174" s="39" t="s">
        <v>1385</v>
      </c>
      <c r="G174" s="52" t="str">
        <f>IF(NOT(ISERROR(MATCH(D174,'Tannbleking - Oppsalg US'!D:D, 0))), "Ja", "")</f>
        <v/>
      </c>
      <c r="H174" s="37" t="s">
        <v>50</v>
      </c>
      <c r="I174" s="37" t="s">
        <v>44</v>
      </c>
      <c r="J174" s="40"/>
      <c r="K174" s="41"/>
      <c r="L174" s="42" t="s">
        <v>128</v>
      </c>
      <c r="M174" s="43" t="s">
        <v>1302</v>
      </c>
      <c r="N174" s="44">
        <v>6.867462542937E12</v>
      </c>
      <c r="O174" s="53" t="str">
        <f t="shared" si="1"/>
        <v>08/12/2025</v>
      </c>
      <c r="P174" s="46">
        <f t="shared" si="2"/>
        <v>1765210980</v>
      </c>
      <c r="Q174" s="47"/>
      <c r="R174" s="48"/>
      <c r="S174" s="46"/>
      <c r="T174" s="49" t="s">
        <v>1386</v>
      </c>
      <c r="U174" s="49" t="s">
        <v>1387</v>
      </c>
      <c r="V174" s="49" t="s">
        <v>1388</v>
      </c>
      <c r="W174" s="46"/>
      <c r="X174" s="49" t="s">
        <v>132</v>
      </c>
      <c r="Y174" s="50" t="s">
        <v>133</v>
      </c>
      <c r="Z174" s="50" t="s">
        <v>134</v>
      </c>
      <c r="AA174" s="46"/>
      <c r="AB174" s="26"/>
      <c r="AC174" s="51" t="s">
        <v>135</v>
      </c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</row>
    <row r="175">
      <c r="A175" s="35">
        <v>46000.0</v>
      </c>
      <c r="B175" s="36" t="s">
        <v>1389</v>
      </c>
      <c r="C175" s="37" t="s">
        <v>1390</v>
      </c>
      <c r="D175" s="37" t="s">
        <v>903</v>
      </c>
      <c r="E175" s="54">
        <v>4746543585</v>
      </c>
      <c r="F175" s="39" t="s">
        <v>1391</v>
      </c>
      <c r="G175" s="52" t="str">
        <f>IF(NOT(ISERROR(MATCH(D175,'Tannbleking - Oppsalg US'!D:D, 0))), "Ja", "")</f>
        <v/>
      </c>
      <c r="H175" s="37" t="s">
        <v>50</v>
      </c>
      <c r="I175" s="37" t="s">
        <v>44</v>
      </c>
      <c r="J175" s="40"/>
      <c r="K175" s="41"/>
      <c r="L175" s="42" t="s">
        <v>128</v>
      </c>
      <c r="M175" s="43" t="s">
        <v>925</v>
      </c>
      <c r="N175" s="44">
        <v>6.867462541337E12</v>
      </c>
      <c r="O175" s="53" t="str">
        <f t="shared" si="1"/>
        <v>09/12/2025</v>
      </c>
      <c r="P175" s="46">
        <f t="shared" si="2"/>
        <v>1765266120</v>
      </c>
      <c r="Q175" s="47"/>
      <c r="R175" s="48"/>
      <c r="S175" s="46"/>
      <c r="T175" s="49" t="s">
        <v>1392</v>
      </c>
      <c r="U175" s="49" t="s">
        <v>906</v>
      </c>
      <c r="V175" s="49" t="s">
        <v>1393</v>
      </c>
      <c r="W175" s="46"/>
      <c r="X175" s="49" t="s">
        <v>132</v>
      </c>
      <c r="Y175" s="50" t="s">
        <v>133</v>
      </c>
      <c r="Z175" s="50" t="s">
        <v>134</v>
      </c>
      <c r="AA175" s="46"/>
      <c r="AB175" s="26"/>
      <c r="AC175" s="51" t="s">
        <v>135</v>
      </c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</row>
    <row r="176">
      <c r="A176" s="35">
        <v>46000.0</v>
      </c>
      <c r="B176" s="36" t="s">
        <v>1394</v>
      </c>
      <c r="C176" s="37" t="s">
        <v>1395</v>
      </c>
      <c r="D176" s="37" t="s">
        <v>1396</v>
      </c>
      <c r="E176" s="54">
        <v>4745818374</v>
      </c>
      <c r="F176" s="39" t="s">
        <v>1397</v>
      </c>
      <c r="G176" s="52" t="str">
        <f>IF(NOT(ISERROR(MATCH(D176,'Tannbleking - Oppsalg US'!D:D, 0))), "Ja", "")</f>
        <v/>
      </c>
      <c r="H176" s="37" t="s">
        <v>50</v>
      </c>
      <c r="I176" s="37" t="s">
        <v>44</v>
      </c>
      <c r="J176" s="40"/>
      <c r="K176" s="41"/>
      <c r="L176" s="42" t="s">
        <v>128</v>
      </c>
      <c r="M176" s="43" t="s">
        <v>1302</v>
      </c>
      <c r="N176" s="44">
        <v>6.867462542937E12</v>
      </c>
      <c r="O176" s="53" t="str">
        <f t="shared" si="1"/>
        <v>09/12/2025</v>
      </c>
      <c r="P176" s="46">
        <f t="shared" si="2"/>
        <v>1765274820</v>
      </c>
      <c r="Q176" s="47"/>
      <c r="R176" s="48"/>
      <c r="S176" s="46"/>
      <c r="T176" s="49" t="s">
        <v>1398</v>
      </c>
      <c r="U176" s="49" t="s">
        <v>1399</v>
      </c>
      <c r="V176" s="49" t="s">
        <v>1400</v>
      </c>
      <c r="W176" s="46"/>
      <c r="X176" s="49" t="s">
        <v>132</v>
      </c>
      <c r="Y176" s="50" t="s">
        <v>133</v>
      </c>
      <c r="Z176" s="50" t="s">
        <v>134</v>
      </c>
      <c r="AA176" s="46"/>
      <c r="AB176" s="26"/>
      <c r="AC176" s="51" t="s">
        <v>144</v>
      </c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</row>
    <row r="177">
      <c r="A177" s="35">
        <v>46000.0</v>
      </c>
      <c r="B177" s="36" t="s">
        <v>1401</v>
      </c>
      <c r="C177" s="37" t="s">
        <v>1402</v>
      </c>
      <c r="D177" s="37" t="s">
        <v>1403</v>
      </c>
      <c r="E177" s="54">
        <v>4740400521</v>
      </c>
      <c r="F177" s="39" t="s">
        <v>1404</v>
      </c>
      <c r="G177" s="52" t="str">
        <f>IF(NOT(ISERROR(MATCH(D177,'Tannbleking - Oppsalg US'!D:D, 0))), "Ja", "")</f>
        <v/>
      </c>
      <c r="H177" s="37" t="s">
        <v>50</v>
      </c>
      <c r="I177" s="37" t="s">
        <v>44</v>
      </c>
      <c r="J177" s="40"/>
      <c r="K177" s="41"/>
      <c r="L177" s="42" t="s">
        <v>128</v>
      </c>
      <c r="M177" s="43" t="s">
        <v>1263</v>
      </c>
      <c r="N177" s="44">
        <v>6.867462540737E12</v>
      </c>
      <c r="O177" s="53" t="str">
        <f t="shared" si="1"/>
        <v>09/12/2025</v>
      </c>
      <c r="P177" s="46">
        <f t="shared" si="2"/>
        <v>1765280160</v>
      </c>
      <c r="Q177" s="47"/>
      <c r="R177" s="48"/>
      <c r="S177" s="46"/>
      <c r="T177" s="49" t="s">
        <v>1405</v>
      </c>
      <c r="U177" s="49" t="s">
        <v>1406</v>
      </c>
      <c r="V177" s="49" t="s">
        <v>1407</v>
      </c>
      <c r="W177" s="46"/>
      <c r="X177" s="49" t="s">
        <v>132</v>
      </c>
      <c r="Y177" s="50" t="s">
        <v>133</v>
      </c>
      <c r="Z177" s="50" t="s">
        <v>134</v>
      </c>
      <c r="AA177" s="46"/>
      <c r="AB177" s="26"/>
      <c r="AC177" s="51" t="s">
        <v>135</v>
      </c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</row>
    <row r="178">
      <c r="A178" s="35">
        <v>46000.0</v>
      </c>
      <c r="B178" s="36" t="s">
        <v>1408</v>
      </c>
      <c r="C178" s="37" t="s">
        <v>1409</v>
      </c>
      <c r="D178" s="37" t="s">
        <v>1410</v>
      </c>
      <c r="E178" s="54">
        <v>4792554614</v>
      </c>
      <c r="F178" s="39" t="s">
        <v>1411</v>
      </c>
      <c r="G178" s="52" t="str">
        <f>IF(NOT(ISERROR(MATCH(D178,'Tannbleking - Oppsalg US'!D:D, 0))), "Ja", "")</f>
        <v>Ja</v>
      </c>
      <c r="H178" s="37" t="s">
        <v>43</v>
      </c>
      <c r="I178" s="37" t="s">
        <v>72</v>
      </c>
      <c r="J178" s="40"/>
      <c r="K178" s="41"/>
      <c r="L178" s="42" t="s">
        <v>128</v>
      </c>
      <c r="M178" s="43" t="s">
        <v>947</v>
      </c>
      <c r="N178" s="44">
        <v>6.867462541737E12</v>
      </c>
      <c r="O178" s="53" t="str">
        <f t="shared" si="1"/>
        <v>09/12/2025</v>
      </c>
      <c r="P178" s="46">
        <f t="shared" si="2"/>
        <v>1765280580</v>
      </c>
      <c r="Q178" s="47"/>
      <c r="R178" s="48"/>
      <c r="S178" s="46"/>
      <c r="T178" s="49" t="s">
        <v>1412</v>
      </c>
      <c r="U178" s="49" t="s">
        <v>1413</v>
      </c>
      <c r="V178" s="49" t="s">
        <v>1414</v>
      </c>
      <c r="W178" s="46"/>
      <c r="X178" s="49" t="s">
        <v>132</v>
      </c>
      <c r="Y178" s="50" t="s">
        <v>133</v>
      </c>
      <c r="Z178" s="50" t="s">
        <v>134</v>
      </c>
      <c r="AA178" s="46"/>
      <c r="AB178" s="26"/>
      <c r="AC178" s="51" t="s">
        <v>144</v>
      </c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</row>
    <row r="179">
      <c r="A179" s="35">
        <v>46001.0</v>
      </c>
      <c r="B179" s="36" t="s">
        <v>1415</v>
      </c>
      <c r="C179" s="37" t="s">
        <v>1416</v>
      </c>
      <c r="D179" s="37" t="s">
        <v>1417</v>
      </c>
      <c r="E179" s="54">
        <v>4795258554</v>
      </c>
      <c r="F179" s="39" t="s">
        <v>1418</v>
      </c>
      <c r="G179" s="52" t="str">
        <f>IF(NOT(ISERROR(MATCH(D179,'Tannbleking - Oppsalg US'!D:D, 0))), "Ja", "")</f>
        <v/>
      </c>
      <c r="H179" s="37" t="s">
        <v>50</v>
      </c>
      <c r="I179" s="37" t="s">
        <v>44</v>
      </c>
      <c r="J179" s="40"/>
      <c r="K179" s="41"/>
      <c r="L179" s="42" t="s">
        <v>128</v>
      </c>
      <c r="M179" s="43" t="s">
        <v>1263</v>
      </c>
      <c r="N179" s="44">
        <v>6.867462540737E12</v>
      </c>
      <c r="O179" s="53" t="str">
        <f t="shared" si="1"/>
        <v>10/12/2025</v>
      </c>
      <c r="P179" s="46">
        <f t="shared" si="2"/>
        <v>1765368180</v>
      </c>
      <c r="Q179" s="47"/>
      <c r="R179" s="48"/>
      <c r="S179" s="46"/>
      <c r="T179" s="49" t="s">
        <v>1419</v>
      </c>
      <c r="U179" s="49" t="s">
        <v>1420</v>
      </c>
      <c r="V179" s="49" t="s">
        <v>1421</v>
      </c>
      <c r="W179" s="46"/>
      <c r="X179" s="49" t="s">
        <v>132</v>
      </c>
      <c r="Y179" s="50" t="s">
        <v>133</v>
      </c>
      <c r="Z179" s="50" t="s">
        <v>134</v>
      </c>
      <c r="AA179" s="46"/>
      <c r="AB179" s="26"/>
      <c r="AC179" s="51" t="s">
        <v>423</v>
      </c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</row>
    <row r="180">
      <c r="A180" s="35">
        <v>46001.0</v>
      </c>
      <c r="B180" s="36" t="s">
        <v>1422</v>
      </c>
      <c r="C180" s="37" t="s">
        <v>1423</v>
      </c>
      <c r="D180" s="37" t="s">
        <v>1424</v>
      </c>
      <c r="E180" s="54">
        <v>4795158371</v>
      </c>
      <c r="F180" s="39" t="s">
        <v>1425</v>
      </c>
      <c r="G180" s="52" t="str">
        <f>IF(NOT(ISERROR(MATCH(D180,'Tannbleking - Oppsalg US'!D:D, 0))), "Ja", "")</f>
        <v/>
      </c>
      <c r="H180" s="37" t="s">
        <v>50</v>
      </c>
      <c r="I180" s="37" t="s">
        <v>44</v>
      </c>
      <c r="J180" s="40"/>
      <c r="K180" s="41"/>
      <c r="L180" s="42" t="s">
        <v>128</v>
      </c>
      <c r="M180" s="43" t="s">
        <v>1093</v>
      </c>
      <c r="N180" s="44">
        <v>6.867462542737E12</v>
      </c>
      <c r="O180" s="53" t="str">
        <f t="shared" si="1"/>
        <v>10/12/2025</v>
      </c>
      <c r="P180" s="46">
        <f t="shared" si="2"/>
        <v>1765383840</v>
      </c>
      <c r="Q180" s="47"/>
      <c r="R180" s="48"/>
      <c r="S180" s="46"/>
      <c r="T180" s="49" t="s">
        <v>1426</v>
      </c>
      <c r="U180" s="49" t="s">
        <v>1427</v>
      </c>
      <c r="V180" s="49" t="s">
        <v>1428</v>
      </c>
      <c r="W180" s="46"/>
      <c r="X180" s="49" t="s">
        <v>132</v>
      </c>
      <c r="Y180" s="50" t="s">
        <v>133</v>
      </c>
      <c r="Z180" s="50" t="s">
        <v>134</v>
      </c>
      <c r="AA180" s="46"/>
      <c r="AB180" s="26"/>
      <c r="AC180" s="51" t="s">
        <v>144</v>
      </c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</row>
    <row r="181">
      <c r="A181" s="35">
        <v>46001.0</v>
      </c>
      <c r="B181" s="36" t="s">
        <v>1429</v>
      </c>
      <c r="C181" s="37" t="s">
        <v>1430</v>
      </c>
      <c r="D181" s="37" t="s">
        <v>1431</v>
      </c>
      <c r="E181" s="54">
        <v>4745402351</v>
      </c>
      <c r="F181" s="39" t="s">
        <v>1432</v>
      </c>
      <c r="G181" s="52" t="str">
        <f>IF(NOT(ISERROR(MATCH(D181,'Tannbleking - Oppsalg US'!D:D, 0))), "Ja", "")</f>
        <v/>
      </c>
      <c r="H181" s="37" t="s">
        <v>50</v>
      </c>
      <c r="I181" s="37" t="s">
        <v>107</v>
      </c>
      <c r="J181" s="40"/>
      <c r="K181" s="41"/>
      <c r="L181" s="42" t="s">
        <v>128</v>
      </c>
      <c r="M181" s="43" t="s">
        <v>1040</v>
      </c>
      <c r="N181" s="44">
        <v>6.867462540537E12</v>
      </c>
      <c r="O181" s="53" t="str">
        <f t="shared" si="1"/>
        <v>10/12/2025</v>
      </c>
      <c r="P181" s="46">
        <f t="shared" si="2"/>
        <v>1765386300</v>
      </c>
      <c r="Q181" s="47"/>
      <c r="R181" s="48"/>
      <c r="S181" s="46"/>
      <c r="T181" s="49" t="s">
        <v>1433</v>
      </c>
      <c r="U181" s="49" t="s">
        <v>1434</v>
      </c>
      <c r="V181" s="49" t="s">
        <v>1435</v>
      </c>
      <c r="W181" s="46"/>
      <c r="X181" s="49" t="s">
        <v>132</v>
      </c>
      <c r="Y181" s="50" t="s">
        <v>133</v>
      </c>
      <c r="Z181" s="50" t="s">
        <v>134</v>
      </c>
      <c r="AA181" s="46"/>
      <c r="AB181" s="26"/>
      <c r="AC181" s="51" t="s">
        <v>135</v>
      </c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</row>
    <row r="182">
      <c r="A182" s="35">
        <v>46002.0</v>
      </c>
      <c r="B182" s="36" t="s">
        <v>1436</v>
      </c>
      <c r="C182" s="37" t="s">
        <v>1437</v>
      </c>
      <c r="D182" s="37" t="s">
        <v>1438</v>
      </c>
      <c r="E182" s="54">
        <v>4792118838</v>
      </c>
      <c r="F182" s="39" t="s">
        <v>1439</v>
      </c>
      <c r="G182" s="52" t="str">
        <f>IF(NOT(ISERROR(MATCH(D182,'Tannbleking - Oppsalg US'!D:D, 0))), "Ja", "")</f>
        <v/>
      </c>
      <c r="H182" s="37" t="s">
        <v>50</v>
      </c>
      <c r="I182" s="37" t="s">
        <v>72</v>
      </c>
      <c r="J182" s="40"/>
      <c r="K182" s="41"/>
      <c r="L182" s="42" t="s">
        <v>128</v>
      </c>
      <c r="M182" s="43" t="s">
        <v>1302</v>
      </c>
      <c r="N182" s="44">
        <v>6.867462542937E12</v>
      </c>
      <c r="O182" s="53" t="str">
        <f t="shared" si="1"/>
        <v>11/12/2025</v>
      </c>
      <c r="P182" s="46">
        <f t="shared" si="2"/>
        <v>1765423560</v>
      </c>
      <c r="Q182" s="47"/>
      <c r="R182" s="48"/>
      <c r="S182" s="46"/>
      <c r="T182" s="49" t="s">
        <v>1440</v>
      </c>
      <c r="U182" s="49" t="s">
        <v>1441</v>
      </c>
      <c r="V182" s="49" t="s">
        <v>1442</v>
      </c>
      <c r="W182" s="46"/>
      <c r="X182" s="49" t="s">
        <v>132</v>
      </c>
      <c r="Y182" s="50" t="s">
        <v>133</v>
      </c>
      <c r="Z182" s="50" t="s">
        <v>134</v>
      </c>
      <c r="AA182" s="46"/>
      <c r="AB182" s="26"/>
      <c r="AC182" s="51" t="s">
        <v>144</v>
      </c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</row>
    <row r="183">
      <c r="A183" s="35">
        <v>46002.0</v>
      </c>
      <c r="B183" s="36" t="s">
        <v>1443</v>
      </c>
      <c r="C183" s="37" t="s">
        <v>1444</v>
      </c>
      <c r="D183" s="37" t="s">
        <v>1445</v>
      </c>
      <c r="E183" s="54">
        <v>4745689773</v>
      </c>
      <c r="F183" s="39" t="s">
        <v>1446</v>
      </c>
      <c r="G183" s="52" t="str">
        <f>IF(NOT(ISERROR(MATCH(D183,'Tannbleking - Oppsalg US'!D:D, 0))), "Ja", "")</f>
        <v/>
      </c>
      <c r="H183" s="37" t="s">
        <v>50</v>
      </c>
      <c r="I183" s="37" t="s">
        <v>72</v>
      </c>
      <c r="J183" s="40"/>
      <c r="K183" s="41"/>
      <c r="L183" s="42" t="s">
        <v>128</v>
      </c>
      <c r="M183" s="43" t="s">
        <v>1302</v>
      </c>
      <c r="N183" s="44">
        <v>6.867462542937E12</v>
      </c>
      <c r="O183" s="53" t="str">
        <f t="shared" si="1"/>
        <v>11/12/2025</v>
      </c>
      <c r="P183" s="46">
        <f t="shared" si="2"/>
        <v>1765431720</v>
      </c>
      <c r="Q183" s="47"/>
      <c r="R183" s="48"/>
      <c r="S183" s="46"/>
      <c r="T183" s="49" t="s">
        <v>1447</v>
      </c>
      <c r="U183" s="49" t="s">
        <v>1448</v>
      </c>
      <c r="V183" s="49" t="s">
        <v>1449</v>
      </c>
      <c r="W183" s="46"/>
      <c r="X183" s="49" t="s">
        <v>132</v>
      </c>
      <c r="Y183" s="50" t="s">
        <v>133</v>
      </c>
      <c r="Z183" s="50" t="s">
        <v>134</v>
      </c>
      <c r="AA183" s="46"/>
      <c r="AB183" s="26"/>
      <c r="AC183" s="51" t="s">
        <v>144</v>
      </c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</row>
    <row r="184">
      <c r="A184" s="35">
        <v>46002.0</v>
      </c>
      <c r="B184" s="36" t="s">
        <v>1030</v>
      </c>
      <c r="C184" s="37" t="s">
        <v>1450</v>
      </c>
      <c r="D184" s="37" t="s">
        <v>1451</v>
      </c>
      <c r="E184" s="54">
        <v>4799120808</v>
      </c>
      <c r="F184" s="39" t="s">
        <v>1452</v>
      </c>
      <c r="G184" s="52" t="str">
        <f>IF(NOT(ISERROR(MATCH(D184,'Tannbleking - Oppsalg US'!D:D, 0))), "Ja", "")</f>
        <v/>
      </c>
      <c r="H184" s="37" t="s">
        <v>50</v>
      </c>
      <c r="I184" s="37" t="s">
        <v>44</v>
      </c>
      <c r="J184" s="40"/>
      <c r="K184" s="41"/>
      <c r="L184" s="42" t="s">
        <v>128</v>
      </c>
      <c r="M184" s="43" t="s">
        <v>925</v>
      </c>
      <c r="N184" s="44">
        <v>6.867462541337E12</v>
      </c>
      <c r="O184" s="53" t="str">
        <f t="shared" si="1"/>
        <v>11/12/2025</v>
      </c>
      <c r="P184" s="46">
        <f t="shared" si="2"/>
        <v>1765439100</v>
      </c>
      <c r="Q184" s="47"/>
      <c r="R184" s="48"/>
      <c r="S184" s="46"/>
      <c r="T184" s="49" t="s">
        <v>1453</v>
      </c>
      <c r="U184" s="49" t="s">
        <v>1454</v>
      </c>
      <c r="V184" s="49" t="s">
        <v>1455</v>
      </c>
      <c r="W184" s="46"/>
      <c r="X184" s="49" t="s">
        <v>132</v>
      </c>
      <c r="Y184" s="50" t="s">
        <v>133</v>
      </c>
      <c r="Z184" s="50" t="s">
        <v>134</v>
      </c>
      <c r="AA184" s="46"/>
      <c r="AB184" s="26"/>
      <c r="AC184" s="51" t="s">
        <v>135</v>
      </c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</row>
    <row r="185">
      <c r="A185" s="35">
        <v>46002.0</v>
      </c>
      <c r="B185" s="36" t="s">
        <v>1456</v>
      </c>
      <c r="C185" s="37" t="s">
        <v>1457</v>
      </c>
      <c r="D185" s="37" t="s">
        <v>1458</v>
      </c>
      <c r="E185" s="54">
        <v>4745112535</v>
      </c>
      <c r="F185" s="39" t="s">
        <v>1459</v>
      </c>
      <c r="G185" s="52" t="str">
        <f>IF(NOT(ISERROR(MATCH(D185,'Tannbleking - Oppsalg US'!D:D, 0))), "Ja", "")</f>
        <v/>
      </c>
      <c r="H185" s="37" t="s">
        <v>50</v>
      </c>
      <c r="I185" s="37" t="s">
        <v>44</v>
      </c>
      <c r="J185" s="40"/>
      <c r="K185" s="41"/>
      <c r="L185" s="42" t="s">
        <v>128</v>
      </c>
      <c r="M185" s="43" t="s">
        <v>1302</v>
      </c>
      <c r="N185" s="44">
        <v>6.867462542937E12</v>
      </c>
      <c r="O185" s="53" t="str">
        <f t="shared" si="1"/>
        <v>11/12/2025</v>
      </c>
      <c r="P185" s="46">
        <f t="shared" si="2"/>
        <v>1765440120</v>
      </c>
      <c r="Q185" s="47"/>
      <c r="R185" s="48"/>
      <c r="S185" s="46"/>
      <c r="T185" s="49" t="s">
        <v>1460</v>
      </c>
      <c r="U185" s="49" t="s">
        <v>1461</v>
      </c>
      <c r="V185" s="49" t="s">
        <v>1462</v>
      </c>
      <c r="W185" s="46"/>
      <c r="X185" s="49" t="s">
        <v>132</v>
      </c>
      <c r="Y185" s="50" t="s">
        <v>133</v>
      </c>
      <c r="Z185" s="50" t="s">
        <v>134</v>
      </c>
      <c r="AA185" s="46"/>
      <c r="AB185" s="26"/>
      <c r="AC185" s="51" t="s">
        <v>135</v>
      </c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</row>
    <row r="186">
      <c r="A186" s="35">
        <v>46002.0</v>
      </c>
      <c r="B186" s="36" t="s">
        <v>1463</v>
      </c>
      <c r="C186" s="37" t="s">
        <v>1464</v>
      </c>
      <c r="D186" s="37" t="s">
        <v>1465</v>
      </c>
      <c r="E186" s="54">
        <v>4745237770</v>
      </c>
      <c r="F186" s="39" t="s">
        <v>1466</v>
      </c>
      <c r="G186" s="52" t="str">
        <f>IF(NOT(ISERROR(MATCH(D186,'Tannbleking - Oppsalg US'!D:D, 0))), "Ja", "")</f>
        <v/>
      </c>
      <c r="H186" s="37" t="s">
        <v>50</v>
      </c>
      <c r="I186" s="37" t="s">
        <v>44</v>
      </c>
      <c r="J186" s="40"/>
      <c r="K186" s="41"/>
      <c r="L186" s="42" t="s">
        <v>128</v>
      </c>
      <c r="M186" s="43" t="s">
        <v>1012</v>
      </c>
      <c r="N186" s="44">
        <v>6.867462542337E12</v>
      </c>
      <c r="O186" s="53" t="str">
        <f t="shared" si="1"/>
        <v>11/12/2025</v>
      </c>
      <c r="P186" s="46">
        <f t="shared" si="2"/>
        <v>1765441980</v>
      </c>
      <c r="Q186" s="47"/>
      <c r="R186" s="48"/>
      <c r="S186" s="46"/>
      <c r="T186" s="49" t="s">
        <v>1467</v>
      </c>
      <c r="U186" s="49" t="s">
        <v>1468</v>
      </c>
      <c r="V186" s="49" t="s">
        <v>1469</v>
      </c>
      <c r="W186" s="46"/>
      <c r="X186" s="49" t="s">
        <v>132</v>
      </c>
      <c r="Y186" s="50" t="s">
        <v>133</v>
      </c>
      <c r="Z186" s="50" t="s">
        <v>134</v>
      </c>
      <c r="AA186" s="46"/>
      <c r="AB186" s="26"/>
      <c r="AC186" s="51" t="s">
        <v>144</v>
      </c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</row>
    <row r="187">
      <c r="A187" s="35">
        <v>46002.0</v>
      </c>
      <c r="B187" s="36" t="s">
        <v>1470</v>
      </c>
      <c r="C187" s="37" t="s">
        <v>1471</v>
      </c>
      <c r="D187" s="37" t="s">
        <v>1472</v>
      </c>
      <c r="E187" s="54">
        <v>4740058834</v>
      </c>
      <c r="F187" s="39" t="s">
        <v>1473</v>
      </c>
      <c r="G187" s="52" t="str">
        <f>IF(NOT(ISERROR(MATCH(D187,'Tannbleking - Oppsalg US'!D:D, 0))), "Ja", "")</f>
        <v/>
      </c>
      <c r="H187" s="37" t="s">
        <v>50</v>
      </c>
      <c r="I187" s="37" t="s">
        <v>44</v>
      </c>
      <c r="J187" s="40"/>
      <c r="K187" s="41"/>
      <c r="L187" s="42" t="s">
        <v>347</v>
      </c>
      <c r="M187" s="43">
        <v>6.867462540937E12</v>
      </c>
      <c r="N187" s="44"/>
      <c r="O187" s="53" t="str">
        <f t="shared" si="1"/>
        <v>11/12/2025</v>
      </c>
      <c r="P187" s="46">
        <f t="shared" si="2"/>
        <v>1765443900</v>
      </c>
      <c r="Q187" s="47"/>
      <c r="R187" s="48"/>
      <c r="S187" s="46"/>
      <c r="T187" s="49" t="s">
        <v>1474</v>
      </c>
      <c r="U187" s="49" t="s">
        <v>1475</v>
      </c>
      <c r="V187" s="49" t="s">
        <v>1476</v>
      </c>
      <c r="W187" s="46"/>
      <c r="X187" s="49" t="s">
        <v>132</v>
      </c>
      <c r="Y187" s="50" t="s">
        <v>133</v>
      </c>
      <c r="Z187" s="50" t="s">
        <v>134</v>
      </c>
      <c r="AA187" s="46"/>
      <c r="AB187" s="26"/>
      <c r="AC187" s="51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</row>
    <row r="188">
      <c r="A188" s="35">
        <v>46004.0</v>
      </c>
      <c r="B188" s="36" t="s">
        <v>1237</v>
      </c>
      <c r="C188" s="37" t="s">
        <v>1477</v>
      </c>
      <c r="D188" s="37" t="s">
        <v>1478</v>
      </c>
      <c r="E188" s="54">
        <v>4796951826</v>
      </c>
      <c r="F188" s="39" t="s">
        <v>1479</v>
      </c>
      <c r="G188" s="52" t="str">
        <f>IF(NOT(ISERROR(MATCH(D188,'Tannbleking - Oppsalg US'!D:D, 0))), "Ja", "")</f>
        <v/>
      </c>
      <c r="H188" s="37" t="s">
        <v>676</v>
      </c>
      <c r="I188" s="37" t="s">
        <v>44</v>
      </c>
      <c r="J188" s="40" t="s">
        <v>1480</v>
      </c>
      <c r="K188" s="41"/>
      <c r="L188" s="42" t="s">
        <v>128</v>
      </c>
      <c r="M188" s="43" t="s">
        <v>1093</v>
      </c>
      <c r="N188" s="44">
        <v>6.867462542737E12</v>
      </c>
      <c r="O188" s="53" t="str">
        <f t="shared" si="1"/>
        <v>13/12/2025</v>
      </c>
      <c r="P188" s="46">
        <f t="shared" si="2"/>
        <v>1765666320</v>
      </c>
      <c r="Q188" s="47"/>
      <c r="R188" s="48"/>
      <c r="S188" s="46"/>
      <c r="T188" s="49" t="s">
        <v>1481</v>
      </c>
      <c r="U188" s="49" t="s">
        <v>1482</v>
      </c>
      <c r="V188" s="49" t="s">
        <v>1483</v>
      </c>
      <c r="W188" s="46"/>
      <c r="X188" s="49" t="s">
        <v>132</v>
      </c>
      <c r="Y188" s="50" t="s">
        <v>133</v>
      </c>
      <c r="Z188" s="50" t="s">
        <v>134</v>
      </c>
      <c r="AA188" s="46"/>
      <c r="AB188" s="26"/>
      <c r="AC188" s="51" t="s">
        <v>135</v>
      </c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</row>
    <row r="189">
      <c r="A189" s="35">
        <v>46004.0</v>
      </c>
      <c r="B189" s="36" t="s">
        <v>1484</v>
      </c>
      <c r="C189" s="37" t="s">
        <v>1485</v>
      </c>
      <c r="D189" s="37" t="s">
        <v>1486</v>
      </c>
      <c r="E189" s="54">
        <v>4741114466</v>
      </c>
      <c r="F189" s="39" t="s">
        <v>1487</v>
      </c>
      <c r="G189" s="52" t="str">
        <f>IF(NOT(ISERROR(MATCH(D189,'Tannbleking - Oppsalg US'!D:D, 0))), "Ja", "")</f>
        <v/>
      </c>
      <c r="H189" s="37" t="s">
        <v>50</v>
      </c>
      <c r="I189" s="37" t="s">
        <v>44</v>
      </c>
      <c r="J189" s="40"/>
      <c r="K189" s="41"/>
      <c r="L189" s="42" t="s">
        <v>128</v>
      </c>
      <c r="M189" s="43" t="s">
        <v>1093</v>
      </c>
      <c r="N189" s="44">
        <v>6.867462542737E12</v>
      </c>
      <c r="O189" s="53" t="str">
        <f t="shared" si="1"/>
        <v>13/12/2025</v>
      </c>
      <c r="P189" s="46">
        <f t="shared" si="2"/>
        <v>1765668180</v>
      </c>
      <c r="Q189" s="47"/>
      <c r="R189" s="48"/>
      <c r="S189" s="46"/>
      <c r="T189" s="49" t="s">
        <v>1488</v>
      </c>
      <c r="U189" s="49" t="s">
        <v>1489</v>
      </c>
      <c r="V189" s="49" t="s">
        <v>1490</v>
      </c>
      <c r="W189" s="46"/>
      <c r="X189" s="49" t="s">
        <v>132</v>
      </c>
      <c r="Y189" s="50" t="s">
        <v>133</v>
      </c>
      <c r="Z189" s="50" t="s">
        <v>134</v>
      </c>
      <c r="AA189" s="46"/>
      <c r="AB189" s="26"/>
      <c r="AC189" s="51" t="s">
        <v>144</v>
      </c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</row>
    <row r="190">
      <c r="A190" s="35">
        <v>46004.0</v>
      </c>
      <c r="B190" s="36" t="s">
        <v>615</v>
      </c>
      <c r="C190" s="37" t="s">
        <v>1491</v>
      </c>
      <c r="D190" s="37" t="s">
        <v>1492</v>
      </c>
      <c r="E190" s="54">
        <v>4793220913</v>
      </c>
      <c r="F190" s="39" t="s">
        <v>1493</v>
      </c>
      <c r="G190" s="52" t="str">
        <f>IF(NOT(ISERROR(MATCH(D190,'Tannbleking - Oppsalg US'!D:D, 0))), "Ja", "")</f>
        <v/>
      </c>
      <c r="H190" s="37" t="s">
        <v>50</v>
      </c>
      <c r="I190" s="37" t="s">
        <v>44</v>
      </c>
      <c r="J190" s="40"/>
      <c r="K190" s="41"/>
      <c r="L190" s="42" t="s">
        <v>128</v>
      </c>
      <c r="M190" s="43" t="s">
        <v>1302</v>
      </c>
      <c r="N190" s="44">
        <v>6.867462542937E12</v>
      </c>
      <c r="O190" s="53" t="str">
        <f t="shared" si="1"/>
        <v>13/12/2025</v>
      </c>
      <c r="P190" s="46">
        <f t="shared" si="2"/>
        <v>1765669800</v>
      </c>
      <c r="Q190" s="47"/>
      <c r="R190" s="48"/>
      <c r="S190" s="46"/>
      <c r="T190" s="49" t="s">
        <v>1494</v>
      </c>
      <c r="U190" s="49" t="s">
        <v>1495</v>
      </c>
      <c r="V190" s="49" t="s">
        <v>1496</v>
      </c>
      <c r="W190" s="46"/>
      <c r="X190" s="49" t="s">
        <v>132</v>
      </c>
      <c r="Y190" s="50" t="s">
        <v>133</v>
      </c>
      <c r="Z190" s="50" t="s">
        <v>134</v>
      </c>
      <c r="AA190" s="46"/>
      <c r="AB190" s="26"/>
      <c r="AC190" s="51" t="s">
        <v>135</v>
      </c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</row>
    <row r="191">
      <c r="A191" s="35">
        <v>46005.0</v>
      </c>
      <c r="B191" s="36" t="s">
        <v>1497</v>
      </c>
      <c r="C191" s="37" t="s">
        <v>1498</v>
      </c>
      <c r="D191" s="37" t="s">
        <v>1499</v>
      </c>
      <c r="E191" s="54">
        <v>4747339839</v>
      </c>
      <c r="F191" s="39" t="s">
        <v>1500</v>
      </c>
      <c r="G191" s="52" t="str">
        <f>IF(NOT(ISERROR(MATCH(D191,'Tannbleking - Oppsalg US'!D:D, 0))), "Ja", "")</f>
        <v/>
      </c>
      <c r="H191" s="37" t="s">
        <v>50</v>
      </c>
      <c r="I191" s="37" t="s">
        <v>72</v>
      </c>
      <c r="J191" s="40"/>
      <c r="K191" s="41"/>
      <c r="L191" s="42" t="s">
        <v>128</v>
      </c>
      <c r="M191" s="43" t="s">
        <v>1302</v>
      </c>
      <c r="N191" s="44">
        <v>6.867462542937E12</v>
      </c>
      <c r="O191" s="53" t="str">
        <f t="shared" si="1"/>
        <v>14/12/2025</v>
      </c>
      <c r="P191" s="46">
        <f t="shared" si="2"/>
        <v>1765671120</v>
      </c>
      <c r="Q191" s="47"/>
      <c r="R191" s="48"/>
      <c r="S191" s="46"/>
      <c r="T191" s="49" t="s">
        <v>1501</v>
      </c>
      <c r="U191" s="49" t="s">
        <v>1502</v>
      </c>
      <c r="V191" s="49" t="s">
        <v>1503</v>
      </c>
      <c r="W191" s="46"/>
      <c r="X191" s="49" t="s">
        <v>132</v>
      </c>
      <c r="Y191" s="50" t="s">
        <v>133</v>
      </c>
      <c r="Z191" s="50" t="s">
        <v>134</v>
      </c>
      <c r="AA191" s="46"/>
      <c r="AB191" s="26"/>
      <c r="AC191" s="51" t="s">
        <v>135</v>
      </c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</row>
    <row r="192">
      <c r="A192" s="35">
        <v>46005.0</v>
      </c>
      <c r="B192" s="36" t="s">
        <v>1504</v>
      </c>
      <c r="C192" s="37" t="s">
        <v>1505</v>
      </c>
      <c r="D192" s="37" t="s">
        <v>1506</v>
      </c>
      <c r="E192" s="54">
        <v>4740672743</v>
      </c>
      <c r="F192" s="39" t="s">
        <v>1507</v>
      </c>
      <c r="G192" s="52" t="str">
        <f>IF(NOT(ISERROR(MATCH(D192,'Tannbleking - Oppsalg US'!D:D, 0))), "Ja", "")</f>
        <v/>
      </c>
      <c r="H192" s="37" t="s">
        <v>50</v>
      </c>
      <c r="I192" s="37" t="s">
        <v>44</v>
      </c>
      <c r="J192" s="40"/>
      <c r="K192" s="41"/>
      <c r="L192" s="42" t="s">
        <v>128</v>
      </c>
      <c r="M192" s="43" t="s">
        <v>1093</v>
      </c>
      <c r="N192" s="44">
        <v>6.867462542737E12</v>
      </c>
      <c r="O192" s="53" t="str">
        <f t="shared" si="1"/>
        <v>14/12/2025</v>
      </c>
      <c r="P192" s="46">
        <f t="shared" si="2"/>
        <v>1765672140</v>
      </c>
      <c r="Q192" s="47"/>
      <c r="R192" s="48"/>
      <c r="S192" s="46"/>
      <c r="T192" s="49" t="s">
        <v>1508</v>
      </c>
      <c r="U192" s="49" t="s">
        <v>1509</v>
      </c>
      <c r="V192" s="49" t="s">
        <v>1510</v>
      </c>
      <c r="W192" s="46"/>
      <c r="X192" s="49" t="s">
        <v>132</v>
      </c>
      <c r="Y192" s="50" t="s">
        <v>133</v>
      </c>
      <c r="Z192" s="50" t="s">
        <v>134</v>
      </c>
      <c r="AA192" s="46"/>
      <c r="AB192" s="26"/>
      <c r="AC192" s="51" t="s">
        <v>135</v>
      </c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</row>
    <row r="193">
      <c r="A193" s="35">
        <v>46005.0</v>
      </c>
      <c r="B193" s="36" t="s">
        <v>1511</v>
      </c>
      <c r="C193" s="37" t="s">
        <v>1512</v>
      </c>
      <c r="D193" s="37" t="s">
        <v>1513</v>
      </c>
      <c r="E193" s="54">
        <v>4746673691</v>
      </c>
      <c r="F193" s="39" t="s">
        <v>1514</v>
      </c>
      <c r="G193" s="52" t="str">
        <f>IF(NOT(ISERROR(MATCH(D193,'Tannbleking - Oppsalg US'!D:D, 0))), "Ja", "")</f>
        <v/>
      </c>
      <c r="H193" s="37" t="s">
        <v>50</v>
      </c>
      <c r="I193" s="37" t="s">
        <v>44</v>
      </c>
      <c r="J193" s="40"/>
      <c r="K193" s="41"/>
      <c r="L193" s="42" t="s">
        <v>128</v>
      </c>
      <c r="M193" s="43" t="s">
        <v>1302</v>
      </c>
      <c r="N193" s="44">
        <v>6.867462542937E12</v>
      </c>
      <c r="O193" s="53" t="str">
        <f t="shared" si="1"/>
        <v>14/12/2025</v>
      </c>
      <c r="P193" s="46">
        <f t="shared" si="2"/>
        <v>1765713240</v>
      </c>
      <c r="Q193" s="47"/>
      <c r="R193" s="48"/>
      <c r="S193" s="46"/>
      <c r="T193" s="49" t="s">
        <v>1515</v>
      </c>
      <c r="U193" s="49" t="s">
        <v>1516</v>
      </c>
      <c r="V193" s="49" t="s">
        <v>1517</v>
      </c>
      <c r="W193" s="46"/>
      <c r="X193" s="49" t="s">
        <v>132</v>
      </c>
      <c r="Y193" s="50" t="s">
        <v>133</v>
      </c>
      <c r="Z193" s="50" t="s">
        <v>134</v>
      </c>
      <c r="AA193" s="46"/>
      <c r="AB193" s="26"/>
      <c r="AC193" s="51" t="s">
        <v>135</v>
      </c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</row>
    <row r="194">
      <c r="A194" s="35">
        <v>46006.0</v>
      </c>
      <c r="B194" s="36" t="s">
        <v>1518</v>
      </c>
      <c r="C194" s="37" t="s">
        <v>1519</v>
      </c>
      <c r="D194" s="37" t="s">
        <v>1520</v>
      </c>
      <c r="E194" s="54">
        <v>4798804559</v>
      </c>
      <c r="F194" s="39" t="s">
        <v>1521</v>
      </c>
      <c r="G194" s="52" t="str">
        <f>IF(NOT(ISERROR(MATCH(D194,'Tannbleking - Oppsalg US'!D:D, 0))), "Ja", "")</f>
        <v/>
      </c>
      <c r="H194" s="37" t="s">
        <v>50</v>
      </c>
      <c r="I194" s="37" t="s">
        <v>44</v>
      </c>
      <c r="J194" s="40"/>
      <c r="K194" s="41"/>
      <c r="L194" s="42" t="s">
        <v>347</v>
      </c>
      <c r="M194" s="43">
        <v>6.867462541337E12</v>
      </c>
      <c r="N194" s="44"/>
      <c r="O194" s="53" t="str">
        <f t="shared" si="1"/>
        <v>15/12/2025</v>
      </c>
      <c r="P194" s="46">
        <f t="shared" si="2"/>
        <v>1765828560</v>
      </c>
      <c r="Q194" s="47"/>
      <c r="R194" s="48"/>
      <c r="S194" s="46"/>
      <c r="T194" s="49" t="s">
        <v>1522</v>
      </c>
      <c r="U194" s="49" t="s">
        <v>1523</v>
      </c>
      <c r="V194" s="49" t="s">
        <v>1524</v>
      </c>
      <c r="W194" s="46"/>
      <c r="X194" s="49" t="s">
        <v>132</v>
      </c>
      <c r="Y194" s="50" t="s">
        <v>133</v>
      </c>
      <c r="Z194" s="50" t="s">
        <v>134</v>
      </c>
      <c r="AA194" s="46"/>
      <c r="AB194" s="26"/>
      <c r="AC194" s="51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</row>
    <row r="195">
      <c r="A195" s="35">
        <v>46007.0</v>
      </c>
      <c r="B195" s="36" t="s">
        <v>1525</v>
      </c>
      <c r="C195" s="37" t="s">
        <v>1526</v>
      </c>
      <c r="D195" s="37" t="s">
        <v>1527</v>
      </c>
      <c r="E195" s="54">
        <v>4796705436</v>
      </c>
      <c r="F195" s="39" t="s">
        <v>1528</v>
      </c>
      <c r="G195" s="52" t="str">
        <f>IF(NOT(ISERROR(MATCH(D195,'Tannbleking - Oppsalg US'!D:D, 0))), "Ja", "")</f>
        <v/>
      </c>
      <c r="H195" s="37" t="s">
        <v>50</v>
      </c>
      <c r="I195" s="37" t="s">
        <v>44</v>
      </c>
      <c r="J195" s="40"/>
      <c r="K195" s="41"/>
      <c r="L195" s="42" t="s">
        <v>128</v>
      </c>
      <c r="M195" s="43" t="s">
        <v>1093</v>
      </c>
      <c r="N195" s="44">
        <v>6.867462542737E12</v>
      </c>
      <c r="O195" s="53" t="str">
        <f t="shared" si="1"/>
        <v>16/12/2025</v>
      </c>
      <c r="P195" s="46">
        <f t="shared" si="2"/>
        <v>1765890900</v>
      </c>
      <c r="Q195" s="47"/>
      <c r="R195" s="48"/>
      <c r="S195" s="46"/>
      <c r="T195" s="49" t="s">
        <v>1529</v>
      </c>
      <c r="U195" s="49" t="s">
        <v>1530</v>
      </c>
      <c r="V195" s="49" t="s">
        <v>1531</v>
      </c>
      <c r="W195" s="46"/>
      <c r="X195" s="49" t="s">
        <v>132</v>
      </c>
      <c r="Y195" s="50" t="s">
        <v>133</v>
      </c>
      <c r="Z195" s="50" t="s">
        <v>134</v>
      </c>
      <c r="AA195" s="46"/>
      <c r="AB195" s="26"/>
      <c r="AC195" s="51" t="s">
        <v>144</v>
      </c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</row>
    <row r="196">
      <c r="A196" s="35">
        <v>46007.0</v>
      </c>
      <c r="B196" s="36" t="s">
        <v>1532</v>
      </c>
      <c r="C196" s="37" t="s">
        <v>1533</v>
      </c>
      <c r="D196" s="37" t="s">
        <v>1534</v>
      </c>
      <c r="E196" s="54">
        <v>4795041469</v>
      </c>
      <c r="F196" s="39" t="s">
        <v>1535</v>
      </c>
      <c r="G196" s="52" t="str">
        <f>IF(NOT(ISERROR(MATCH(D196,'Tannbleking - Oppsalg US'!D:D, 0))), "Ja", "")</f>
        <v/>
      </c>
      <c r="H196" s="37" t="s">
        <v>43</v>
      </c>
      <c r="I196" s="37" t="s">
        <v>107</v>
      </c>
      <c r="J196" s="40" t="s">
        <v>1536</v>
      </c>
      <c r="K196" s="41"/>
      <c r="L196" s="42" t="s">
        <v>128</v>
      </c>
      <c r="M196" s="43" t="s">
        <v>1093</v>
      </c>
      <c r="N196" s="44">
        <v>6.867462542737E12</v>
      </c>
      <c r="O196" s="53" t="str">
        <f t="shared" si="1"/>
        <v>16/12/2025</v>
      </c>
      <c r="P196" s="46">
        <f t="shared" si="2"/>
        <v>1765898700</v>
      </c>
      <c r="Q196" s="47"/>
      <c r="R196" s="48"/>
      <c r="S196" s="46"/>
      <c r="T196" s="49" t="s">
        <v>1537</v>
      </c>
      <c r="U196" s="49" t="s">
        <v>1538</v>
      </c>
      <c r="V196" s="49" t="s">
        <v>1539</v>
      </c>
      <c r="W196" s="46"/>
      <c r="X196" s="49" t="s">
        <v>132</v>
      </c>
      <c r="Y196" s="50" t="s">
        <v>133</v>
      </c>
      <c r="Z196" s="50" t="s">
        <v>134</v>
      </c>
      <c r="AA196" s="46"/>
      <c r="AB196" s="26"/>
      <c r="AC196" s="51" t="s">
        <v>135</v>
      </c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</row>
    <row r="197">
      <c r="A197" s="35">
        <v>46008.0</v>
      </c>
      <c r="B197" s="36" t="s">
        <v>1540</v>
      </c>
      <c r="C197" s="37" t="s">
        <v>1541</v>
      </c>
      <c r="D197" s="37" t="s">
        <v>1542</v>
      </c>
      <c r="E197" s="54">
        <v>4745492020</v>
      </c>
      <c r="F197" s="39" t="s">
        <v>716</v>
      </c>
      <c r="G197" s="52" t="str">
        <f>IF(NOT(ISERROR(MATCH(D197,'Tannbleking - Oppsalg US'!D:D, 0))), "Ja", "")</f>
        <v/>
      </c>
      <c r="H197" s="37" t="s">
        <v>50</v>
      </c>
      <c r="I197" s="37" t="s">
        <v>44</v>
      </c>
      <c r="J197" s="40"/>
      <c r="K197" s="41"/>
      <c r="L197" s="42" t="s">
        <v>128</v>
      </c>
      <c r="M197" s="43" t="s">
        <v>1302</v>
      </c>
      <c r="N197" s="44">
        <v>6.867462542937E12</v>
      </c>
      <c r="O197" s="53" t="str">
        <f t="shared" si="1"/>
        <v>17/12/2025</v>
      </c>
      <c r="P197" s="46">
        <f t="shared" si="2"/>
        <v>1765969440</v>
      </c>
      <c r="Q197" s="47"/>
      <c r="R197" s="48"/>
      <c r="S197" s="46"/>
      <c r="T197" s="49" t="s">
        <v>1543</v>
      </c>
      <c r="U197" s="49" t="s">
        <v>1544</v>
      </c>
      <c r="V197" s="49" t="s">
        <v>1545</v>
      </c>
      <c r="W197" s="46"/>
      <c r="X197" s="49" t="s">
        <v>132</v>
      </c>
      <c r="Y197" s="50" t="s">
        <v>133</v>
      </c>
      <c r="Z197" s="50" t="s">
        <v>134</v>
      </c>
      <c r="AA197" s="46"/>
      <c r="AB197" s="26"/>
      <c r="AC197" s="51" t="s">
        <v>144</v>
      </c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</row>
    <row r="198">
      <c r="A198" s="35">
        <v>46008.0</v>
      </c>
      <c r="B198" s="36" t="s">
        <v>1546</v>
      </c>
      <c r="C198" s="37" t="s">
        <v>1547</v>
      </c>
      <c r="D198" s="37" t="s">
        <v>1548</v>
      </c>
      <c r="E198" s="54">
        <v>4740152685</v>
      </c>
      <c r="F198" s="39" t="s">
        <v>1528</v>
      </c>
      <c r="G198" s="52" t="str">
        <f>IF(NOT(ISERROR(MATCH(D198,'Tannbleking - Oppsalg US'!D:D, 0))), "Ja", "")</f>
        <v/>
      </c>
      <c r="H198" s="37" t="s">
        <v>50</v>
      </c>
      <c r="I198" s="37" t="s">
        <v>107</v>
      </c>
      <c r="J198" s="40"/>
      <c r="K198" s="41"/>
      <c r="L198" s="42" t="s">
        <v>128</v>
      </c>
      <c r="M198" s="43" t="s">
        <v>1302</v>
      </c>
      <c r="N198" s="44">
        <v>6.867462542937E12</v>
      </c>
      <c r="O198" s="53" t="str">
        <f t="shared" si="1"/>
        <v>17/12/2025</v>
      </c>
      <c r="P198" s="46">
        <f t="shared" si="2"/>
        <v>1765974900</v>
      </c>
      <c r="Q198" s="47"/>
      <c r="R198" s="48"/>
      <c r="S198" s="46"/>
      <c r="T198" s="49" t="s">
        <v>1549</v>
      </c>
      <c r="U198" s="49" t="s">
        <v>1550</v>
      </c>
      <c r="V198" s="49" t="s">
        <v>1551</v>
      </c>
      <c r="W198" s="46"/>
      <c r="X198" s="49" t="s">
        <v>132</v>
      </c>
      <c r="Y198" s="50" t="s">
        <v>133</v>
      </c>
      <c r="Z198" s="50" t="s">
        <v>134</v>
      </c>
      <c r="AA198" s="46"/>
      <c r="AB198" s="26"/>
      <c r="AC198" s="51" t="s">
        <v>135</v>
      </c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</row>
    <row r="199">
      <c r="A199" s="35">
        <v>46009.0</v>
      </c>
      <c r="B199" s="36" t="s">
        <v>1552</v>
      </c>
      <c r="C199" s="37" t="s">
        <v>1553</v>
      </c>
      <c r="D199" s="37" t="s">
        <v>1554</v>
      </c>
      <c r="E199" s="54">
        <v>4745128573</v>
      </c>
      <c r="F199" s="39" t="s">
        <v>1362</v>
      </c>
      <c r="G199" s="52" t="str">
        <f>IF(NOT(ISERROR(MATCH(D199,'Tannbleking - Oppsalg US'!D:D, 0))), "Ja", "")</f>
        <v/>
      </c>
      <c r="H199" s="37" t="s">
        <v>50</v>
      </c>
      <c r="I199" s="37" t="s">
        <v>72</v>
      </c>
      <c r="J199" s="40"/>
      <c r="K199" s="41"/>
      <c r="L199" s="42" t="s">
        <v>128</v>
      </c>
      <c r="M199" s="43" t="s">
        <v>1302</v>
      </c>
      <c r="N199" s="44">
        <v>6.867462542937E12</v>
      </c>
      <c r="O199" s="53" t="str">
        <f t="shared" si="1"/>
        <v>18/12/2025</v>
      </c>
      <c r="P199" s="46">
        <f t="shared" si="2"/>
        <v>1766088480</v>
      </c>
      <c r="Q199" s="47"/>
      <c r="R199" s="48"/>
      <c r="S199" s="46"/>
      <c r="T199" s="49" t="s">
        <v>1555</v>
      </c>
      <c r="U199" s="49" t="s">
        <v>1556</v>
      </c>
      <c r="V199" s="49" t="s">
        <v>1557</v>
      </c>
      <c r="W199" s="46"/>
      <c r="X199" s="49" t="s">
        <v>132</v>
      </c>
      <c r="Y199" s="50" t="s">
        <v>133</v>
      </c>
      <c r="Z199" s="50" t="s">
        <v>134</v>
      </c>
      <c r="AA199" s="46"/>
      <c r="AB199" s="26"/>
      <c r="AC199" s="51" t="s">
        <v>135</v>
      </c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</row>
    <row r="200">
      <c r="A200" s="35">
        <v>46010.0</v>
      </c>
      <c r="B200" s="36" t="s">
        <v>1558</v>
      </c>
      <c r="C200" s="37" t="s">
        <v>1559</v>
      </c>
      <c r="D200" s="37" t="s">
        <v>1560</v>
      </c>
      <c r="E200" s="54">
        <v>4796705155</v>
      </c>
      <c r="F200" s="39" t="s">
        <v>1561</v>
      </c>
      <c r="G200" s="52" t="str">
        <f>IF(NOT(ISERROR(MATCH(D200,'Tannbleking - Oppsalg US'!D:D, 0))), "Ja", "")</f>
        <v/>
      </c>
      <c r="H200" s="37" t="s">
        <v>50</v>
      </c>
      <c r="I200" s="37" t="s">
        <v>44</v>
      </c>
      <c r="J200" s="40"/>
      <c r="K200" s="41"/>
      <c r="L200" s="42" t="s">
        <v>128</v>
      </c>
      <c r="M200" s="43" t="s">
        <v>1287</v>
      </c>
      <c r="N200" s="44">
        <v>6.867462540137E12</v>
      </c>
      <c r="O200" s="53" t="str">
        <f t="shared" si="1"/>
        <v>19/12/2025</v>
      </c>
      <c r="P200" s="46">
        <f t="shared" si="2"/>
        <v>1766108100</v>
      </c>
      <c r="Q200" s="47"/>
      <c r="R200" s="48"/>
      <c r="S200" s="46"/>
      <c r="T200" s="49" t="s">
        <v>1562</v>
      </c>
      <c r="U200" s="49" t="s">
        <v>1563</v>
      </c>
      <c r="V200" s="49" t="s">
        <v>1564</v>
      </c>
      <c r="W200" s="46"/>
      <c r="X200" s="49" t="s">
        <v>132</v>
      </c>
      <c r="Y200" s="50" t="s">
        <v>133</v>
      </c>
      <c r="Z200" s="50" t="s">
        <v>134</v>
      </c>
      <c r="AA200" s="46"/>
      <c r="AB200" s="26"/>
      <c r="AC200" s="51" t="s">
        <v>135</v>
      </c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</row>
    <row r="201">
      <c r="A201" s="35">
        <v>46010.0</v>
      </c>
      <c r="B201" s="36" t="s">
        <v>499</v>
      </c>
      <c r="C201" s="37" t="s">
        <v>1565</v>
      </c>
      <c r="D201" s="37" t="s">
        <v>1566</v>
      </c>
      <c r="E201" s="54">
        <v>4793020207</v>
      </c>
      <c r="F201" s="39" t="s">
        <v>1567</v>
      </c>
      <c r="G201" s="52" t="str">
        <f>IF(NOT(ISERROR(MATCH(D201,'Tannbleking - Oppsalg US'!D:D, 0))), "Ja", "")</f>
        <v/>
      </c>
      <c r="H201" s="37" t="s">
        <v>676</v>
      </c>
      <c r="I201" s="37" t="s">
        <v>44</v>
      </c>
      <c r="J201" s="40" t="s">
        <v>1568</v>
      </c>
      <c r="K201" s="41"/>
      <c r="L201" s="42" t="s">
        <v>128</v>
      </c>
      <c r="M201" s="43" t="s">
        <v>1302</v>
      </c>
      <c r="N201" s="44">
        <v>6.867462542937E12</v>
      </c>
      <c r="O201" s="53" t="str">
        <f t="shared" si="1"/>
        <v>19/12/2025</v>
      </c>
      <c r="P201" s="46">
        <f t="shared" si="2"/>
        <v>1766140140</v>
      </c>
      <c r="Q201" s="47"/>
      <c r="R201" s="48"/>
      <c r="S201" s="46"/>
      <c r="T201" s="49" t="s">
        <v>1569</v>
      </c>
      <c r="U201" s="49" t="s">
        <v>1570</v>
      </c>
      <c r="V201" s="49" t="s">
        <v>1571</v>
      </c>
      <c r="W201" s="46"/>
      <c r="X201" s="49" t="s">
        <v>132</v>
      </c>
      <c r="Y201" s="50" t="s">
        <v>133</v>
      </c>
      <c r="Z201" s="50" t="s">
        <v>134</v>
      </c>
      <c r="AA201" s="46"/>
      <c r="AB201" s="26"/>
      <c r="AC201" s="51" t="s">
        <v>144</v>
      </c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</row>
    <row r="202">
      <c r="A202" s="35">
        <v>46010.0</v>
      </c>
      <c r="B202" s="36" t="s">
        <v>1572</v>
      </c>
      <c r="C202" s="37" t="s">
        <v>1573</v>
      </c>
      <c r="D202" s="37" t="s">
        <v>1574</v>
      </c>
      <c r="E202" s="54">
        <v>4740955517</v>
      </c>
      <c r="F202" s="39" t="s">
        <v>1575</v>
      </c>
      <c r="G202" s="52" t="str">
        <f>IF(NOT(ISERROR(MATCH(D202,'Tannbleking - Oppsalg US'!D:D, 0))), "Ja", "")</f>
        <v/>
      </c>
      <c r="H202" s="37" t="s">
        <v>43</v>
      </c>
      <c r="I202" s="37" t="s">
        <v>107</v>
      </c>
      <c r="J202" s="40"/>
      <c r="K202" s="41"/>
      <c r="L202" s="42" t="s">
        <v>347</v>
      </c>
      <c r="M202" s="43">
        <v>6.867462540137E12</v>
      </c>
      <c r="N202" s="44"/>
      <c r="O202" s="53" t="str">
        <f t="shared" si="1"/>
        <v>19/12/2025</v>
      </c>
      <c r="P202" s="46">
        <f t="shared" si="2"/>
        <v>1766154360</v>
      </c>
      <c r="Q202" s="47"/>
      <c r="R202" s="48"/>
      <c r="S202" s="46"/>
      <c r="T202" s="49" t="s">
        <v>1576</v>
      </c>
      <c r="U202" s="49" t="s">
        <v>1577</v>
      </c>
      <c r="V202" s="49" t="s">
        <v>1578</v>
      </c>
      <c r="W202" s="46"/>
      <c r="X202" s="49" t="s">
        <v>132</v>
      </c>
      <c r="Y202" s="50" t="s">
        <v>133</v>
      </c>
      <c r="Z202" s="50" t="s">
        <v>134</v>
      </c>
      <c r="AA202" s="46"/>
      <c r="AB202" s="26"/>
      <c r="AC202" s="51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</row>
    <row r="203">
      <c r="A203" s="35">
        <v>46011.0</v>
      </c>
      <c r="B203" s="36" t="s">
        <v>1579</v>
      </c>
      <c r="C203" s="37" t="s">
        <v>1580</v>
      </c>
      <c r="D203" s="37" t="s">
        <v>1581</v>
      </c>
      <c r="E203" s="54">
        <v>4791789585</v>
      </c>
      <c r="F203" s="39" t="s">
        <v>1514</v>
      </c>
      <c r="G203" s="52" t="str">
        <f>IF(NOT(ISERROR(MATCH(D203,'Tannbleking - Oppsalg US'!D:D, 0))), "Ja", "")</f>
        <v/>
      </c>
      <c r="H203" s="37" t="s">
        <v>50</v>
      </c>
      <c r="I203" s="37" t="s">
        <v>107</v>
      </c>
      <c r="J203" s="40"/>
      <c r="K203" s="41"/>
      <c r="L203" s="42" t="s">
        <v>128</v>
      </c>
      <c r="M203" s="43" t="s">
        <v>1263</v>
      </c>
      <c r="N203" s="44">
        <v>6.867462540737E12</v>
      </c>
      <c r="O203" s="53" t="str">
        <f t="shared" si="1"/>
        <v>20/12/2025</v>
      </c>
      <c r="P203" s="46">
        <f t="shared" si="2"/>
        <v>1766213760</v>
      </c>
      <c r="Q203" s="47"/>
      <c r="R203" s="48"/>
      <c r="S203" s="46"/>
      <c r="T203" s="49" t="s">
        <v>1582</v>
      </c>
      <c r="U203" s="49" t="s">
        <v>1583</v>
      </c>
      <c r="V203" s="49" t="s">
        <v>1584</v>
      </c>
      <c r="W203" s="46"/>
      <c r="X203" s="49" t="s">
        <v>132</v>
      </c>
      <c r="Y203" s="50" t="s">
        <v>133</v>
      </c>
      <c r="Z203" s="50" t="s">
        <v>134</v>
      </c>
      <c r="AA203" s="46"/>
      <c r="AB203" s="26"/>
      <c r="AC203" s="51" t="s">
        <v>135</v>
      </c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</row>
    <row r="204">
      <c r="A204" s="35">
        <v>46011.0</v>
      </c>
      <c r="B204" s="36" t="s">
        <v>1585</v>
      </c>
      <c r="C204" s="37" t="s">
        <v>1586</v>
      </c>
      <c r="D204" s="37" t="s">
        <v>1587</v>
      </c>
      <c r="E204" s="54">
        <v>4741686116</v>
      </c>
      <c r="F204" s="39" t="s">
        <v>1588</v>
      </c>
      <c r="G204" s="52" t="str">
        <f>IF(NOT(ISERROR(MATCH(D204,'Tannbleking - Oppsalg US'!D:D, 0))), "Ja", "")</f>
        <v/>
      </c>
      <c r="H204" s="37" t="s">
        <v>676</v>
      </c>
      <c r="I204" s="37" t="s">
        <v>72</v>
      </c>
      <c r="J204" s="40" t="s">
        <v>1589</v>
      </c>
      <c r="K204" s="41"/>
      <c r="L204" s="42" t="s">
        <v>128</v>
      </c>
      <c r="M204" s="43" t="s">
        <v>1263</v>
      </c>
      <c r="N204" s="44">
        <v>6.867462540737E12</v>
      </c>
      <c r="O204" s="53" t="str">
        <f t="shared" si="1"/>
        <v>20/12/2025</v>
      </c>
      <c r="P204" s="46">
        <f t="shared" si="2"/>
        <v>1766225520</v>
      </c>
      <c r="Q204" s="47"/>
      <c r="R204" s="48"/>
      <c r="S204" s="46"/>
      <c r="T204" s="49" t="s">
        <v>1590</v>
      </c>
      <c r="U204" s="49" t="s">
        <v>1591</v>
      </c>
      <c r="V204" s="49" t="s">
        <v>1592</v>
      </c>
      <c r="W204" s="46"/>
      <c r="X204" s="49" t="s">
        <v>132</v>
      </c>
      <c r="Y204" s="50" t="s">
        <v>133</v>
      </c>
      <c r="Z204" s="50" t="s">
        <v>134</v>
      </c>
      <c r="AA204" s="46"/>
      <c r="AB204" s="26"/>
      <c r="AC204" s="51" t="s">
        <v>135</v>
      </c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</row>
    <row r="205">
      <c r="A205" s="35">
        <v>46023.0</v>
      </c>
      <c r="B205" s="36" t="s">
        <v>1593</v>
      </c>
      <c r="C205" s="37" t="s">
        <v>1594</v>
      </c>
      <c r="D205" s="37" t="s">
        <v>1595</v>
      </c>
      <c r="E205" s="54">
        <v>4798007666</v>
      </c>
      <c r="F205" s="39" t="s">
        <v>1596</v>
      </c>
      <c r="G205" s="52" t="str">
        <f>IF(NOT(ISERROR(MATCH(D205,'Tannbleking - Oppsalg US'!D:D, 0))), "Ja", "")</f>
        <v/>
      </c>
      <c r="H205" s="37" t="s">
        <v>676</v>
      </c>
      <c r="I205" s="37" t="s">
        <v>44</v>
      </c>
      <c r="J205" s="40" t="s">
        <v>1597</v>
      </c>
      <c r="K205" s="41"/>
      <c r="L205" s="42" t="s">
        <v>128</v>
      </c>
      <c r="M205" s="43" t="s">
        <v>1598</v>
      </c>
      <c r="N205" s="44">
        <v>6.880738889537E12</v>
      </c>
      <c r="O205" s="53" t="str">
        <f t="shared" si="1"/>
        <v>01/01/2026</v>
      </c>
      <c r="P205" s="46">
        <f t="shared" si="2"/>
        <v>1767236220</v>
      </c>
      <c r="Q205" s="47"/>
      <c r="R205" s="48"/>
      <c r="S205" s="46"/>
      <c r="T205" s="49" t="s">
        <v>1599</v>
      </c>
      <c r="U205" s="49" t="s">
        <v>1600</v>
      </c>
      <c r="V205" s="49" t="s">
        <v>1601</v>
      </c>
      <c r="W205" s="46"/>
      <c r="X205" s="49" t="s">
        <v>132</v>
      </c>
      <c r="Y205" s="50" t="s">
        <v>133</v>
      </c>
      <c r="Z205" s="50" t="s">
        <v>134</v>
      </c>
      <c r="AA205" s="46"/>
      <c r="AB205" s="26"/>
      <c r="AC205" s="51" t="s">
        <v>135</v>
      </c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</row>
    <row r="206">
      <c r="A206" s="35">
        <v>46023.0</v>
      </c>
      <c r="B206" s="36" t="s">
        <v>1602</v>
      </c>
      <c r="C206" s="37" t="s">
        <v>1603</v>
      </c>
      <c r="D206" s="37" t="s">
        <v>1604</v>
      </c>
      <c r="E206" s="54">
        <v>4795158198</v>
      </c>
      <c r="F206" s="39" t="s">
        <v>1596</v>
      </c>
      <c r="G206" s="52" t="str">
        <f>IF(NOT(ISERROR(MATCH(D206,'Tannbleking - Oppsalg US'!D:D, 0))), "Ja", "")</f>
        <v/>
      </c>
      <c r="H206" s="37" t="s">
        <v>50</v>
      </c>
      <c r="I206" s="37" t="s">
        <v>44</v>
      </c>
      <c r="J206" s="40"/>
      <c r="K206" s="41"/>
      <c r="L206" s="42" t="s">
        <v>128</v>
      </c>
      <c r="M206" s="43" t="s">
        <v>1605</v>
      </c>
      <c r="N206" s="44">
        <v>6.880738888737E12</v>
      </c>
      <c r="O206" s="53" t="str">
        <f t="shared" si="1"/>
        <v>01/01/2026</v>
      </c>
      <c r="P206" s="46">
        <f t="shared" si="2"/>
        <v>1767280140</v>
      </c>
      <c r="Q206" s="47"/>
      <c r="R206" s="48"/>
      <c r="S206" s="46"/>
      <c r="T206" s="49" t="s">
        <v>1606</v>
      </c>
      <c r="U206" s="49" t="s">
        <v>1607</v>
      </c>
      <c r="V206" s="49" t="s">
        <v>1608</v>
      </c>
      <c r="W206" s="46"/>
      <c r="X206" s="49" t="s">
        <v>132</v>
      </c>
      <c r="Y206" s="50" t="s">
        <v>133</v>
      </c>
      <c r="Z206" s="50" t="s">
        <v>134</v>
      </c>
      <c r="AA206" s="46"/>
      <c r="AB206" s="26"/>
      <c r="AC206" s="51" t="s">
        <v>144</v>
      </c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</row>
    <row r="207">
      <c r="A207" s="35">
        <v>46023.0</v>
      </c>
      <c r="B207" s="36" t="s">
        <v>1609</v>
      </c>
      <c r="C207" s="37" t="s">
        <v>1610</v>
      </c>
      <c r="D207" s="37" t="s">
        <v>1611</v>
      </c>
      <c r="E207" s="54">
        <v>4798824584</v>
      </c>
      <c r="F207" s="39" t="s">
        <v>1612</v>
      </c>
      <c r="G207" s="52" t="str">
        <f>IF(NOT(ISERROR(MATCH(D207,'Tannbleking - Oppsalg US'!D:D, 0))), "Ja", "")</f>
        <v/>
      </c>
      <c r="H207" s="37" t="s">
        <v>50</v>
      </c>
      <c r="I207" s="37" t="s">
        <v>140</v>
      </c>
      <c r="J207" s="40"/>
      <c r="K207" s="41"/>
      <c r="L207" s="42" t="s">
        <v>128</v>
      </c>
      <c r="M207" s="43" t="s">
        <v>1613</v>
      </c>
      <c r="N207" s="44">
        <v>6.880738889137E12</v>
      </c>
      <c r="O207" s="53" t="str">
        <f t="shared" si="1"/>
        <v>01/01/2026</v>
      </c>
      <c r="P207" s="46">
        <f t="shared" si="2"/>
        <v>1767305940</v>
      </c>
      <c r="Q207" s="47"/>
      <c r="R207" s="48"/>
      <c r="S207" s="46"/>
      <c r="T207" s="49" t="s">
        <v>1614</v>
      </c>
      <c r="U207" s="49" t="s">
        <v>1615</v>
      </c>
      <c r="V207" s="49" t="s">
        <v>1616</v>
      </c>
      <c r="W207" s="46"/>
      <c r="X207" s="49" t="s">
        <v>132</v>
      </c>
      <c r="Y207" s="50" t="s">
        <v>133</v>
      </c>
      <c r="Z207" s="50" t="s">
        <v>134</v>
      </c>
      <c r="AA207" s="46"/>
      <c r="AB207" s="26"/>
      <c r="AC207" s="51" t="s">
        <v>144</v>
      </c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</row>
    <row r="208">
      <c r="A208" s="35">
        <v>46024.0</v>
      </c>
      <c r="B208" s="36" t="s">
        <v>1617</v>
      </c>
      <c r="C208" s="37" t="s">
        <v>1618</v>
      </c>
      <c r="D208" s="37" t="s">
        <v>1619</v>
      </c>
      <c r="E208" s="54">
        <v>4798602123</v>
      </c>
      <c r="F208" s="39" t="s">
        <v>1620</v>
      </c>
      <c r="G208" s="52" t="str">
        <f>IF(NOT(ISERROR(MATCH(D208,'Tannbleking - Oppsalg US'!D:D, 0))), "Ja", "")</f>
        <v/>
      </c>
      <c r="H208" s="37" t="s">
        <v>50</v>
      </c>
      <c r="I208" s="37" t="s">
        <v>44</v>
      </c>
      <c r="J208" s="40"/>
      <c r="K208" s="41"/>
      <c r="L208" s="42" t="s">
        <v>128</v>
      </c>
      <c r="M208" s="43" t="s">
        <v>1621</v>
      </c>
      <c r="N208" s="44">
        <v>6.880738890937E12</v>
      </c>
      <c r="O208" s="53" t="str">
        <f t="shared" si="1"/>
        <v>02/01/2026</v>
      </c>
      <c r="P208" s="46">
        <f t="shared" si="2"/>
        <v>1767321000</v>
      </c>
      <c r="Q208" s="47"/>
      <c r="R208" s="48"/>
      <c r="S208" s="46"/>
      <c r="T208" s="49" t="s">
        <v>1622</v>
      </c>
      <c r="U208" s="49" t="s">
        <v>1623</v>
      </c>
      <c r="V208" s="49" t="s">
        <v>1624</v>
      </c>
      <c r="W208" s="46"/>
      <c r="X208" s="49" t="s">
        <v>132</v>
      </c>
      <c r="Y208" s="50" t="s">
        <v>133</v>
      </c>
      <c r="Z208" s="50" t="s">
        <v>134</v>
      </c>
      <c r="AA208" s="46"/>
      <c r="AB208" s="26"/>
      <c r="AC208" s="51" t="s">
        <v>423</v>
      </c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</row>
    <row r="209">
      <c r="A209" s="35">
        <v>46024.0</v>
      </c>
      <c r="B209" s="36" t="s">
        <v>63</v>
      </c>
      <c r="C209" s="37" t="s">
        <v>1625</v>
      </c>
      <c r="D209" s="37" t="s">
        <v>1626</v>
      </c>
      <c r="E209" s="54">
        <v>4740059281</v>
      </c>
      <c r="F209" s="39" t="s">
        <v>1627</v>
      </c>
      <c r="G209" s="52" t="str">
        <f>IF(NOT(ISERROR(MATCH(D209,'Tannbleking - Oppsalg US'!D:D, 0))), "Ja", "")</f>
        <v/>
      </c>
      <c r="H209" s="37" t="s">
        <v>50</v>
      </c>
      <c r="I209" s="37" t="s">
        <v>140</v>
      </c>
      <c r="J209" s="40"/>
      <c r="K209" s="41"/>
      <c r="L209" s="42" t="s">
        <v>128</v>
      </c>
      <c r="M209" s="43" t="s">
        <v>1621</v>
      </c>
      <c r="N209" s="44">
        <v>6.880738890937E12</v>
      </c>
      <c r="O209" s="53" t="str">
        <f t="shared" si="1"/>
        <v>02/01/2026</v>
      </c>
      <c r="P209" s="46">
        <f t="shared" si="2"/>
        <v>1767378600</v>
      </c>
      <c r="Q209" s="47"/>
      <c r="R209" s="48"/>
      <c r="S209" s="46"/>
      <c r="T209" s="49" t="s">
        <v>1628</v>
      </c>
      <c r="U209" s="49" t="s">
        <v>1629</v>
      </c>
      <c r="V209" s="49" t="s">
        <v>1630</v>
      </c>
      <c r="W209" s="46"/>
      <c r="X209" s="49" t="s">
        <v>132</v>
      </c>
      <c r="Y209" s="50" t="s">
        <v>133</v>
      </c>
      <c r="Z209" s="50" t="s">
        <v>134</v>
      </c>
      <c r="AA209" s="46"/>
      <c r="AB209" s="26"/>
      <c r="AC209" s="51" t="s">
        <v>135</v>
      </c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</row>
    <row r="210">
      <c r="A210" s="35">
        <v>46024.0</v>
      </c>
      <c r="B210" s="36" t="s">
        <v>1631</v>
      </c>
      <c r="C210" s="37" t="s">
        <v>1632</v>
      </c>
      <c r="D210" s="37" t="s">
        <v>1633</v>
      </c>
      <c r="E210" s="54">
        <v>4797574285</v>
      </c>
      <c r="F210" s="39" t="s">
        <v>1634</v>
      </c>
      <c r="G210" s="52" t="str">
        <f>IF(NOT(ISERROR(MATCH(D210,'Tannbleking - Oppsalg US'!D:D, 0))), "Ja", "")</f>
        <v/>
      </c>
      <c r="H210" s="37" t="s">
        <v>50</v>
      </c>
      <c r="I210" s="37" t="s">
        <v>44</v>
      </c>
      <c r="J210" s="40"/>
      <c r="K210" s="41"/>
      <c r="L210" s="42" t="s">
        <v>128</v>
      </c>
      <c r="M210" s="43" t="s">
        <v>1598</v>
      </c>
      <c r="N210" s="44">
        <v>6.880738889537E12</v>
      </c>
      <c r="O210" s="53" t="str">
        <f t="shared" si="1"/>
        <v>02/01/2026</v>
      </c>
      <c r="P210" s="46">
        <f t="shared" si="2"/>
        <v>1767396600</v>
      </c>
      <c r="Q210" s="47"/>
      <c r="R210" s="48"/>
      <c r="S210" s="46"/>
      <c r="T210" s="49" t="s">
        <v>1635</v>
      </c>
      <c r="U210" s="49" t="s">
        <v>1636</v>
      </c>
      <c r="V210" s="49" t="s">
        <v>1637</v>
      </c>
      <c r="W210" s="46"/>
      <c r="X210" s="49" t="s">
        <v>132</v>
      </c>
      <c r="Y210" s="50" t="s">
        <v>133</v>
      </c>
      <c r="Z210" s="50" t="s">
        <v>134</v>
      </c>
      <c r="AA210" s="46"/>
      <c r="AB210" s="26"/>
      <c r="AC210" s="51" t="s">
        <v>135</v>
      </c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</row>
    <row r="211">
      <c r="A211" s="35">
        <v>46025.0</v>
      </c>
      <c r="B211" s="36" t="s">
        <v>1638</v>
      </c>
      <c r="C211" s="37" t="s">
        <v>1639</v>
      </c>
      <c r="D211" s="37" t="s">
        <v>1640</v>
      </c>
      <c r="E211" s="54">
        <v>4745035361</v>
      </c>
      <c r="F211" s="39" t="s">
        <v>1641</v>
      </c>
      <c r="G211" s="52" t="str">
        <f>IF(NOT(ISERROR(MATCH(D211,'Tannbleking - Oppsalg US'!D:D, 0))), "Ja", "")</f>
        <v/>
      </c>
      <c r="H211" s="37" t="s">
        <v>50</v>
      </c>
      <c r="I211" s="37" t="s">
        <v>107</v>
      </c>
      <c r="J211" s="40"/>
      <c r="K211" s="41"/>
      <c r="L211" s="42" t="s">
        <v>128</v>
      </c>
      <c r="M211" s="43" t="s">
        <v>1605</v>
      </c>
      <c r="N211" s="44">
        <v>6.880738888737E12</v>
      </c>
      <c r="O211" s="53" t="str">
        <f t="shared" si="1"/>
        <v>03/01/2026</v>
      </c>
      <c r="P211" s="46">
        <f t="shared" si="2"/>
        <v>1767399360</v>
      </c>
      <c r="Q211" s="47"/>
      <c r="R211" s="48"/>
      <c r="S211" s="46"/>
      <c r="T211" s="49" t="s">
        <v>1642</v>
      </c>
      <c r="U211" s="49" t="s">
        <v>1643</v>
      </c>
      <c r="V211" s="49" t="s">
        <v>1644</v>
      </c>
      <c r="W211" s="46"/>
      <c r="X211" s="49" t="s">
        <v>132</v>
      </c>
      <c r="Y211" s="50" t="s">
        <v>133</v>
      </c>
      <c r="Z211" s="50" t="s">
        <v>134</v>
      </c>
      <c r="AA211" s="46"/>
      <c r="AB211" s="26"/>
      <c r="AC211" s="51" t="s">
        <v>135</v>
      </c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</row>
    <row r="212">
      <c r="A212" s="35">
        <v>46025.0</v>
      </c>
      <c r="B212" s="36" t="s">
        <v>1645</v>
      </c>
      <c r="C212" s="37" t="s">
        <v>1646</v>
      </c>
      <c r="D212" s="37" t="s">
        <v>1647</v>
      </c>
      <c r="E212" s="54">
        <v>4746343244</v>
      </c>
      <c r="F212" s="39" t="s">
        <v>1648</v>
      </c>
      <c r="G212" s="52" t="str">
        <f>IF(NOT(ISERROR(MATCH(D212,'Tannbleking - Oppsalg US'!D:D, 0))), "Ja", "")</f>
        <v/>
      </c>
      <c r="H212" s="37" t="s">
        <v>50</v>
      </c>
      <c r="I212" s="37" t="s">
        <v>44</v>
      </c>
      <c r="J212" s="40"/>
      <c r="K212" s="41"/>
      <c r="L212" s="42" t="s">
        <v>128</v>
      </c>
      <c r="M212" s="43" t="s">
        <v>1621</v>
      </c>
      <c r="N212" s="44">
        <v>6.880738890937E12</v>
      </c>
      <c r="O212" s="53" t="str">
        <f t="shared" si="1"/>
        <v>03/01/2026</v>
      </c>
      <c r="P212" s="46">
        <f t="shared" si="2"/>
        <v>1767473580</v>
      </c>
      <c r="Q212" s="47"/>
      <c r="R212" s="48"/>
      <c r="S212" s="46"/>
      <c r="T212" s="49" t="s">
        <v>1649</v>
      </c>
      <c r="U212" s="49" t="s">
        <v>1650</v>
      </c>
      <c r="V212" s="49" t="s">
        <v>1651</v>
      </c>
      <c r="W212" s="46"/>
      <c r="X212" s="49" t="s">
        <v>132</v>
      </c>
      <c r="Y212" s="50" t="s">
        <v>133</v>
      </c>
      <c r="Z212" s="50" t="s">
        <v>134</v>
      </c>
      <c r="AA212" s="46"/>
      <c r="AB212" s="26"/>
      <c r="AC212" s="51" t="s">
        <v>135</v>
      </c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</row>
    <row r="213">
      <c r="A213" s="35">
        <v>46025.0</v>
      </c>
      <c r="B213" s="36" t="s">
        <v>1652</v>
      </c>
      <c r="C213" s="37" t="s">
        <v>1653</v>
      </c>
      <c r="D213" s="37" t="s">
        <v>1654</v>
      </c>
      <c r="E213" s="54">
        <v>4795559403</v>
      </c>
      <c r="F213" s="39" t="s">
        <v>1655</v>
      </c>
      <c r="G213" s="52" t="str">
        <f>IF(NOT(ISERROR(MATCH(D213,'Tannbleking - Oppsalg US'!D:D, 0))), "Ja", "")</f>
        <v/>
      </c>
      <c r="H213" s="37" t="s">
        <v>43</v>
      </c>
      <c r="I213" s="37" t="s">
        <v>107</v>
      </c>
      <c r="J213" s="40"/>
      <c r="K213" s="41"/>
      <c r="L213" s="42" t="s">
        <v>128</v>
      </c>
      <c r="M213" s="43" t="s">
        <v>1621</v>
      </c>
      <c r="N213" s="44">
        <v>6.880738890937E12</v>
      </c>
      <c r="O213" s="53" t="str">
        <f t="shared" si="1"/>
        <v>03/01/2026</v>
      </c>
      <c r="P213" s="46">
        <f t="shared" si="2"/>
        <v>1767476520</v>
      </c>
      <c r="Q213" s="47"/>
      <c r="R213" s="48"/>
      <c r="S213" s="46"/>
      <c r="T213" s="49" t="s">
        <v>1656</v>
      </c>
      <c r="U213" s="49" t="s">
        <v>1657</v>
      </c>
      <c r="V213" s="49" t="s">
        <v>1658</v>
      </c>
      <c r="W213" s="46"/>
      <c r="X213" s="49" t="s">
        <v>132</v>
      </c>
      <c r="Y213" s="50" t="s">
        <v>133</v>
      </c>
      <c r="Z213" s="50" t="s">
        <v>134</v>
      </c>
      <c r="AA213" s="46"/>
      <c r="AB213" s="26"/>
      <c r="AC213" s="51" t="s">
        <v>135</v>
      </c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</row>
    <row r="214">
      <c r="A214" s="35">
        <v>46025.0</v>
      </c>
      <c r="B214" s="36" t="s">
        <v>1659</v>
      </c>
      <c r="C214" s="37" t="s">
        <v>1660</v>
      </c>
      <c r="D214" s="37" t="s">
        <v>1661</v>
      </c>
      <c r="E214" s="54">
        <v>4799128309</v>
      </c>
      <c r="F214" s="39" t="s">
        <v>1662</v>
      </c>
      <c r="G214" s="52" t="str">
        <f>IF(NOT(ISERROR(MATCH(D214,'Tannbleking - Oppsalg US'!D:D, 0))), "Ja", "")</f>
        <v/>
      </c>
      <c r="H214" s="37" t="s">
        <v>50</v>
      </c>
      <c r="I214" s="37" t="s">
        <v>44</v>
      </c>
      <c r="J214" s="40"/>
      <c r="K214" s="41"/>
      <c r="L214" s="42" t="s">
        <v>128</v>
      </c>
      <c r="M214" s="43" t="s">
        <v>1621</v>
      </c>
      <c r="N214" s="44">
        <v>6.880738890937E12</v>
      </c>
      <c r="O214" s="53" t="str">
        <f t="shared" si="1"/>
        <v>03/01/2026</v>
      </c>
      <c r="P214" s="46">
        <f t="shared" si="2"/>
        <v>1767480240</v>
      </c>
      <c r="Q214" s="47"/>
      <c r="R214" s="48"/>
      <c r="S214" s="46"/>
      <c r="T214" s="49" t="s">
        <v>1663</v>
      </c>
      <c r="U214" s="49" t="s">
        <v>1664</v>
      </c>
      <c r="V214" s="49" t="s">
        <v>1665</v>
      </c>
      <c r="W214" s="46"/>
      <c r="X214" s="49" t="s">
        <v>132</v>
      </c>
      <c r="Y214" s="50" t="s">
        <v>133</v>
      </c>
      <c r="Z214" s="50" t="s">
        <v>134</v>
      </c>
      <c r="AA214" s="46"/>
      <c r="AB214" s="26"/>
      <c r="AC214" s="51" t="s">
        <v>135</v>
      </c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</row>
    <row r="215">
      <c r="A215" s="35">
        <v>46026.0</v>
      </c>
      <c r="B215" s="36" t="s">
        <v>1666</v>
      </c>
      <c r="C215" s="37" t="s">
        <v>1667</v>
      </c>
      <c r="D215" s="37" t="s">
        <v>1668</v>
      </c>
      <c r="E215" s="54">
        <v>4795452478</v>
      </c>
      <c r="F215" s="39" t="s">
        <v>1669</v>
      </c>
      <c r="G215" s="52" t="str">
        <f>IF(NOT(ISERROR(MATCH(D215,'Tannbleking - Oppsalg US'!D:D, 0))), "Ja", "")</f>
        <v/>
      </c>
      <c r="H215" s="37" t="s">
        <v>43</v>
      </c>
      <c r="I215" s="37" t="s">
        <v>140</v>
      </c>
      <c r="J215" s="40"/>
      <c r="K215" s="41"/>
      <c r="L215" s="42" t="s">
        <v>128</v>
      </c>
      <c r="M215" s="43" t="s">
        <v>1598</v>
      </c>
      <c r="N215" s="44">
        <v>6.880738889537E12</v>
      </c>
      <c r="O215" s="53" t="str">
        <f t="shared" si="1"/>
        <v>04/01/2026</v>
      </c>
      <c r="P215" s="46">
        <f t="shared" si="2"/>
        <v>1767489120</v>
      </c>
      <c r="Q215" s="47"/>
      <c r="R215" s="48"/>
      <c r="S215" s="46"/>
      <c r="T215" s="49" t="s">
        <v>1670</v>
      </c>
      <c r="U215" s="49" t="s">
        <v>1671</v>
      </c>
      <c r="V215" s="49" t="s">
        <v>1672</v>
      </c>
      <c r="W215" s="46"/>
      <c r="X215" s="49" t="s">
        <v>132</v>
      </c>
      <c r="Y215" s="50" t="s">
        <v>133</v>
      </c>
      <c r="Z215" s="50" t="s">
        <v>134</v>
      </c>
      <c r="AA215" s="46"/>
      <c r="AB215" s="26"/>
      <c r="AC215" s="51" t="s">
        <v>135</v>
      </c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</row>
    <row r="216">
      <c r="A216" s="35">
        <v>46027.0</v>
      </c>
      <c r="B216" s="36" t="s">
        <v>1673</v>
      </c>
      <c r="C216" s="37" t="s">
        <v>1674</v>
      </c>
      <c r="D216" s="37" t="s">
        <v>1675</v>
      </c>
      <c r="E216" s="54">
        <v>4745469865</v>
      </c>
      <c r="F216" s="39" t="s">
        <v>1676</v>
      </c>
      <c r="G216" s="52" t="str">
        <f>IF(NOT(ISERROR(MATCH(D216,'Tannbleking - Oppsalg US'!D:D, 0))), "Ja", "")</f>
        <v/>
      </c>
      <c r="H216" s="37" t="s">
        <v>50</v>
      </c>
      <c r="I216" s="37" t="s">
        <v>72</v>
      </c>
      <c r="J216" s="40"/>
      <c r="K216" s="41"/>
      <c r="L216" s="42" t="s">
        <v>128</v>
      </c>
      <c r="M216" s="43" t="s">
        <v>1605</v>
      </c>
      <c r="N216" s="44">
        <v>6.880738888737E12</v>
      </c>
      <c r="O216" s="53" t="str">
        <f t="shared" si="1"/>
        <v>05/01/2026</v>
      </c>
      <c r="P216" s="46">
        <f t="shared" si="2"/>
        <v>1767599700</v>
      </c>
      <c r="Q216" s="47"/>
      <c r="R216" s="48"/>
      <c r="S216" s="46"/>
      <c r="T216" s="49" t="s">
        <v>1677</v>
      </c>
      <c r="U216" s="49" t="s">
        <v>1678</v>
      </c>
      <c r="V216" s="49" t="s">
        <v>1679</v>
      </c>
      <c r="W216" s="46"/>
      <c r="X216" s="49" t="s">
        <v>132</v>
      </c>
      <c r="Y216" s="50" t="s">
        <v>133</v>
      </c>
      <c r="Z216" s="50" t="s">
        <v>134</v>
      </c>
      <c r="AA216" s="46"/>
      <c r="AB216" s="26"/>
      <c r="AC216" s="51" t="s">
        <v>144</v>
      </c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</row>
    <row r="217">
      <c r="A217" s="35">
        <v>46027.0</v>
      </c>
      <c r="B217" s="36" t="s">
        <v>1680</v>
      </c>
      <c r="C217" s="37" t="s">
        <v>1681</v>
      </c>
      <c r="D217" s="37" t="s">
        <v>122</v>
      </c>
      <c r="E217" s="54">
        <f>4740053755</f>
        <v>4740053755</v>
      </c>
      <c r="F217" s="39" t="s">
        <v>1682</v>
      </c>
      <c r="G217" s="52" t="str">
        <f>IF(NOT(ISERROR(MATCH(D217,'Tannbleking - Oppsalg US'!D:D, 0))), "Ja", "")</f>
        <v/>
      </c>
      <c r="H217" s="37" t="s">
        <v>50</v>
      </c>
      <c r="I217" s="37" t="s">
        <v>107</v>
      </c>
      <c r="J217" s="40"/>
      <c r="K217" s="41"/>
      <c r="L217" s="42" t="s">
        <v>128</v>
      </c>
      <c r="M217" s="43" t="s">
        <v>1598</v>
      </c>
      <c r="N217" s="44">
        <v>6.880738889537E12</v>
      </c>
      <c r="O217" s="53" t="str">
        <f t="shared" si="1"/>
        <v>05/01/2026</v>
      </c>
      <c r="P217" s="46">
        <f t="shared" si="2"/>
        <v>1767603720</v>
      </c>
      <c r="Q217" s="47"/>
      <c r="R217" s="48"/>
      <c r="S217" s="46"/>
      <c r="T217" s="49" t="s">
        <v>1683</v>
      </c>
      <c r="U217" s="49" t="s">
        <v>1684</v>
      </c>
      <c r="V217" s="49" t="s">
        <v>1685</v>
      </c>
      <c r="W217" s="46"/>
      <c r="X217" s="49" t="s">
        <v>132</v>
      </c>
      <c r="Y217" s="50" t="s">
        <v>133</v>
      </c>
      <c r="Z217" s="50" t="s">
        <v>134</v>
      </c>
      <c r="AA217" s="46"/>
      <c r="AB217" s="26"/>
      <c r="AC217" s="51" t="s">
        <v>1686</v>
      </c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</row>
    <row r="218">
      <c r="A218" s="35">
        <v>46027.0</v>
      </c>
      <c r="B218" s="36" t="s">
        <v>1687</v>
      </c>
      <c r="C218" s="37" t="s">
        <v>1586</v>
      </c>
      <c r="D218" s="37" t="s">
        <v>1587</v>
      </c>
      <c r="E218" s="54">
        <v>4741686116</v>
      </c>
      <c r="F218" s="39" t="s">
        <v>1688</v>
      </c>
      <c r="G218" s="52" t="str">
        <f>IF(NOT(ISERROR(MATCH(D218,'Tannbleking - Oppsalg US'!D:D, 0))), "Ja", "")</f>
        <v/>
      </c>
      <c r="H218" s="37" t="s">
        <v>50</v>
      </c>
      <c r="I218" s="37" t="s">
        <v>44</v>
      </c>
      <c r="J218" s="40"/>
      <c r="K218" s="41"/>
      <c r="L218" s="42" t="s">
        <v>128</v>
      </c>
      <c r="M218" s="43" t="s">
        <v>1598</v>
      </c>
      <c r="N218" s="44">
        <v>6.880738889537E12</v>
      </c>
      <c r="O218" s="53" t="str">
        <f t="shared" si="1"/>
        <v>05/01/2026</v>
      </c>
      <c r="P218" s="46">
        <f t="shared" si="2"/>
        <v>1767637920</v>
      </c>
      <c r="Q218" s="47"/>
      <c r="R218" s="48"/>
      <c r="S218" s="46"/>
      <c r="T218" s="49" t="s">
        <v>1590</v>
      </c>
      <c r="U218" s="49" t="s">
        <v>1591</v>
      </c>
      <c r="V218" s="49" t="s">
        <v>1689</v>
      </c>
      <c r="W218" s="46"/>
      <c r="X218" s="49" t="s">
        <v>132</v>
      </c>
      <c r="Y218" s="50" t="s">
        <v>133</v>
      </c>
      <c r="Z218" s="50" t="s">
        <v>134</v>
      </c>
      <c r="AA218" s="46"/>
      <c r="AB218" s="26"/>
      <c r="AC218" s="51" t="s">
        <v>1690</v>
      </c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</row>
    <row r="219">
      <c r="A219" s="35">
        <v>46028.0</v>
      </c>
      <c r="B219" s="36" t="s">
        <v>1691</v>
      </c>
      <c r="C219" s="37" t="s">
        <v>1692</v>
      </c>
      <c r="D219" s="37" t="s">
        <v>1693</v>
      </c>
      <c r="E219" s="54">
        <v>4792889530</v>
      </c>
      <c r="F219" s="39" t="s">
        <v>1694</v>
      </c>
      <c r="G219" s="52" t="str">
        <f>IF(NOT(ISERROR(MATCH(D219,'Tannbleking - Oppsalg US'!D:D, 0))), "Ja", "")</f>
        <v/>
      </c>
      <c r="H219" s="37" t="s">
        <v>50</v>
      </c>
      <c r="I219" s="37" t="s">
        <v>44</v>
      </c>
      <c r="J219" s="40"/>
      <c r="K219" s="41"/>
      <c r="L219" s="42" t="s">
        <v>128</v>
      </c>
      <c r="M219" s="43" t="s">
        <v>1598</v>
      </c>
      <c r="N219" s="44">
        <v>6.880738889537E12</v>
      </c>
      <c r="O219" s="53" t="str">
        <f t="shared" si="1"/>
        <v>06/01/2026</v>
      </c>
      <c r="P219" s="46">
        <f t="shared" si="2"/>
        <v>1767692700</v>
      </c>
      <c r="Q219" s="47"/>
      <c r="R219" s="48"/>
      <c r="S219" s="46"/>
      <c r="T219" s="49" t="s">
        <v>1695</v>
      </c>
      <c r="U219" s="49" t="s">
        <v>1696</v>
      </c>
      <c r="V219" s="49" t="s">
        <v>1697</v>
      </c>
      <c r="W219" s="46"/>
      <c r="X219" s="49" t="s">
        <v>132</v>
      </c>
      <c r="Y219" s="50" t="s">
        <v>133</v>
      </c>
      <c r="Z219" s="50" t="s">
        <v>134</v>
      </c>
      <c r="AA219" s="46"/>
      <c r="AB219" s="26"/>
      <c r="AC219" s="51" t="s">
        <v>135</v>
      </c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</row>
    <row r="220">
      <c r="A220" s="35">
        <v>46028.0</v>
      </c>
      <c r="B220" s="36" t="s">
        <v>1698</v>
      </c>
      <c r="C220" s="37" t="s">
        <v>1699</v>
      </c>
      <c r="D220" s="37" t="s">
        <v>1700</v>
      </c>
      <c r="E220" s="54">
        <v>4797347662</v>
      </c>
      <c r="F220" s="39" t="s">
        <v>238</v>
      </c>
      <c r="G220" s="52" t="str">
        <f>IF(NOT(ISERROR(MATCH(D220,'Tannbleking - Oppsalg US'!D:D, 0))), "Ja", "")</f>
        <v/>
      </c>
      <c r="H220" s="37" t="s">
        <v>676</v>
      </c>
      <c r="I220" s="37" t="s">
        <v>44</v>
      </c>
      <c r="J220" s="40" t="s">
        <v>1701</v>
      </c>
      <c r="K220" s="41"/>
      <c r="L220" s="42"/>
      <c r="M220" s="43"/>
      <c r="N220" s="44"/>
      <c r="O220" s="53" t="str">
        <f t="shared" si="1"/>
        <v>06/01/2026</v>
      </c>
      <c r="P220" s="46">
        <f t="shared" si="2"/>
        <v>1767716100</v>
      </c>
      <c r="Q220" s="47"/>
      <c r="R220" s="48"/>
      <c r="S220" s="46"/>
      <c r="T220" s="49" t="s">
        <v>1702</v>
      </c>
      <c r="U220" s="49" t="s">
        <v>1703</v>
      </c>
      <c r="V220" s="49" t="s">
        <v>1704</v>
      </c>
      <c r="W220" s="46"/>
      <c r="X220" s="49" t="s">
        <v>132</v>
      </c>
      <c r="Y220" s="50" t="s">
        <v>133</v>
      </c>
      <c r="Z220" s="50" t="s">
        <v>134</v>
      </c>
      <c r="AA220" s="46"/>
      <c r="AB220" s="26"/>
      <c r="AC220" s="51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</row>
    <row r="221">
      <c r="A221" s="35">
        <v>46028.0</v>
      </c>
      <c r="B221" s="36" t="s">
        <v>791</v>
      </c>
      <c r="C221" s="37" t="s">
        <v>1705</v>
      </c>
      <c r="D221" s="37" t="s">
        <v>1706</v>
      </c>
      <c r="E221" s="54">
        <v>4746321612</v>
      </c>
      <c r="F221" s="39" t="s">
        <v>1707</v>
      </c>
      <c r="G221" s="52" t="str">
        <f>IF(NOT(ISERROR(MATCH(D221,'Tannbleking - Oppsalg US'!D:D, 0))), "Ja", "")</f>
        <v/>
      </c>
      <c r="H221" s="37" t="s">
        <v>50</v>
      </c>
      <c r="I221" s="37" t="s">
        <v>44</v>
      </c>
      <c r="J221" s="40"/>
      <c r="K221" s="41"/>
      <c r="L221" s="42" t="s">
        <v>128</v>
      </c>
      <c r="M221" s="43" t="s">
        <v>1708</v>
      </c>
      <c r="N221" s="44">
        <v>6.881871630937E12</v>
      </c>
      <c r="O221" s="53" t="str">
        <f t="shared" si="1"/>
        <v>06/01/2026</v>
      </c>
      <c r="P221" s="46">
        <f t="shared" si="2"/>
        <v>1767725640</v>
      </c>
      <c r="Q221" s="47"/>
      <c r="R221" s="48"/>
      <c r="S221" s="46"/>
      <c r="T221" s="49" t="s">
        <v>1709</v>
      </c>
      <c r="U221" s="49" t="s">
        <v>1710</v>
      </c>
      <c r="V221" s="49" t="s">
        <v>1711</v>
      </c>
      <c r="W221" s="46"/>
      <c r="X221" s="49" t="s">
        <v>132</v>
      </c>
      <c r="Y221" s="50" t="s">
        <v>133</v>
      </c>
      <c r="Z221" s="50" t="s">
        <v>134</v>
      </c>
      <c r="AA221" s="46"/>
      <c r="AB221" s="26"/>
      <c r="AC221" s="51" t="s">
        <v>280</v>
      </c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</row>
    <row r="222">
      <c r="A222" s="35">
        <v>46028.0</v>
      </c>
      <c r="B222" s="36" t="s">
        <v>1712</v>
      </c>
      <c r="C222" s="37" t="s">
        <v>1713</v>
      </c>
      <c r="D222" s="37" t="s">
        <v>1714</v>
      </c>
      <c r="E222" s="54">
        <v>4794215225</v>
      </c>
      <c r="F222" s="39" t="s">
        <v>1715</v>
      </c>
      <c r="G222" s="52" t="str">
        <f>IF(NOT(ISERROR(MATCH(D222,'Tannbleking - Oppsalg US'!D:D, 0))), "Ja", "")</f>
        <v/>
      </c>
      <c r="H222" s="37" t="s">
        <v>90</v>
      </c>
      <c r="I222" s="37" t="s">
        <v>44</v>
      </c>
      <c r="J222" s="40" t="s">
        <v>1716</v>
      </c>
      <c r="K222" s="41"/>
      <c r="L222" s="42" t="s">
        <v>128</v>
      </c>
      <c r="M222" s="43" t="s">
        <v>1598</v>
      </c>
      <c r="N222" s="44">
        <v>6.880738889537E12</v>
      </c>
      <c r="O222" s="53" t="str">
        <f t="shared" si="1"/>
        <v>06/01/2026</v>
      </c>
      <c r="P222" s="46">
        <f t="shared" si="2"/>
        <v>1767732900</v>
      </c>
      <c r="Q222" s="47"/>
      <c r="R222" s="48"/>
      <c r="S222" s="46"/>
      <c r="T222" s="49" t="s">
        <v>1717</v>
      </c>
      <c r="U222" s="49" t="s">
        <v>1718</v>
      </c>
      <c r="V222" s="49" t="s">
        <v>1719</v>
      </c>
      <c r="W222" s="46"/>
      <c r="X222" s="49" t="s">
        <v>132</v>
      </c>
      <c r="Y222" s="50" t="s">
        <v>133</v>
      </c>
      <c r="Z222" s="50" t="s">
        <v>134</v>
      </c>
      <c r="AA222" s="46"/>
      <c r="AB222" s="26"/>
      <c r="AC222" s="51" t="s">
        <v>135</v>
      </c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</row>
    <row r="223">
      <c r="A223" s="35">
        <v>46029.0</v>
      </c>
      <c r="B223" s="36" t="s">
        <v>1720</v>
      </c>
      <c r="C223" s="37" t="s">
        <v>1721</v>
      </c>
      <c r="D223" s="37" t="s">
        <v>1722</v>
      </c>
      <c r="E223" s="54">
        <v>4740169745</v>
      </c>
      <c r="F223" s="39" t="s">
        <v>1723</v>
      </c>
      <c r="G223" s="52" t="str">
        <f>IF(NOT(ISERROR(MATCH(D223,'Tannbleking - Oppsalg US'!D:D, 0))), "Ja", "")</f>
        <v/>
      </c>
      <c r="H223" s="37" t="s">
        <v>50</v>
      </c>
      <c r="I223" s="37" t="s">
        <v>72</v>
      </c>
      <c r="J223" s="40"/>
      <c r="K223" s="41"/>
      <c r="L223" s="42" t="s">
        <v>128</v>
      </c>
      <c r="M223" s="43" t="s">
        <v>1605</v>
      </c>
      <c r="N223" s="44">
        <v>6.880738888737E12</v>
      </c>
      <c r="O223" s="53" t="str">
        <f t="shared" si="1"/>
        <v>07/01/2026</v>
      </c>
      <c r="P223" s="46">
        <f t="shared" si="2"/>
        <v>1767748860</v>
      </c>
      <c r="Q223" s="47"/>
      <c r="R223" s="48"/>
      <c r="S223" s="46"/>
      <c r="T223" s="49" t="s">
        <v>1724</v>
      </c>
      <c r="U223" s="49" t="s">
        <v>1725</v>
      </c>
      <c r="V223" s="49" t="s">
        <v>1726</v>
      </c>
      <c r="W223" s="46"/>
      <c r="X223" s="49" t="s">
        <v>132</v>
      </c>
      <c r="Y223" s="50" t="s">
        <v>133</v>
      </c>
      <c r="Z223" s="50" t="s">
        <v>134</v>
      </c>
      <c r="AA223" s="46"/>
      <c r="AB223" s="26"/>
      <c r="AC223" s="51" t="s">
        <v>135</v>
      </c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</row>
    <row r="224">
      <c r="A224" s="35">
        <v>46029.0</v>
      </c>
      <c r="B224" s="36" t="s">
        <v>1727</v>
      </c>
      <c r="C224" s="37" t="s">
        <v>1728</v>
      </c>
      <c r="D224" s="37" t="s">
        <v>1729</v>
      </c>
      <c r="E224" s="54">
        <v>4790535811</v>
      </c>
      <c r="F224" s="39" t="s">
        <v>1730</v>
      </c>
      <c r="G224" s="52" t="str">
        <f>IF(NOT(ISERROR(MATCH(D224,'Tannbleking - Oppsalg US'!D:D, 0))), "Ja", "")</f>
        <v/>
      </c>
      <c r="H224" s="37" t="s">
        <v>50</v>
      </c>
      <c r="I224" s="37" t="s">
        <v>107</v>
      </c>
      <c r="J224" s="40"/>
      <c r="K224" s="41"/>
      <c r="L224" s="42" t="s">
        <v>128</v>
      </c>
      <c r="M224" s="43" t="s">
        <v>1731</v>
      </c>
      <c r="N224" s="44">
        <v>6.880738890537E12</v>
      </c>
      <c r="O224" s="53" t="str">
        <f t="shared" si="1"/>
        <v>07/01/2026</v>
      </c>
      <c r="P224" s="46">
        <f t="shared" si="2"/>
        <v>1767765720</v>
      </c>
      <c r="Q224" s="47"/>
      <c r="R224" s="48"/>
      <c r="S224" s="46"/>
      <c r="T224" s="49" t="s">
        <v>1732</v>
      </c>
      <c r="U224" s="49" t="s">
        <v>1733</v>
      </c>
      <c r="V224" s="49" t="s">
        <v>1734</v>
      </c>
      <c r="W224" s="46"/>
      <c r="X224" s="49" t="s">
        <v>132</v>
      </c>
      <c r="Y224" s="50" t="s">
        <v>133</v>
      </c>
      <c r="Z224" s="50" t="s">
        <v>134</v>
      </c>
      <c r="AA224" s="46"/>
      <c r="AB224" s="26"/>
      <c r="AC224" s="51" t="s">
        <v>144</v>
      </c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</row>
    <row r="225">
      <c r="A225" s="35">
        <v>46030.0</v>
      </c>
      <c r="B225" s="36" t="s">
        <v>1735</v>
      </c>
      <c r="C225" s="37" t="s">
        <v>1736</v>
      </c>
      <c r="D225" s="37" t="s">
        <v>1737</v>
      </c>
      <c r="E225" s="54">
        <v>4741628852</v>
      </c>
      <c r="F225" s="39" t="s">
        <v>1738</v>
      </c>
      <c r="G225" s="52" t="str">
        <f>IF(NOT(ISERROR(MATCH(D225,'Tannbleking - Oppsalg US'!D:D, 0))), "Ja", "")</f>
        <v/>
      </c>
      <c r="H225" s="37" t="s">
        <v>50</v>
      </c>
      <c r="I225" s="37" t="s">
        <v>44</v>
      </c>
      <c r="J225" s="40"/>
      <c r="K225" s="41"/>
      <c r="L225" s="42" t="s">
        <v>128</v>
      </c>
      <c r="M225" s="43" t="s">
        <v>1605</v>
      </c>
      <c r="N225" s="44">
        <v>6.880738888737E12</v>
      </c>
      <c r="O225" s="53" t="str">
        <f t="shared" si="1"/>
        <v>08/01/2026</v>
      </c>
      <c r="P225" s="46">
        <f t="shared" si="2"/>
        <v>1767868080</v>
      </c>
      <c r="Q225" s="47"/>
      <c r="R225" s="48"/>
      <c r="S225" s="46"/>
      <c r="T225" s="49" t="s">
        <v>1739</v>
      </c>
      <c r="U225" s="49" t="s">
        <v>1740</v>
      </c>
      <c r="V225" s="49" t="s">
        <v>1741</v>
      </c>
      <c r="W225" s="46"/>
      <c r="X225" s="49" t="s">
        <v>132</v>
      </c>
      <c r="Y225" s="50" t="s">
        <v>133</v>
      </c>
      <c r="Z225" s="50" t="s">
        <v>134</v>
      </c>
      <c r="AA225" s="46"/>
      <c r="AB225" s="26"/>
      <c r="AC225" s="51" t="s">
        <v>1282</v>
      </c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</row>
    <row r="226">
      <c r="A226" s="35">
        <v>46030.0</v>
      </c>
      <c r="B226" s="36" t="s">
        <v>1742</v>
      </c>
      <c r="C226" s="37" t="s">
        <v>1743</v>
      </c>
      <c r="D226" s="37" t="s">
        <v>1744</v>
      </c>
      <c r="E226" s="54">
        <v>4748258668</v>
      </c>
      <c r="F226" s="39" t="s">
        <v>1745</v>
      </c>
      <c r="G226" s="52" t="str">
        <f>IF(NOT(ISERROR(MATCH(D226,'Tannbleking - Oppsalg US'!D:D, 0))), "Ja", "")</f>
        <v/>
      </c>
      <c r="H226" s="37" t="s">
        <v>50</v>
      </c>
      <c r="I226" s="37" t="s">
        <v>107</v>
      </c>
      <c r="J226" s="40"/>
      <c r="K226" s="41"/>
      <c r="L226" s="42" t="s">
        <v>128</v>
      </c>
      <c r="M226" s="43" t="s">
        <v>1605</v>
      </c>
      <c r="N226" s="44">
        <v>6.880738888737E12</v>
      </c>
      <c r="O226" s="53" t="str">
        <f t="shared" si="1"/>
        <v>08/01/2026</v>
      </c>
      <c r="P226" s="46">
        <f t="shared" si="2"/>
        <v>1767872280</v>
      </c>
      <c r="Q226" s="47"/>
      <c r="R226" s="48"/>
      <c r="S226" s="46"/>
      <c r="T226" s="49" t="s">
        <v>1746</v>
      </c>
      <c r="U226" s="49" t="s">
        <v>1747</v>
      </c>
      <c r="V226" s="49" t="s">
        <v>1748</v>
      </c>
      <c r="W226" s="46"/>
      <c r="X226" s="49" t="s">
        <v>132</v>
      </c>
      <c r="Y226" s="50" t="s">
        <v>133</v>
      </c>
      <c r="Z226" s="50" t="s">
        <v>134</v>
      </c>
      <c r="AA226" s="46"/>
      <c r="AB226" s="26"/>
      <c r="AC226" s="51" t="s">
        <v>1282</v>
      </c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</row>
    <row r="227">
      <c r="A227" s="35">
        <v>46030.0</v>
      </c>
      <c r="B227" s="36" t="s">
        <v>1408</v>
      </c>
      <c r="C227" s="37" t="s">
        <v>1749</v>
      </c>
      <c r="D227" s="37" t="s">
        <v>1750</v>
      </c>
      <c r="E227" s="54">
        <v>4741257562</v>
      </c>
      <c r="F227" s="39" t="s">
        <v>1751</v>
      </c>
      <c r="G227" s="52" t="str">
        <f>IF(NOT(ISERROR(MATCH(D227,'Tannbleking - Oppsalg US'!D:D, 0))), "Ja", "")</f>
        <v/>
      </c>
      <c r="H227" s="37" t="s">
        <v>50</v>
      </c>
      <c r="I227" s="37" t="s">
        <v>140</v>
      </c>
      <c r="J227" s="40"/>
      <c r="K227" s="41"/>
      <c r="L227" s="42" t="s">
        <v>128</v>
      </c>
      <c r="M227" s="43" t="s">
        <v>1605</v>
      </c>
      <c r="N227" s="44">
        <v>6.880738888737E12</v>
      </c>
      <c r="O227" s="53" t="str">
        <f t="shared" si="1"/>
        <v>08/01/2026</v>
      </c>
      <c r="P227" s="46">
        <f t="shared" si="2"/>
        <v>1767872580</v>
      </c>
      <c r="Q227" s="47"/>
      <c r="R227" s="48"/>
      <c r="S227" s="46"/>
      <c r="T227" s="49" t="s">
        <v>1752</v>
      </c>
      <c r="U227" s="49" t="s">
        <v>1753</v>
      </c>
      <c r="V227" s="49" t="s">
        <v>1754</v>
      </c>
      <c r="W227" s="46"/>
      <c r="X227" s="49" t="s">
        <v>132</v>
      </c>
      <c r="Y227" s="50" t="s">
        <v>133</v>
      </c>
      <c r="Z227" s="50" t="s">
        <v>134</v>
      </c>
      <c r="AA227" s="46"/>
      <c r="AB227" s="26"/>
      <c r="AC227" s="51" t="s">
        <v>135</v>
      </c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</row>
    <row r="228">
      <c r="A228" s="35">
        <v>46030.0</v>
      </c>
      <c r="B228" s="36" t="s">
        <v>1546</v>
      </c>
      <c r="C228" s="37" t="s">
        <v>1755</v>
      </c>
      <c r="D228" s="37" t="s">
        <v>1756</v>
      </c>
      <c r="E228" s="54">
        <v>4746406215</v>
      </c>
      <c r="F228" s="39" t="s">
        <v>1757</v>
      </c>
      <c r="G228" s="52" t="str">
        <f>IF(NOT(ISERROR(MATCH(D228,'Tannbleking - Oppsalg US'!D:D, 0))), "Ja", "")</f>
        <v/>
      </c>
      <c r="H228" s="37" t="s">
        <v>50</v>
      </c>
      <c r="I228" s="37" t="s">
        <v>107</v>
      </c>
      <c r="J228" s="40"/>
      <c r="K228" s="41"/>
      <c r="L228" s="42" t="s">
        <v>128</v>
      </c>
      <c r="M228" s="43" t="s">
        <v>1605</v>
      </c>
      <c r="N228" s="44">
        <v>6.880738888737E12</v>
      </c>
      <c r="O228" s="53" t="str">
        <f t="shared" si="1"/>
        <v>08/01/2026</v>
      </c>
      <c r="P228" s="46">
        <f t="shared" si="2"/>
        <v>1767875700</v>
      </c>
      <c r="Q228" s="47"/>
      <c r="R228" s="48"/>
      <c r="S228" s="46"/>
      <c r="T228" s="49" t="s">
        <v>1758</v>
      </c>
      <c r="U228" s="49" t="s">
        <v>1759</v>
      </c>
      <c r="V228" s="49" t="s">
        <v>1760</v>
      </c>
      <c r="W228" s="46"/>
      <c r="X228" s="49" t="s">
        <v>132</v>
      </c>
      <c r="Y228" s="50" t="s">
        <v>133</v>
      </c>
      <c r="Z228" s="50" t="s">
        <v>134</v>
      </c>
      <c r="AA228" s="46"/>
      <c r="AB228" s="26"/>
      <c r="AC228" s="51" t="s">
        <v>280</v>
      </c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</row>
    <row r="229">
      <c r="A229" s="35">
        <v>46031.0</v>
      </c>
      <c r="B229" s="36" t="s">
        <v>1761</v>
      </c>
      <c r="C229" s="37" t="s">
        <v>1762</v>
      </c>
      <c r="D229" s="37" t="s">
        <v>1763</v>
      </c>
      <c r="E229" s="54">
        <v>4793290870</v>
      </c>
      <c r="F229" s="39" t="s">
        <v>1764</v>
      </c>
      <c r="G229" s="52" t="str">
        <f>IF(NOT(ISERROR(MATCH(D229,'Tannbleking - Oppsalg US'!D:D, 0))), "Ja", "")</f>
        <v/>
      </c>
      <c r="H229" s="37" t="s">
        <v>50</v>
      </c>
      <c r="I229" s="37" t="s">
        <v>44</v>
      </c>
      <c r="J229" s="40"/>
      <c r="K229" s="41"/>
      <c r="L229" s="42" t="s">
        <v>128</v>
      </c>
      <c r="M229" s="43" t="s">
        <v>1598</v>
      </c>
      <c r="N229" s="44">
        <v>6.880738889537E12</v>
      </c>
      <c r="O229" s="53" t="str">
        <f t="shared" si="1"/>
        <v>09/01/2026</v>
      </c>
      <c r="P229" s="46">
        <f t="shared" si="2"/>
        <v>1767986100</v>
      </c>
      <c r="Q229" s="47"/>
      <c r="R229" s="48"/>
      <c r="S229" s="46"/>
      <c r="T229" s="49" t="s">
        <v>1765</v>
      </c>
      <c r="U229" s="49" t="s">
        <v>1766</v>
      </c>
      <c r="V229" s="49" t="s">
        <v>1767</v>
      </c>
      <c r="W229" s="46"/>
      <c r="X229" s="49" t="s">
        <v>132</v>
      </c>
      <c r="Y229" s="50" t="s">
        <v>133</v>
      </c>
      <c r="Z229" s="50" t="s">
        <v>134</v>
      </c>
      <c r="AA229" s="46"/>
      <c r="AB229" s="26"/>
      <c r="AC229" s="51" t="s">
        <v>135</v>
      </c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</row>
    <row r="230">
      <c r="A230" s="35">
        <v>46031.0</v>
      </c>
      <c r="B230" s="36" t="s">
        <v>1768</v>
      </c>
      <c r="C230" s="37" t="s">
        <v>1769</v>
      </c>
      <c r="D230" s="37" t="s">
        <v>1770</v>
      </c>
      <c r="E230" s="54">
        <v>4798152132</v>
      </c>
      <c r="F230" s="39" t="s">
        <v>1771</v>
      </c>
      <c r="G230" s="52" t="str">
        <f>IF(NOT(ISERROR(MATCH(D230,'Tannbleking - Oppsalg US'!D:D, 0))), "Ja", "")</f>
        <v/>
      </c>
      <c r="H230" s="37" t="s">
        <v>50</v>
      </c>
      <c r="I230" s="37" t="s">
        <v>44</v>
      </c>
      <c r="J230" s="40"/>
      <c r="K230" s="41"/>
      <c r="L230" s="42" t="s">
        <v>128</v>
      </c>
      <c r="M230" s="43" t="s">
        <v>1598</v>
      </c>
      <c r="N230" s="44">
        <v>6.880738889537E12</v>
      </c>
      <c r="O230" s="53" t="str">
        <f t="shared" si="1"/>
        <v>09/01/2026</v>
      </c>
      <c r="P230" s="46">
        <f t="shared" si="2"/>
        <v>1767986400</v>
      </c>
      <c r="Q230" s="47"/>
      <c r="R230" s="48"/>
      <c r="S230" s="46"/>
      <c r="T230" s="49" t="s">
        <v>1772</v>
      </c>
      <c r="U230" s="49" t="s">
        <v>1773</v>
      </c>
      <c r="V230" s="49" t="s">
        <v>1774</v>
      </c>
      <c r="W230" s="46"/>
      <c r="X230" s="49" t="s">
        <v>132</v>
      </c>
      <c r="Y230" s="50" t="s">
        <v>133</v>
      </c>
      <c r="Z230" s="50" t="s">
        <v>134</v>
      </c>
      <c r="AA230" s="46"/>
      <c r="AB230" s="26"/>
      <c r="AC230" s="51" t="s">
        <v>135</v>
      </c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</row>
    <row r="231">
      <c r="A231" s="35">
        <v>46032.0</v>
      </c>
      <c r="B231" s="36" t="s">
        <v>174</v>
      </c>
      <c r="C231" s="37" t="s">
        <v>1775</v>
      </c>
      <c r="D231" s="37" t="s">
        <v>1776</v>
      </c>
      <c r="E231" s="54">
        <v>4745882161</v>
      </c>
      <c r="F231" s="39" t="s">
        <v>1777</v>
      </c>
      <c r="G231" s="52" t="str">
        <f>IF(NOT(ISERROR(MATCH(D231,'Tannbleking - Oppsalg US'!D:D, 0))), "Ja", "")</f>
        <v/>
      </c>
      <c r="H231" s="37" t="s">
        <v>50</v>
      </c>
      <c r="I231" s="37" t="s">
        <v>44</v>
      </c>
      <c r="J231" s="40"/>
      <c r="K231" s="41"/>
      <c r="L231" s="42" t="s">
        <v>128</v>
      </c>
      <c r="M231" s="43" t="s">
        <v>1605</v>
      </c>
      <c r="N231" s="44">
        <v>6.880738888737E12</v>
      </c>
      <c r="O231" s="53" t="str">
        <f t="shared" si="1"/>
        <v>10/01/2026</v>
      </c>
      <c r="P231" s="46">
        <f t="shared" si="2"/>
        <v>1768034820</v>
      </c>
      <c r="Q231" s="47"/>
      <c r="R231" s="48"/>
      <c r="S231" s="46"/>
      <c r="T231" s="49" t="s">
        <v>1778</v>
      </c>
      <c r="U231" s="49" t="s">
        <v>1779</v>
      </c>
      <c r="V231" s="49" t="s">
        <v>1780</v>
      </c>
      <c r="W231" s="46"/>
      <c r="X231" s="49" t="s">
        <v>132</v>
      </c>
      <c r="Y231" s="50" t="s">
        <v>133</v>
      </c>
      <c r="Z231" s="50" t="s">
        <v>134</v>
      </c>
      <c r="AA231" s="46"/>
      <c r="AB231" s="26"/>
      <c r="AC231" s="51" t="s">
        <v>280</v>
      </c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</row>
    <row r="232">
      <c r="A232" s="35">
        <v>46032.0</v>
      </c>
      <c r="B232" s="36" t="s">
        <v>1781</v>
      </c>
      <c r="C232" s="37" t="s">
        <v>1782</v>
      </c>
      <c r="D232" s="37" t="s">
        <v>1783</v>
      </c>
      <c r="E232" s="54">
        <v>4791510408</v>
      </c>
      <c r="F232" s="39" t="s">
        <v>1784</v>
      </c>
      <c r="G232" s="52" t="str">
        <f>IF(NOT(ISERROR(MATCH(D232,'Tannbleking - Oppsalg US'!D:D, 0))), "Ja", "")</f>
        <v/>
      </c>
      <c r="H232" s="37" t="s">
        <v>676</v>
      </c>
      <c r="I232" s="37" t="s">
        <v>44</v>
      </c>
      <c r="J232" s="40" t="s">
        <v>1785</v>
      </c>
      <c r="K232" s="41"/>
      <c r="L232" s="42" t="s">
        <v>128</v>
      </c>
      <c r="M232" s="43" t="s">
        <v>1605</v>
      </c>
      <c r="N232" s="44">
        <v>6.880738888737E12</v>
      </c>
      <c r="O232" s="53" t="str">
        <f t="shared" si="1"/>
        <v>10/01/2026</v>
      </c>
      <c r="P232" s="46">
        <f t="shared" si="2"/>
        <v>1768040520</v>
      </c>
      <c r="Q232" s="47"/>
      <c r="R232" s="48"/>
      <c r="S232" s="46"/>
      <c r="T232" s="49" t="s">
        <v>1786</v>
      </c>
      <c r="U232" s="49" t="s">
        <v>1787</v>
      </c>
      <c r="V232" s="49" t="s">
        <v>1788</v>
      </c>
      <c r="W232" s="46"/>
      <c r="X232" s="49" t="s">
        <v>132</v>
      </c>
      <c r="Y232" s="50" t="s">
        <v>133</v>
      </c>
      <c r="Z232" s="50" t="s">
        <v>134</v>
      </c>
      <c r="AA232" s="46"/>
      <c r="AB232" s="26"/>
      <c r="AC232" s="51" t="s">
        <v>1282</v>
      </c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</row>
    <row r="233">
      <c r="A233" s="35">
        <v>46032.0</v>
      </c>
      <c r="B233" s="36" t="s">
        <v>1789</v>
      </c>
      <c r="C233" s="37" t="s">
        <v>1790</v>
      </c>
      <c r="D233" s="37" t="s">
        <v>1791</v>
      </c>
      <c r="E233" s="54">
        <v>4790515492</v>
      </c>
      <c r="F233" s="39" t="s">
        <v>1792</v>
      </c>
      <c r="G233" s="52" t="str">
        <f>IF(NOT(ISERROR(MATCH(D233,'Tannbleking - Oppsalg US'!D:D, 0))), "Ja", "")</f>
        <v/>
      </c>
      <c r="H233" s="37" t="s">
        <v>50</v>
      </c>
      <c r="I233" s="37" t="s">
        <v>44</v>
      </c>
      <c r="J233" s="40"/>
      <c r="K233" s="41"/>
      <c r="L233" s="42" t="s">
        <v>128</v>
      </c>
      <c r="M233" s="43" t="s">
        <v>1621</v>
      </c>
      <c r="N233" s="44">
        <v>6.880738890937E12</v>
      </c>
      <c r="O233" s="53" t="str">
        <f t="shared" si="1"/>
        <v>10/01/2026</v>
      </c>
      <c r="P233" s="46">
        <f t="shared" si="2"/>
        <v>1768050960</v>
      </c>
      <c r="Q233" s="47"/>
      <c r="R233" s="48"/>
      <c r="S233" s="46"/>
      <c r="T233" s="49" t="s">
        <v>1793</v>
      </c>
      <c r="U233" s="49" t="s">
        <v>1794</v>
      </c>
      <c r="V233" s="49" t="s">
        <v>1795</v>
      </c>
      <c r="W233" s="46"/>
      <c r="X233" s="49" t="s">
        <v>132</v>
      </c>
      <c r="Y233" s="50" t="s">
        <v>133</v>
      </c>
      <c r="Z233" s="50" t="s">
        <v>134</v>
      </c>
      <c r="AA233" s="46"/>
      <c r="AB233" s="26"/>
      <c r="AC233" s="51" t="s">
        <v>280</v>
      </c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</row>
    <row r="234">
      <c r="A234" s="35">
        <v>46033.0</v>
      </c>
      <c r="B234" s="36" t="s">
        <v>1796</v>
      </c>
      <c r="C234" s="37" t="s">
        <v>1797</v>
      </c>
      <c r="D234" s="37" t="s">
        <v>1798</v>
      </c>
      <c r="E234" s="54">
        <v>4790272832</v>
      </c>
      <c r="F234" s="39" t="s">
        <v>1799</v>
      </c>
      <c r="G234" s="52" t="str">
        <f>IF(NOT(ISERROR(MATCH(D234,'Tannbleking - Oppsalg US'!D:D, 0))), "Ja", "")</f>
        <v/>
      </c>
      <c r="H234" s="37" t="s">
        <v>43</v>
      </c>
      <c r="I234" s="37" t="s">
        <v>72</v>
      </c>
      <c r="J234" s="40"/>
      <c r="K234" s="41"/>
      <c r="L234" s="42" t="s">
        <v>128</v>
      </c>
      <c r="M234" s="43" t="s">
        <v>1598</v>
      </c>
      <c r="N234" s="44">
        <v>6.880738889537E12</v>
      </c>
      <c r="O234" s="53" t="str">
        <f t="shared" si="1"/>
        <v>11/01/2026</v>
      </c>
      <c r="P234" s="46">
        <f t="shared" si="2"/>
        <v>1768094040</v>
      </c>
      <c r="Q234" s="47"/>
      <c r="R234" s="48"/>
      <c r="S234" s="46"/>
      <c r="T234" s="49" t="s">
        <v>1800</v>
      </c>
      <c r="U234" s="49" t="s">
        <v>1801</v>
      </c>
      <c r="V234" s="49" t="s">
        <v>1802</v>
      </c>
      <c r="W234" s="46"/>
      <c r="X234" s="49" t="s">
        <v>132</v>
      </c>
      <c r="Y234" s="50" t="s">
        <v>133</v>
      </c>
      <c r="Z234" s="50" t="s">
        <v>134</v>
      </c>
      <c r="AA234" s="46"/>
      <c r="AB234" s="26"/>
      <c r="AC234" s="51" t="s">
        <v>135</v>
      </c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</row>
    <row r="235">
      <c r="A235" s="35">
        <v>46033.0</v>
      </c>
      <c r="B235" s="36" t="s">
        <v>1803</v>
      </c>
      <c r="C235" s="37" t="s">
        <v>1804</v>
      </c>
      <c r="D235" s="37" t="s">
        <v>1805</v>
      </c>
      <c r="E235" s="54">
        <v>4741217038</v>
      </c>
      <c r="F235" s="39" t="s">
        <v>1806</v>
      </c>
      <c r="G235" s="52" t="str">
        <f>IF(NOT(ISERROR(MATCH(D235,'Tannbleking - Oppsalg US'!D:D, 0))), "Ja", "")</f>
        <v/>
      </c>
      <c r="H235" s="37" t="s">
        <v>50</v>
      </c>
      <c r="I235" s="37" t="s">
        <v>44</v>
      </c>
      <c r="J235" s="40"/>
      <c r="K235" s="41"/>
      <c r="L235" s="42" t="s">
        <v>128</v>
      </c>
      <c r="M235" s="43" t="s">
        <v>1598</v>
      </c>
      <c r="N235" s="44">
        <v>6.880738889537E12</v>
      </c>
      <c r="O235" s="53" t="str">
        <f t="shared" si="1"/>
        <v>11/01/2026</v>
      </c>
      <c r="P235" s="46">
        <f t="shared" si="2"/>
        <v>1768126560</v>
      </c>
      <c r="Q235" s="47"/>
      <c r="R235" s="48"/>
      <c r="S235" s="46"/>
      <c r="T235" s="49" t="s">
        <v>1807</v>
      </c>
      <c r="U235" s="49" t="s">
        <v>1808</v>
      </c>
      <c r="V235" s="49" t="s">
        <v>1809</v>
      </c>
      <c r="W235" s="46"/>
      <c r="X235" s="49" t="s">
        <v>132</v>
      </c>
      <c r="Y235" s="50" t="s">
        <v>133</v>
      </c>
      <c r="Z235" s="50" t="s">
        <v>134</v>
      </c>
      <c r="AA235" s="46"/>
      <c r="AB235" s="26"/>
      <c r="AC235" s="51" t="s">
        <v>135</v>
      </c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</row>
    <row r="236">
      <c r="A236" s="35">
        <v>46033.0</v>
      </c>
      <c r="B236" s="36" t="s">
        <v>1810</v>
      </c>
      <c r="C236" s="37" t="s">
        <v>1811</v>
      </c>
      <c r="D236" s="37" t="s">
        <v>1812</v>
      </c>
      <c r="E236" s="54">
        <v>4798676788</v>
      </c>
      <c r="F236" s="39" t="s">
        <v>1813</v>
      </c>
      <c r="G236" s="52" t="str">
        <f>IF(NOT(ISERROR(MATCH(D236,'Tannbleking - Oppsalg US'!D:D, 0))), "Ja", "")</f>
        <v/>
      </c>
      <c r="H236" s="37" t="s">
        <v>50</v>
      </c>
      <c r="I236" s="37" t="s">
        <v>44</v>
      </c>
      <c r="J236" s="40"/>
      <c r="K236" s="41"/>
      <c r="L236" s="42" t="s">
        <v>128</v>
      </c>
      <c r="M236" s="43" t="s">
        <v>1605</v>
      </c>
      <c r="N236" s="44">
        <v>6.880738888737E12</v>
      </c>
      <c r="O236" s="53" t="str">
        <f t="shared" si="1"/>
        <v>11/01/2026</v>
      </c>
      <c r="P236" s="46">
        <f t="shared" si="2"/>
        <v>1768163820</v>
      </c>
      <c r="Q236" s="47"/>
      <c r="R236" s="48"/>
      <c r="S236" s="46"/>
      <c r="T236" s="49" t="s">
        <v>1814</v>
      </c>
      <c r="U236" s="49" t="s">
        <v>1815</v>
      </c>
      <c r="V236" s="49" t="s">
        <v>1816</v>
      </c>
      <c r="W236" s="46"/>
      <c r="X236" s="49" t="s">
        <v>132</v>
      </c>
      <c r="Y236" s="50" t="s">
        <v>133</v>
      </c>
      <c r="Z236" s="50" t="s">
        <v>134</v>
      </c>
      <c r="AA236" s="46"/>
      <c r="AB236" s="26"/>
      <c r="AC236" s="51" t="s">
        <v>280</v>
      </c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</row>
    <row r="237">
      <c r="A237" s="35">
        <v>46034.0</v>
      </c>
      <c r="B237" s="36" t="s">
        <v>1817</v>
      </c>
      <c r="C237" s="37" t="s">
        <v>1818</v>
      </c>
      <c r="D237" s="37" t="s">
        <v>1819</v>
      </c>
      <c r="E237" s="54">
        <v>4741239377</v>
      </c>
      <c r="F237" s="39" t="s">
        <v>1820</v>
      </c>
      <c r="G237" s="52" t="str">
        <f>IF(NOT(ISERROR(MATCH(D237,'Tannbleking - Oppsalg US'!D:D, 0))), "Ja", "")</f>
        <v/>
      </c>
      <c r="H237" s="37" t="s">
        <v>676</v>
      </c>
      <c r="I237" s="37" t="s">
        <v>72</v>
      </c>
      <c r="J237" s="40" t="s">
        <v>1821</v>
      </c>
      <c r="K237" s="41"/>
      <c r="L237" s="42" t="s">
        <v>128</v>
      </c>
      <c r="M237" s="43" t="s">
        <v>1605</v>
      </c>
      <c r="N237" s="44">
        <v>6.880738888737E12</v>
      </c>
      <c r="O237" s="53" t="str">
        <f t="shared" si="1"/>
        <v>12/01/2026</v>
      </c>
      <c r="P237" s="46">
        <f t="shared" si="2"/>
        <v>1768216560</v>
      </c>
      <c r="Q237" s="47"/>
      <c r="R237" s="48"/>
      <c r="S237" s="46"/>
      <c r="T237" s="49" t="s">
        <v>1822</v>
      </c>
      <c r="U237" s="49" t="s">
        <v>1823</v>
      </c>
      <c r="V237" s="49" t="s">
        <v>1824</v>
      </c>
      <c r="W237" s="46"/>
      <c r="X237" s="49" t="s">
        <v>132</v>
      </c>
      <c r="Y237" s="50" t="s">
        <v>133</v>
      </c>
      <c r="Z237" s="50" t="s">
        <v>134</v>
      </c>
      <c r="AA237" s="46"/>
      <c r="AB237" s="26"/>
      <c r="AC237" s="51" t="s">
        <v>280</v>
      </c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</row>
    <row r="238">
      <c r="A238" s="35">
        <v>46034.0</v>
      </c>
      <c r="B238" s="36" t="s">
        <v>1825</v>
      </c>
      <c r="C238" s="37" t="s">
        <v>1826</v>
      </c>
      <c r="D238" s="37" t="s">
        <v>1827</v>
      </c>
      <c r="E238" s="54">
        <v>4745238409</v>
      </c>
      <c r="F238" s="39" t="s">
        <v>1828</v>
      </c>
      <c r="G238" s="52" t="str">
        <f>IF(NOT(ISERROR(MATCH(D238,'Tannbleking - Oppsalg US'!D:D, 0))), "Ja", "")</f>
        <v/>
      </c>
      <c r="H238" s="37" t="s">
        <v>50</v>
      </c>
      <c r="I238" s="37" t="s">
        <v>44</v>
      </c>
      <c r="J238" s="40"/>
      <c r="K238" s="41"/>
      <c r="L238" s="42" t="s">
        <v>128</v>
      </c>
      <c r="M238" s="43" t="s">
        <v>1621</v>
      </c>
      <c r="N238" s="44">
        <v>6.880738890937E12</v>
      </c>
      <c r="O238" s="53" t="str">
        <f t="shared" si="1"/>
        <v>12/01/2026</v>
      </c>
      <c r="P238" s="46">
        <f t="shared" si="2"/>
        <v>1768218780</v>
      </c>
      <c r="Q238" s="47"/>
      <c r="R238" s="48"/>
      <c r="S238" s="46"/>
      <c r="T238" s="49" t="s">
        <v>1829</v>
      </c>
      <c r="U238" s="49" t="s">
        <v>1830</v>
      </c>
      <c r="V238" s="49" t="s">
        <v>1831</v>
      </c>
      <c r="W238" s="46"/>
      <c r="X238" s="49" t="s">
        <v>132</v>
      </c>
      <c r="Y238" s="50" t="s">
        <v>133</v>
      </c>
      <c r="Z238" s="50" t="s">
        <v>134</v>
      </c>
      <c r="AA238" s="46"/>
      <c r="AB238" s="26"/>
      <c r="AC238" s="51" t="s">
        <v>151</v>
      </c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</row>
    <row r="239">
      <c r="A239" s="35">
        <v>46034.0</v>
      </c>
      <c r="B239" s="36" t="s">
        <v>1832</v>
      </c>
      <c r="C239" s="37" t="s">
        <v>1833</v>
      </c>
      <c r="D239" s="37" t="s">
        <v>1834</v>
      </c>
      <c r="E239" s="54">
        <v>4741105777</v>
      </c>
      <c r="F239" s="39" t="s">
        <v>1835</v>
      </c>
      <c r="G239" s="52" t="str">
        <f>IF(NOT(ISERROR(MATCH(D239,'Tannbleking - Oppsalg US'!D:D, 0))), "Ja", "")</f>
        <v/>
      </c>
      <c r="H239" s="37" t="s">
        <v>50</v>
      </c>
      <c r="I239" s="37" t="s">
        <v>44</v>
      </c>
      <c r="J239" s="40"/>
      <c r="K239" s="41"/>
      <c r="L239" s="42" t="s">
        <v>128</v>
      </c>
      <c r="M239" s="43" t="s">
        <v>1836</v>
      </c>
      <c r="N239" s="44">
        <v>6.880738889337E12</v>
      </c>
      <c r="O239" s="53" t="str">
        <f t="shared" si="1"/>
        <v>12/01/2026</v>
      </c>
      <c r="P239" s="46">
        <f t="shared" si="2"/>
        <v>1768228620</v>
      </c>
      <c r="Q239" s="47"/>
      <c r="R239" s="48"/>
      <c r="S239" s="46"/>
      <c r="T239" s="49" t="s">
        <v>1837</v>
      </c>
      <c r="U239" s="49" t="s">
        <v>1838</v>
      </c>
      <c r="V239" s="49" t="s">
        <v>1839</v>
      </c>
      <c r="W239" s="46"/>
      <c r="X239" s="49" t="s">
        <v>132</v>
      </c>
      <c r="Y239" s="50" t="s">
        <v>133</v>
      </c>
      <c r="Z239" s="50" t="s">
        <v>134</v>
      </c>
      <c r="AA239" s="46"/>
      <c r="AB239" s="26"/>
      <c r="AC239" s="51" t="s">
        <v>135</v>
      </c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</row>
    <row r="240">
      <c r="A240" s="35">
        <v>46035.0</v>
      </c>
      <c r="B240" s="36" t="s">
        <v>1840</v>
      </c>
      <c r="C240" s="37" t="s">
        <v>1841</v>
      </c>
      <c r="D240" s="37" t="s">
        <v>1842</v>
      </c>
      <c r="E240" s="54">
        <v>4746348060</v>
      </c>
      <c r="F240" s="39" t="s">
        <v>1843</v>
      </c>
      <c r="G240" s="52" t="str">
        <f>IF(NOT(ISERROR(MATCH(D240,'Tannbleking - Oppsalg US'!D:D, 0))), "Ja", "")</f>
        <v/>
      </c>
      <c r="H240" s="37" t="s">
        <v>90</v>
      </c>
      <c r="I240" s="37" t="s">
        <v>44</v>
      </c>
      <c r="J240" s="40"/>
      <c r="K240" s="41"/>
      <c r="L240" s="42" t="s">
        <v>128</v>
      </c>
      <c r="M240" s="43" t="s">
        <v>1844</v>
      </c>
      <c r="N240" s="44">
        <v>6.880738891337E12</v>
      </c>
      <c r="O240" s="53" t="str">
        <f t="shared" si="1"/>
        <v>13/01/2026</v>
      </c>
      <c r="P240" s="46">
        <f t="shared" si="2"/>
        <v>1768264080</v>
      </c>
      <c r="Q240" s="47"/>
      <c r="R240" s="48"/>
      <c r="S240" s="46"/>
      <c r="T240" s="49" t="s">
        <v>1845</v>
      </c>
      <c r="U240" s="49" t="s">
        <v>1846</v>
      </c>
      <c r="V240" s="49" t="s">
        <v>1847</v>
      </c>
      <c r="W240" s="46"/>
      <c r="X240" s="49" t="s">
        <v>132</v>
      </c>
      <c r="Y240" s="50" t="s">
        <v>133</v>
      </c>
      <c r="Z240" s="50" t="s">
        <v>134</v>
      </c>
      <c r="AA240" s="46"/>
      <c r="AB240" s="26"/>
      <c r="AC240" s="51" t="s">
        <v>144</v>
      </c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</row>
    <row r="241">
      <c r="A241" s="35">
        <v>46035.0</v>
      </c>
      <c r="B241" s="36" t="s">
        <v>1848</v>
      </c>
      <c r="C241" s="37" t="s">
        <v>244</v>
      </c>
      <c r="D241" s="37" t="s">
        <v>245</v>
      </c>
      <c r="E241" s="54">
        <v>4798079851</v>
      </c>
      <c r="F241" s="39" t="s">
        <v>1849</v>
      </c>
      <c r="G241" s="37" t="str">
        <f>IF(NOT(ISERROR(MATCH(D241,'Tannbleking - Oppsalg US'!D:D, 0))), "Ja", "")</f>
        <v>Ja</v>
      </c>
      <c r="H241" s="37" t="s">
        <v>50</v>
      </c>
      <c r="I241" s="37" t="s">
        <v>107</v>
      </c>
      <c r="J241" s="40"/>
      <c r="K241" s="41"/>
      <c r="L241" s="42" t="s">
        <v>128</v>
      </c>
      <c r="M241" s="43" t="s">
        <v>1708</v>
      </c>
      <c r="N241" s="44">
        <v>6.881871630937E12</v>
      </c>
      <c r="O241" s="53" t="str">
        <f t="shared" si="1"/>
        <v>13/01/2026</v>
      </c>
      <c r="P241" s="46">
        <f t="shared" si="2"/>
        <v>1768266780</v>
      </c>
      <c r="Q241" s="47"/>
      <c r="R241" s="48"/>
      <c r="S241" s="46"/>
      <c r="T241" s="49" t="s">
        <v>248</v>
      </c>
      <c r="U241" s="49" t="s">
        <v>249</v>
      </c>
      <c r="V241" s="49" t="s">
        <v>1850</v>
      </c>
      <c r="W241" s="46"/>
      <c r="X241" s="49" t="s">
        <v>132</v>
      </c>
      <c r="Y241" s="50" t="s">
        <v>133</v>
      </c>
      <c r="Z241" s="50" t="s">
        <v>134</v>
      </c>
      <c r="AA241" s="46"/>
      <c r="AB241" s="26"/>
      <c r="AC241" s="51" t="s">
        <v>144</v>
      </c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</row>
    <row r="242">
      <c r="A242" s="35">
        <v>46036.0</v>
      </c>
      <c r="B242" s="36" t="s">
        <v>1851</v>
      </c>
      <c r="C242" s="37" t="s">
        <v>1699</v>
      </c>
      <c r="D242" s="37" t="s">
        <v>1700</v>
      </c>
      <c r="E242" s="54">
        <v>4797347662</v>
      </c>
      <c r="F242" s="39" t="s">
        <v>822</v>
      </c>
      <c r="G242" s="37" t="str">
        <f>IF(NOT(ISERROR(MATCH(D242,'Tannbleking - Oppsalg US'!D:D, 0))), "Ja", "")</f>
        <v/>
      </c>
      <c r="H242" s="37" t="s">
        <v>50</v>
      </c>
      <c r="I242" s="37" t="s">
        <v>44</v>
      </c>
      <c r="J242" s="40"/>
      <c r="K242" s="41"/>
      <c r="L242" s="42" t="s">
        <v>128</v>
      </c>
      <c r="M242" s="43" t="s">
        <v>1852</v>
      </c>
      <c r="N242" s="44">
        <v>6.880738889737E12</v>
      </c>
      <c r="O242" s="53" t="str">
        <f t="shared" si="1"/>
        <v>14/01/2026</v>
      </c>
      <c r="P242" s="46">
        <f t="shared" si="2"/>
        <v>1768352040</v>
      </c>
      <c r="Q242" s="47"/>
      <c r="R242" s="48"/>
      <c r="S242" s="46"/>
      <c r="T242" s="49" t="s">
        <v>1702</v>
      </c>
      <c r="U242" s="49" t="s">
        <v>1703</v>
      </c>
      <c r="V242" s="49" t="s">
        <v>1853</v>
      </c>
      <c r="W242" s="46"/>
      <c r="X242" s="49" t="s">
        <v>132</v>
      </c>
      <c r="Y242" s="50" t="s">
        <v>133</v>
      </c>
      <c r="Z242" s="50" t="s">
        <v>134</v>
      </c>
      <c r="AA242" s="46"/>
      <c r="AB242" s="26"/>
      <c r="AC242" s="51" t="s">
        <v>135</v>
      </c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</row>
    <row r="243">
      <c r="A243" s="35">
        <v>46036.0</v>
      </c>
      <c r="B243" s="36" t="s">
        <v>1854</v>
      </c>
      <c r="C243" s="37" t="s">
        <v>1855</v>
      </c>
      <c r="D243" s="37" t="s">
        <v>1856</v>
      </c>
      <c r="E243" s="54">
        <v>4748363482</v>
      </c>
      <c r="F243" s="39" t="s">
        <v>1857</v>
      </c>
      <c r="G243" s="37" t="str">
        <f>IF(NOT(ISERROR(MATCH(D243,'Tannbleking - Oppsalg US'!D:D, 0))), "Ja", "")</f>
        <v/>
      </c>
      <c r="H243" s="37" t="s">
        <v>50</v>
      </c>
      <c r="I243" s="37" t="s">
        <v>72</v>
      </c>
      <c r="J243" s="40"/>
      <c r="K243" s="41"/>
      <c r="L243" s="42" t="s">
        <v>128</v>
      </c>
      <c r="M243" s="43" t="s">
        <v>1708</v>
      </c>
      <c r="N243" s="44">
        <v>6.881871630937E12</v>
      </c>
      <c r="O243" s="53" t="str">
        <f t="shared" si="1"/>
        <v>14/01/2026</v>
      </c>
      <c r="P243" s="46">
        <f t="shared" si="2"/>
        <v>1768376580</v>
      </c>
      <c r="Q243" s="47"/>
      <c r="R243" s="48"/>
      <c r="S243" s="46"/>
      <c r="T243" s="49" t="s">
        <v>1858</v>
      </c>
      <c r="U243" s="49" t="s">
        <v>1859</v>
      </c>
      <c r="V243" s="49" t="s">
        <v>1860</v>
      </c>
      <c r="W243" s="46"/>
      <c r="X243" s="49" t="s">
        <v>132</v>
      </c>
      <c r="Y243" s="50" t="s">
        <v>133</v>
      </c>
      <c r="Z243" s="50" t="s">
        <v>134</v>
      </c>
      <c r="AA243" s="46"/>
      <c r="AB243" s="26"/>
      <c r="AC243" s="51" t="s">
        <v>144</v>
      </c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</row>
    <row r="244">
      <c r="A244" s="35">
        <v>46036.0</v>
      </c>
      <c r="B244" s="36" t="s">
        <v>1861</v>
      </c>
      <c r="C244" s="37" t="s">
        <v>1862</v>
      </c>
      <c r="D244" s="37" t="s">
        <v>1863</v>
      </c>
      <c r="E244" s="54">
        <v>4795739477</v>
      </c>
      <c r="F244" s="39" t="s">
        <v>1864</v>
      </c>
      <c r="G244" s="37" t="str">
        <f>IF(NOT(ISERROR(MATCH(D244,'Tannbleking - Oppsalg US'!D:D, 0))), "Ja", "")</f>
        <v/>
      </c>
      <c r="H244" s="37" t="s">
        <v>50</v>
      </c>
      <c r="I244" s="37" t="s">
        <v>44</v>
      </c>
      <c r="J244" s="40"/>
      <c r="K244" s="41"/>
      <c r="L244" s="42" t="s">
        <v>128</v>
      </c>
      <c r="M244" s="43" t="s">
        <v>1605</v>
      </c>
      <c r="N244" s="44">
        <v>6.880738888737E12</v>
      </c>
      <c r="O244" s="53" t="str">
        <f t="shared" si="1"/>
        <v>14/01/2026</v>
      </c>
      <c r="P244" s="46">
        <f t="shared" si="2"/>
        <v>1768410000</v>
      </c>
      <c r="Q244" s="47"/>
      <c r="R244" s="48"/>
      <c r="S244" s="46"/>
      <c r="T244" s="49" t="s">
        <v>1865</v>
      </c>
      <c r="U244" s="49" t="s">
        <v>1866</v>
      </c>
      <c r="V244" s="49" t="s">
        <v>1867</v>
      </c>
      <c r="W244" s="46"/>
      <c r="X244" s="49" t="s">
        <v>132</v>
      </c>
      <c r="Y244" s="50" t="s">
        <v>133</v>
      </c>
      <c r="Z244" s="50" t="s">
        <v>134</v>
      </c>
      <c r="AA244" s="46"/>
      <c r="AB244" s="26"/>
      <c r="AC244" s="51" t="s">
        <v>135</v>
      </c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</row>
    <row r="245">
      <c r="A245" s="35">
        <v>46036.0</v>
      </c>
      <c r="B245" s="36" t="s">
        <v>1868</v>
      </c>
      <c r="C245" s="37" t="s">
        <v>1869</v>
      </c>
      <c r="D245" s="37" t="s">
        <v>1870</v>
      </c>
      <c r="E245" s="54">
        <v>4796716877</v>
      </c>
      <c r="F245" s="39" t="s">
        <v>1871</v>
      </c>
      <c r="G245" s="37" t="str">
        <f>IF(NOT(ISERROR(MATCH(D245,'Tannbleking - Oppsalg US'!D:D, 0))), "Ja", "")</f>
        <v/>
      </c>
      <c r="H245" s="37" t="s">
        <v>676</v>
      </c>
      <c r="I245" s="37" t="s">
        <v>107</v>
      </c>
      <c r="J245" s="40" t="s">
        <v>1872</v>
      </c>
      <c r="K245" s="41"/>
      <c r="L245" s="42" t="s">
        <v>128</v>
      </c>
      <c r="M245" s="43" t="s">
        <v>1708</v>
      </c>
      <c r="N245" s="44">
        <v>6.881871630937E12</v>
      </c>
      <c r="O245" s="53" t="str">
        <f t="shared" si="1"/>
        <v>14/01/2026</v>
      </c>
      <c r="P245" s="46">
        <f t="shared" si="2"/>
        <v>1768411740</v>
      </c>
      <c r="Q245" s="47"/>
      <c r="R245" s="48"/>
      <c r="S245" s="46"/>
      <c r="T245" s="49" t="s">
        <v>1873</v>
      </c>
      <c r="U245" s="49" t="s">
        <v>1874</v>
      </c>
      <c r="V245" s="49" t="s">
        <v>1875</v>
      </c>
      <c r="W245" s="46"/>
      <c r="X245" s="49" t="s">
        <v>132</v>
      </c>
      <c r="Y245" s="50" t="s">
        <v>133</v>
      </c>
      <c r="Z245" s="50" t="s">
        <v>134</v>
      </c>
      <c r="AA245" s="46"/>
      <c r="AB245" s="26"/>
      <c r="AC245" s="51" t="s">
        <v>144</v>
      </c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>
      <c r="A246" s="35">
        <v>46037.0</v>
      </c>
      <c r="B246" s="36" t="s">
        <v>1876</v>
      </c>
      <c r="C246" s="37" t="s">
        <v>1877</v>
      </c>
      <c r="D246" s="37" t="s">
        <v>1878</v>
      </c>
      <c r="E246" s="54">
        <v>4740644026</v>
      </c>
      <c r="F246" s="39" t="s">
        <v>1879</v>
      </c>
      <c r="G246" s="37" t="str">
        <f>IF(NOT(ISERROR(MATCH(D246,'Tannbleking - Oppsalg US'!D:D, 0))), "Ja", "")</f>
        <v/>
      </c>
      <c r="H246" s="37" t="s">
        <v>90</v>
      </c>
      <c r="I246" s="37" t="s">
        <v>44</v>
      </c>
      <c r="J246" s="40" t="s">
        <v>1880</v>
      </c>
      <c r="K246" s="41"/>
      <c r="L246" s="42" t="s">
        <v>128</v>
      </c>
      <c r="M246" s="43" t="s">
        <v>1708</v>
      </c>
      <c r="N246" s="44">
        <v>6.881871630937E12</v>
      </c>
      <c r="O246" s="53" t="str">
        <f t="shared" si="1"/>
        <v>15/01/2026</v>
      </c>
      <c r="P246" s="46">
        <f t="shared" si="2"/>
        <v>1768468560</v>
      </c>
      <c r="Q246" s="47"/>
      <c r="R246" s="48"/>
      <c r="S246" s="46"/>
      <c r="T246" s="49" t="s">
        <v>1881</v>
      </c>
      <c r="U246" s="49" t="s">
        <v>1882</v>
      </c>
      <c r="V246" s="49" t="s">
        <v>1883</v>
      </c>
      <c r="W246" s="46"/>
      <c r="X246" s="49" t="s">
        <v>132</v>
      </c>
      <c r="Y246" s="50" t="s">
        <v>133</v>
      </c>
      <c r="Z246" s="50" t="s">
        <v>134</v>
      </c>
      <c r="AA246" s="46"/>
      <c r="AB246" s="26"/>
      <c r="AC246" s="51" t="s">
        <v>144</v>
      </c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>
      <c r="A247" s="35">
        <v>46037.0</v>
      </c>
      <c r="B247" s="36" t="s">
        <v>1884</v>
      </c>
      <c r="C247" s="37" t="s">
        <v>1885</v>
      </c>
      <c r="D247" s="37" t="s">
        <v>1886</v>
      </c>
      <c r="E247" s="54">
        <v>4795900979</v>
      </c>
      <c r="F247" s="39" t="s">
        <v>1887</v>
      </c>
      <c r="G247" s="37" t="str">
        <f>IF(NOT(ISERROR(MATCH(D247,'Tannbleking - Oppsalg US'!D:D, 0))), "Ja", "")</f>
        <v/>
      </c>
      <c r="H247" s="37" t="s">
        <v>50</v>
      </c>
      <c r="I247" s="37" t="s">
        <v>44</v>
      </c>
      <c r="J247" s="40"/>
      <c r="K247" s="41"/>
      <c r="L247" s="42" t="s">
        <v>128</v>
      </c>
      <c r="M247" s="43" t="s">
        <v>1598</v>
      </c>
      <c r="N247" s="44">
        <v>6.880738889537E12</v>
      </c>
      <c r="O247" s="53" t="str">
        <f t="shared" si="1"/>
        <v>15/01/2026</v>
      </c>
      <c r="P247" s="46">
        <f t="shared" si="2"/>
        <v>1768474140</v>
      </c>
      <c r="Q247" s="47"/>
      <c r="R247" s="48"/>
      <c r="S247" s="46"/>
      <c r="T247" s="49" t="s">
        <v>1888</v>
      </c>
      <c r="U247" s="49" t="s">
        <v>1889</v>
      </c>
      <c r="V247" s="49" t="s">
        <v>1890</v>
      </c>
      <c r="W247" s="46"/>
      <c r="X247" s="49" t="s">
        <v>132</v>
      </c>
      <c r="Y247" s="50" t="s">
        <v>133</v>
      </c>
      <c r="Z247" s="50" t="s">
        <v>134</v>
      </c>
      <c r="AA247" s="46"/>
      <c r="AB247" s="26"/>
      <c r="AC247" s="51" t="s">
        <v>135</v>
      </c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</row>
    <row r="248">
      <c r="A248" s="35">
        <v>46037.0</v>
      </c>
      <c r="B248" s="36" t="s">
        <v>1891</v>
      </c>
      <c r="C248" s="37" t="s">
        <v>1892</v>
      </c>
      <c r="D248" s="37" t="s">
        <v>1893</v>
      </c>
      <c r="E248" s="54">
        <v>4797579880</v>
      </c>
      <c r="F248" s="39" t="s">
        <v>1894</v>
      </c>
      <c r="G248" s="37" t="str">
        <f>IF(NOT(ISERROR(MATCH(D248,'Tannbleking - Oppsalg US'!D:D, 0))), "Ja", "")</f>
        <v/>
      </c>
      <c r="H248" s="37" t="s">
        <v>50</v>
      </c>
      <c r="I248" s="37" t="s">
        <v>44</v>
      </c>
      <c r="J248" s="40"/>
      <c r="K248" s="41"/>
      <c r="L248" s="42" t="s">
        <v>347</v>
      </c>
      <c r="M248" s="43">
        <v>6.880738889537E12</v>
      </c>
      <c r="N248" s="44"/>
      <c r="O248" s="53" t="str">
        <f t="shared" si="1"/>
        <v>15/01/2026</v>
      </c>
      <c r="P248" s="46">
        <f t="shared" si="2"/>
        <v>1768476660</v>
      </c>
      <c r="Q248" s="47"/>
      <c r="R248" s="48"/>
      <c r="S248" s="46"/>
      <c r="T248" s="49" t="s">
        <v>1895</v>
      </c>
      <c r="U248" s="49" t="s">
        <v>1896</v>
      </c>
      <c r="V248" s="49" t="s">
        <v>1897</v>
      </c>
      <c r="W248" s="46"/>
      <c r="X248" s="49" t="s">
        <v>132</v>
      </c>
      <c r="Y248" s="50" t="s">
        <v>133</v>
      </c>
      <c r="Z248" s="50" t="s">
        <v>134</v>
      </c>
      <c r="AA248" s="46"/>
      <c r="AB248" s="26"/>
      <c r="AC248" s="51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</row>
    <row r="249">
      <c r="A249" s="35">
        <v>46037.0</v>
      </c>
      <c r="B249" s="36" t="s">
        <v>665</v>
      </c>
      <c r="C249" s="37" t="s">
        <v>1898</v>
      </c>
      <c r="D249" s="37" t="s">
        <v>1899</v>
      </c>
      <c r="E249" s="54">
        <v>4740055175</v>
      </c>
      <c r="F249" s="39" t="s">
        <v>1900</v>
      </c>
      <c r="G249" s="37" t="str">
        <f>IF(NOT(ISERROR(MATCH(D249,'Tannbleking - Oppsalg US'!D:D, 0))), "Ja", "")</f>
        <v/>
      </c>
      <c r="H249" s="37" t="s">
        <v>50</v>
      </c>
      <c r="I249" s="37" t="s">
        <v>44</v>
      </c>
      <c r="J249" s="40"/>
      <c r="K249" s="41"/>
      <c r="L249" s="42" t="s">
        <v>128</v>
      </c>
      <c r="M249" s="43" t="s">
        <v>1621</v>
      </c>
      <c r="N249" s="44">
        <v>6.880738890937E12</v>
      </c>
      <c r="O249" s="53" t="str">
        <f t="shared" si="1"/>
        <v>15/01/2026</v>
      </c>
      <c r="P249" s="46">
        <f t="shared" si="2"/>
        <v>1768478700</v>
      </c>
      <c r="Q249" s="47"/>
      <c r="R249" s="48"/>
      <c r="S249" s="46"/>
      <c r="T249" s="49" t="s">
        <v>1901</v>
      </c>
      <c r="U249" s="49" t="s">
        <v>1902</v>
      </c>
      <c r="V249" s="49" t="s">
        <v>1903</v>
      </c>
      <c r="W249" s="46"/>
      <c r="X249" s="49" t="s">
        <v>132</v>
      </c>
      <c r="Y249" s="50" t="s">
        <v>133</v>
      </c>
      <c r="Z249" s="50" t="s">
        <v>134</v>
      </c>
      <c r="AA249" s="46"/>
      <c r="AB249" s="26"/>
      <c r="AC249" s="51" t="s">
        <v>280</v>
      </c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</row>
    <row r="250">
      <c r="A250" s="35">
        <v>46038.0</v>
      </c>
      <c r="B250" s="36" t="s">
        <v>1904</v>
      </c>
      <c r="C250" s="37" t="s">
        <v>1905</v>
      </c>
      <c r="D250" s="37" t="s">
        <v>1906</v>
      </c>
      <c r="E250" s="54">
        <v>4790835360</v>
      </c>
      <c r="F250" s="39" t="s">
        <v>1907</v>
      </c>
      <c r="G250" s="37" t="str">
        <f>IF(NOT(ISERROR(MATCH(D250,'Tannbleking - Oppsalg US'!D:D, 0))), "Ja", "")</f>
        <v/>
      </c>
      <c r="H250" s="37" t="s">
        <v>43</v>
      </c>
      <c r="I250" s="37" t="s">
        <v>72</v>
      </c>
      <c r="J250" s="40" t="s">
        <v>1908</v>
      </c>
      <c r="K250" s="41"/>
      <c r="L250" s="42" t="s">
        <v>128</v>
      </c>
      <c r="M250" s="43" t="s">
        <v>1598</v>
      </c>
      <c r="N250" s="44">
        <v>6.880738889537E12</v>
      </c>
      <c r="O250" s="53" t="str">
        <f t="shared" si="1"/>
        <v>16/01/2026</v>
      </c>
      <c r="P250" s="46">
        <f t="shared" si="2"/>
        <v>1768554420</v>
      </c>
      <c r="Q250" s="47"/>
      <c r="R250" s="48"/>
      <c r="S250" s="46"/>
      <c r="T250" s="49" t="s">
        <v>1909</v>
      </c>
      <c r="U250" s="49" t="s">
        <v>1910</v>
      </c>
      <c r="V250" s="49" t="s">
        <v>1911</v>
      </c>
      <c r="W250" s="46"/>
      <c r="X250" s="49" t="s">
        <v>132</v>
      </c>
      <c r="Y250" s="50" t="s">
        <v>133</v>
      </c>
      <c r="Z250" s="50" t="s">
        <v>134</v>
      </c>
      <c r="AA250" s="46"/>
      <c r="AB250" s="26"/>
      <c r="AC250" s="51" t="s">
        <v>1686</v>
      </c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</row>
    <row r="251">
      <c r="A251" s="35">
        <v>46038.0</v>
      </c>
      <c r="B251" s="36" t="s">
        <v>1912</v>
      </c>
      <c r="C251" s="37" t="s">
        <v>1913</v>
      </c>
      <c r="D251" s="37" t="s">
        <v>1914</v>
      </c>
      <c r="E251" s="54">
        <v>4741679457</v>
      </c>
      <c r="F251" s="39" t="s">
        <v>1915</v>
      </c>
      <c r="G251" s="37" t="str">
        <f>IF(NOT(ISERROR(MATCH(D251,'Tannbleking - Oppsalg US'!D:D, 0))), "Ja", "")</f>
        <v/>
      </c>
      <c r="H251" s="37" t="s">
        <v>50</v>
      </c>
      <c r="I251" s="37" t="s">
        <v>44</v>
      </c>
      <c r="J251" s="40"/>
      <c r="K251" s="41"/>
      <c r="L251" s="42" t="s">
        <v>128</v>
      </c>
      <c r="M251" s="43" t="s">
        <v>1605</v>
      </c>
      <c r="N251" s="44">
        <v>6.880738888737E12</v>
      </c>
      <c r="O251" s="53" t="str">
        <f t="shared" si="1"/>
        <v>16/01/2026</v>
      </c>
      <c r="P251" s="46">
        <f t="shared" si="2"/>
        <v>1768556220</v>
      </c>
      <c r="Q251" s="47"/>
      <c r="R251" s="48"/>
      <c r="S251" s="46"/>
      <c r="T251" s="49" t="s">
        <v>1916</v>
      </c>
      <c r="U251" s="49" t="s">
        <v>1917</v>
      </c>
      <c r="V251" s="49" t="s">
        <v>1918</v>
      </c>
      <c r="W251" s="46"/>
      <c r="X251" s="49" t="s">
        <v>132</v>
      </c>
      <c r="Y251" s="50" t="s">
        <v>133</v>
      </c>
      <c r="Z251" s="50" t="s">
        <v>134</v>
      </c>
      <c r="AA251" s="46"/>
      <c r="AB251" s="26"/>
      <c r="AC251" s="51" t="s">
        <v>144</v>
      </c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</row>
    <row r="252">
      <c r="A252" s="35">
        <v>46038.0</v>
      </c>
      <c r="B252" s="36" t="s">
        <v>1691</v>
      </c>
      <c r="C252" s="37" t="s">
        <v>1913</v>
      </c>
      <c r="D252" s="37" t="s">
        <v>1914</v>
      </c>
      <c r="E252" s="54">
        <v>4741679457</v>
      </c>
      <c r="F252" s="39" t="s">
        <v>1919</v>
      </c>
      <c r="G252" s="37" t="str">
        <f>IF(NOT(ISERROR(MATCH(D252,'Tannbleking - Oppsalg US'!D:D, 0))), "Ja", "")</f>
        <v/>
      </c>
      <c r="H252" s="37" t="s">
        <v>50</v>
      </c>
      <c r="I252" s="37" t="s">
        <v>44</v>
      </c>
      <c r="J252" s="40" t="s">
        <v>1920</v>
      </c>
      <c r="K252" s="41"/>
      <c r="L252" s="42" t="s">
        <v>128</v>
      </c>
      <c r="M252" s="43" t="s">
        <v>1605</v>
      </c>
      <c r="N252" s="44">
        <v>6.880738888737E12</v>
      </c>
      <c r="O252" s="53" t="str">
        <f t="shared" si="1"/>
        <v>16/01/2026</v>
      </c>
      <c r="P252" s="46">
        <f t="shared" si="2"/>
        <v>1768556700</v>
      </c>
      <c r="Q252" s="47"/>
      <c r="R252" s="48"/>
      <c r="S252" s="46"/>
      <c r="T252" s="49" t="s">
        <v>1916</v>
      </c>
      <c r="U252" s="49" t="s">
        <v>1917</v>
      </c>
      <c r="V252" s="49" t="s">
        <v>1921</v>
      </c>
      <c r="W252" s="46"/>
      <c r="X252" s="49" t="s">
        <v>132</v>
      </c>
      <c r="Y252" s="50" t="s">
        <v>133</v>
      </c>
      <c r="Z252" s="50" t="s">
        <v>134</v>
      </c>
      <c r="AA252" s="46"/>
      <c r="AB252" s="26"/>
      <c r="AC252" s="51" t="s">
        <v>144</v>
      </c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>
      <c r="A253" s="35">
        <v>46039.0</v>
      </c>
      <c r="B253" s="36" t="s">
        <v>1781</v>
      </c>
      <c r="C253" s="37" t="s">
        <v>1922</v>
      </c>
      <c r="D253" s="37" t="s">
        <v>1923</v>
      </c>
      <c r="E253" s="54">
        <v>4791645696</v>
      </c>
      <c r="F253" s="39" t="s">
        <v>1924</v>
      </c>
      <c r="G253" s="37" t="str">
        <f>IF(NOT(ISERROR(MATCH(D253,'Tannbleking - Oppsalg US'!D:D, 0))), "Ja", "")</f>
        <v/>
      </c>
      <c r="H253" s="37" t="s">
        <v>50</v>
      </c>
      <c r="I253" s="37" t="s">
        <v>44</v>
      </c>
      <c r="J253" s="40"/>
      <c r="K253" s="41"/>
      <c r="L253" s="42" t="s">
        <v>128</v>
      </c>
      <c r="M253" s="43" t="s">
        <v>1605</v>
      </c>
      <c r="N253" s="44">
        <v>6.880738888737E12</v>
      </c>
      <c r="O253" s="53" t="str">
        <f t="shared" si="1"/>
        <v>17/01/2026</v>
      </c>
      <c r="P253" s="46">
        <f t="shared" si="2"/>
        <v>1768645320</v>
      </c>
      <c r="Q253" s="47"/>
      <c r="R253" s="48"/>
      <c r="S253" s="46"/>
      <c r="T253" s="49" t="s">
        <v>1925</v>
      </c>
      <c r="U253" s="49" t="s">
        <v>1926</v>
      </c>
      <c r="V253" s="49" t="s">
        <v>1927</v>
      </c>
      <c r="W253" s="46"/>
      <c r="X253" s="49" t="s">
        <v>132</v>
      </c>
      <c r="Y253" s="50" t="s">
        <v>133</v>
      </c>
      <c r="Z253" s="50" t="s">
        <v>134</v>
      </c>
      <c r="AA253" s="46"/>
      <c r="AB253" s="26"/>
      <c r="AC253" s="51" t="s">
        <v>135</v>
      </c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>
      <c r="A254" s="35">
        <v>46039.0</v>
      </c>
      <c r="B254" s="36" t="s">
        <v>1928</v>
      </c>
      <c r="C254" s="37" t="s">
        <v>1929</v>
      </c>
      <c r="D254" s="37" t="s">
        <v>1930</v>
      </c>
      <c r="E254" s="54">
        <v>4746262394</v>
      </c>
      <c r="F254" s="39" t="s">
        <v>1931</v>
      </c>
      <c r="G254" s="37" t="str">
        <f>IF(NOT(ISERROR(MATCH(D254,'Tannbleking - Oppsalg US'!D:D, 0))), "Ja", "")</f>
        <v/>
      </c>
      <c r="H254" s="37" t="s">
        <v>50</v>
      </c>
      <c r="I254" s="37" t="s">
        <v>44</v>
      </c>
      <c r="J254" s="40"/>
      <c r="K254" s="41"/>
      <c r="L254" s="42" t="s">
        <v>128</v>
      </c>
      <c r="M254" s="43" t="s">
        <v>1605</v>
      </c>
      <c r="N254" s="44">
        <v>6.880738888737E12</v>
      </c>
      <c r="O254" s="53" t="str">
        <f t="shared" si="1"/>
        <v>17/01/2026</v>
      </c>
      <c r="P254" s="46">
        <f t="shared" si="2"/>
        <v>1768649160</v>
      </c>
      <c r="Q254" s="47"/>
      <c r="R254" s="48"/>
      <c r="S254" s="46"/>
      <c r="T254" s="49" t="s">
        <v>1932</v>
      </c>
      <c r="U254" s="49" t="s">
        <v>1933</v>
      </c>
      <c r="V254" s="49" t="s">
        <v>1934</v>
      </c>
      <c r="W254" s="46"/>
      <c r="X254" s="49" t="s">
        <v>132</v>
      </c>
      <c r="Y254" s="50" t="s">
        <v>133</v>
      </c>
      <c r="Z254" s="50" t="s">
        <v>134</v>
      </c>
      <c r="AA254" s="46"/>
      <c r="AB254" s="26"/>
      <c r="AC254" s="51" t="s">
        <v>1126</v>
      </c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</row>
    <row r="255">
      <c r="A255" s="35">
        <v>46041.0</v>
      </c>
      <c r="B255" s="36" t="s">
        <v>1935</v>
      </c>
      <c r="C255" s="37" t="s">
        <v>1936</v>
      </c>
      <c r="D255" s="37" t="s">
        <v>1937</v>
      </c>
      <c r="E255" s="54">
        <v>4797676604</v>
      </c>
      <c r="F255" s="39" t="s">
        <v>1938</v>
      </c>
      <c r="G255" s="37" t="str">
        <f>IF(NOT(ISERROR(MATCH(D255,'Tannbleking - Oppsalg US'!D:D, 0))), "Ja", "")</f>
        <v/>
      </c>
      <c r="H255" s="37" t="s">
        <v>50</v>
      </c>
      <c r="I255" s="37"/>
      <c r="J255" s="40"/>
      <c r="K255" s="41"/>
      <c r="L255" s="42" t="s">
        <v>128</v>
      </c>
      <c r="M255" s="43" t="s">
        <v>1605</v>
      </c>
      <c r="N255" s="44">
        <v>6.880738888737E12</v>
      </c>
      <c r="O255" s="53" t="str">
        <f t="shared" si="1"/>
        <v>19/01/2026</v>
      </c>
      <c r="P255" s="46">
        <f t="shared" si="2"/>
        <v>1768836480</v>
      </c>
      <c r="Q255" s="47"/>
      <c r="R255" s="48"/>
      <c r="S255" s="46"/>
      <c r="T255" s="49" t="s">
        <v>1939</v>
      </c>
      <c r="U255" s="49" t="s">
        <v>1940</v>
      </c>
      <c r="V255" s="49" t="s">
        <v>1941</v>
      </c>
      <c r="W255" s="46"/>
      <c r="X255" s="49" t="s">
        <v>132</v>
      </c>
      <c r="Y255" s="50" t="s">
        <v>133</v>
      </c>
      <c r="Z255" s="50" t="s">
        <v>134</v>
      </c>
      <c r="AA255" s="46"/>
      <c r="AB255" s="26"/>
      <c r="AC255" s="51" t="s">
        <v>135</v>
      </c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>
      <c r="A256" s="35">
        <v>46041.0</v>
      </c>
      <c r="B256" s="36" t="s">
        <v>1942</v>
      </c>
      <c r="C256" s="37" t="s">
        <v>1943</v>
      </c>
      <c r="D256" s="37" t="s">
        <v>1944</v>
      </c>
      <c r="E256" s="54">
        <v>4746707633821</v>
      </c>
      <c r="F256" s="39" t="s">
        <v>1945</v>
      </c>
      <c r="G256" s="37" t="str">
        <f>IF(NOT(ISERROR(MATCH(D256,'Tannbleking - Oppsalg US'!D:D, 0))), "Ja", "")</f>
        <v/>
      </c>
      <c r="H256" s="37" t="s">
        <v>43</v>
      </c>
      <c r="I256" s="37" t="s">
        <v>107</v>
      </c>
      <c r="J256" s="40" t="s">
        <v>1946</v>
      </c>
      <c r="K256" s="41"/>
      <c r="L256" s="42" t="s">
        <v>128</v>
      </c>
      <c r="M256" s="43" t="s">
        <v>1605</v>
      </c>
      <c r="N256" s="44">
        <v>6.880738888737E12</v>
      </c>
      <c r="O256" s="53" t="str">
        <f t="shared" si="1"/>
        <v>19/01/2026</v>
      </c>
      <c r="P256" s="46">
        <f t="shared" si="2"/>
        <v>1768839720</v>
      </c>
      <c r="Q256" s="47"/>
      <c r="R256" s="48"/>
      <c r="S256" s="46"/>
      <c r="T256" s="49" t="s">
        <v>1947</v>
      </c>
      <c r="U256" s="49" t="s">
        <v>1948</v>
      </c>
      <c r="V256" s="49" t="s">
        <v>1949</v>
      </c>
      <c r="W256" s="46"/>
      <c r="X256" s="49" t="s">
        <v>132</v>
      </c>
      <c r="Y256" s="50" t="s">
        <v>133</v>
      </c>
      <c r="Z256" s="50" t="s">
        <v>134</v>
      </c>
      <c r="AA256" s="46"/>
      <c r="AB256" s="26"/>
      <c r="AC256" s="51" t="s">
        <v>144</v>
      </c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>
      <c r="A257" s="35">
        <v>46041.0</v>
      </c>
      <c r="B257" s="36" t="s">
        <v>1950</v>
      </c>
      <c r="C257" s="37" t="s">
        <v>1951</v>
      </c>
      <c r="D257" s="37" t="s">
        <v>1952</v>
      </c>
      <c r="E257" s="54">
        <v>4793618275</v>
      </c>
      <c r="F257" s="39" t="s">
        <v>1953</v>
      </c>
      <c r="G257" s="37" t="str">
        <f>IF(NOT(ISERROR(MATCH(D257,'Tannbleking - Oppsalg US'!D:D, 0))), "Ja", "")</f>
        <v/>
      </c>
      <c r="H257" s="37" t="s">
        <v>50</v>
      </c>
      <c r="I257" s="37" t="s">
        <v>44</v>
      </c>
      <c r="J257" s="40"/>
      <c r="K257" s="41"/>
      <c r="L257" s="42" t="s">
        <v>128</v>
      </c>
      <c r="M257" s="43" t="s">
        <v>1954</v>
      </c>
      <c r="N257" s="44">
        <v>6.880738890137E12</v>
      </c>
      <c r="O257" s="53" t="str">
        <f t="shared" si="1"/>
        <v>19/01/2026</v>
      </c>
      <c r="P257" s="46">
        <f t="shared" si="2"/>
        <v>1768854000</v>
      </c>
      <c r="Q257" s="47"/>
      <c r="R257" s="48"/>
      <c r="S257" s="46"/>
      <c r="T257" s="49" t="s">
        <v>1955</v>
      </c>
      <c r="U257" s="49" t="s">
        <v>1956</v>
      </c>
      <c r="V257" s="49" t="s">
        <v>1957</v>
      </c>
      <c r="W257" s="46"/>
      <c r="X257" s="49" t="s">
        <v>132</v>
      </c>
      <c r="Y257" s="50" t="s">
        <v>133</v>
      </c>
      <c r="Z257" s="50" t="s">
        <v>134</v>
      </c>
      <c r="AA257" s="46"/>
      <c r="AB257" s="26"/>
      <c r="AC257" s="51" t="s">
        <v>135</v>
      </c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>
      <c r="A258" s="35">
        <v>46042.0</v>
      </c>
      <c r="B258" s="36" t="s">
        <v>1958</v>
      </c>
      <c r="C258" s="37" t="s">
        <v>1959</v>
      </c>
      <c r="D258" s="37" t="s">
        <v>1960</v>
      </c>
      <c r="E258" s="54">
        <v>4797326316</v>
      </c>
      <c r="F258" s="39" t="s">
        <v>1961</v>
      </c>
      <c r="G258" s="37" t="str">
        <f>IF(NOT(ISERROR(MATCH(D258,'Tannbleking - Oppsalg US'!D:D, 0))), "Ja", "")</f>
        <v/>
      </c>
      <c r="H258" s="37" t="s">
        <v>43</v>
      </c>
      <c r="I258" s="37" t="s">
        <v>107</v>
      </c>
      <c r="J258" s="40"/>
      <c r="K258" s="41"/>
      <c r="L258" s="42" t="s">
        <v>128</v>
      </c>
      <c r="M258" s="43" t="s">
        <v>1605</v>
      </c>
      <c r="N258" s="44">
        <v>6.880738888737E12</v>
      </c>
      <c r="O258" s="53" t="str">
        <f t="shared" si="1"/>
        <v>20/01/2026</v>
      </c>
      <c r="P258" s="46">
        <f t="shared" si="2"/>
        <v>1768936620</v>
      </c>
      <c r="Q258" s="47"/>
      <c r="R258" s="48"/>
      <c r="S258" s="46"/>
      <c r="T258" s="49" t="s">
        <v>1962</v>
      </c>
      <c r="U258" s="49" t="s">
        <v>1963</v>
      </c>
      <c r="V258" s="49" t="s">
        <v>1964</v>
      </c>
      <c r="W258" s="46"/>
      <c r="X258" s="49" t="s">
        <v>132</v>
      </c>
      <c r="Y258" s="50" t="s">
        <v>133</v>
      </c>
      <c r="Z258" s="50" t="s">
        <v>134</v>
      </c>
      <c r="AA258" s="46"/>
      <c r="AB258" s="26"/>
      <c r="AC258" s="51" t="s">
        <v>135</v>
      </c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>
      <c r="A259" s="35">
        <v>46043.0</v>
      </c>
      <c r="B259" s="36" t="s">
        <v>1965</v>
      </c>
      <c r="C259" s="37" t="s">
        <v>1966</v>
      </c>
      <c r="D259" s="37" t="s">
        <v>1967</v>
      </c>
      <c r="E259" s="54">
        <v>4741283040</v>
      </c>
      <c r="F259" s="39" t="s">
        <v>1968</v>
      </c>
      <c r="G259" s="37" t="str">
        <f>IF(NOT(ISERROR(MATCH(D259,'Tannbleking - Oppsalg US'!D:D, 0))), "Ja", "")</f>
        <v/>
      </c>
      <c r="H259" s="37" t="s">
        <v>43</v>
      </c>
      <c r="I259" s="37" t="s">
        <v>107</v>
      </c>
      <c r="J259" s="40"/>
      <c r="K259" s="41"/>
      <c r="L259" s="42" t="s">
        <v>128</v>
      </c>
      <c r="M259" s="43" t="s">
        <v>1708</v>
      </c>
      <c r="N259" s="44">
        <v>6.881871630937E12</v>
      </c>
      <c r="O259" s="53" t="str">
        <f t="shared" si="1"/>
        <v>21/01/2026</v>
      </c>
      <c r="P259" s="46">
        <f t="shared" si="2"/>
        <v>1768955940</v>
      </c>
      <c r="Q259" s="47"/>
      <c r="R259" s="48"/>
      <c r="S259" s="46"/>
      <c r="T259" s="49" t="s">
        <v>1969</v>
      </c>
      <c r="U259" s="49" t="s">
        <v>1970</v>
      </c>
      <c r="V259" s="49" t="s">
        <v>1971</v>
      </c>
      <c r="W259" s="46"/>
      <c r="X259" s="49" t="s">
        <v>132</v>
      </c>
      <c r="Y259" s="50" t="s">
        <v>133</v>
      </c>
      <c r="Z259" s="50" t="s">
        <v>134</v>
      </c>
      <c r="AA259" s="46"/>
      <c r="AB259" s="26"/>
      <c r="AC259" s="51" t="s">
        <v>144</v>
      </c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</row>
    <row r="260">
      <c r="A260" s="35">
        <v>46043.0</v>
      </c>
      <c r="B260" s="36" t="s">
        <v>251</v>
      </c>
      <c r="C260" s="37" t="s">
        <v>1972</v>
      </c>
      <c r="D260" s="37" t="s">
        <v>1973</v>
      </c>
      <c r="E260" s="54">
        <v>4790037942</v>
      </c>
      <c r="F260" s="39" t="s">
        <v>1974</v>
      </c>
      <c r="G260" s="37" t="str">
        <f>IF(NOT(ISERROR(MATCH(D260,'Tannbleking - Oppsalg US'!D:D, 0))), "Ja", "")</f>
        <v/>
      </c>
      <c r="H260" s="37" t="s">
        <v>50</v>
      </c>
      <c r="I260" s="37" t="s">
        <v>140</v>
      </c>
      <c r="J260" s="40"/>
      <c r="K260" s="41"/>
      <c r="L260" s="42" t="s">
        <v>128</v>
      </c>
      <c r="M260" s="43" t="s">
        <v>1605</v>
      </c>
      <c r="N260" s="44">
        <v>6.880738888737E12</v>
      </c>
      <c r="O260" s="53" t="str">
        <f t="shared" si="1"/>
        <v>21/01/2026</v>
      </c>
      <c r="P260" s="46">
        <f t="shared" si="2"/>
        <v>1768977900</v>
      </c>
      <c r="Q260" s="47"/>
      <c r="R260" s="48"/>
      <c r="S260" s="46"/>
      <c r="T260" s="49" t="s">
        <v>1975</v>
      </c>
      <c r="U260" s="49" t="s">
        <v>1976</v>
      </c>
      <c r="V260" s="49" t="s">
        <v>1977</v>
      </c>
      <c r="W260" s="46"/>
      <c r="X260" s="49" t="s">
        <v>132</v>
      </c>
      <c r="Y260" s="50" t="s">
        <v>133</v>
      </c>
      <c r="Z260" s="50" t="s">
        <v>134</v>
      </c>
      <c r="AA260" s="46"/>
      <c r="AB260" s="26"/>
      <c r="AC260" s="51" t="s">
        <v>144</v>
      </c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</row>
    <row r="261">
      <c r="A261" s="35">
        <v>46043.0</v>
      </c>
      <c r="B261" s="36" t="s">
        <v>55</v>
      </c>
      <c r="C261" s="37" t="s">
        <v>1978</v>
      </c>
      <c r="D261" s="37" t="s">
        <v>1979</v>
      </c>
      <c r="E261" s="54">
        <v>4796992026</v>
      </c>
      <c r="F261" s="39" t="s">
        <v>1980</v>
      </c>
      <c r="G261" s="37" t="str">
        <f>IF(NOT(ISERROR(MATCH(D261,'Tannbleking - Oppsalg US'!D:D, 0))), "Ja", "")</f>
        <v>Ja</v>
      </c>
      <c r="H261" s="37" t="s">
        <v>50</v>
      </c>
      <c r="I261" s="37" t="s">
        <v>44</v>
      </c>
      <c r="J261" s="40"/>
      <c r="K261" s="41"/>
      <c r="L261" s="42" t="s">
        <v>128</v>
      </c>
      <c r="M261" s="43" t="s">
        <v>1598</v>
      </c>
      <c r="N261" s="44">
        <v>6.880738889537E12</v>
      </c>
      <c r="O261" s="53" t="str">
        <f t="shared" si="1"/>
        <v>21/01/2026</v>
      </c>
      <c r="P261" s="46">
        <f t="shared" si="2"/>
        <v>1768996860</v>
      </c>
      <c r="Q261" s="47"/>
      <c r="R261" s="48"/>
      <c r="S261" s="46"/>
      <c r="T261" s="49" t="s">
        <v>1981</v>
      </c>
      <c r="U261" s="49" t="s">
        <v>1982</v>
      </c>
      <c r="V261" s="49" t="s">
        <v>1983</v>
      </c>
      <c r="W261" s="46"/>
      <c r="X261" s="49" t="s">
        <v>132</v>
      </c>
      <c r="Y261" s="50" t="s">
        <v>133</v>
      </c>
      <c r="Z261" s="50" t="s">
        <v>134</v>
      </c>
      <c r="AA261" s="46"/>
      <c r="AB261" s="26"/>
      <c r="AC261" s="51" t="s">
        <v>280</v>
      </c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</row>
    <row r="262">
      <c r="A262" s="35">
        <v>46043.0</v>
      </c>
      <c r="B262" s="36" t="s">
        <v>1984</v>
      </c>
      <c r="C262" s="37" t="s">
        <v>1985</v>
      </c>
      <c r="D262" s="37" t="s">
        <v>1986</v>
      </c>
      <c r="E262" s="54">
        <v>4795723204</v>
      </c>
      <c r="F262" s="39" t="s">
        <v>1987</v>
      </c>
      <c r="G262" s="37" t="str">
        <f>IF(NOT(ISERROR(MATCH(D262,'Tannbleking - Oppsalg US'!D:D, 0))), "Ja", "")</f>
        <v/>
      </c>
      <c r="H262" s="37" t="s">
        <v>50</v>
      </c>
      <c r="I262" s="37" t="s">
        <v>107</v>
      </c>
      <c r="J262" s="40"/>
      <c r="K262" s="41"/>
      <c r="L262" s="42" t="s">
        <v>128</v>
      </c>
      <c r="M262" s="43" t="s">
        <v>1605</v>
      </c>
      <c r="N262" s="44">
        <v>6.880738888737E12</v>
      </c>
      <c r="O262" s="53" t="str">
        <f t="shared" si="1"/>
        <v>21/01/2026</v>
      </c>
      <c r="P262" s="46">
        <f t="shared" si="2"/>
        <v>1769021940</v>
      </c>
      <c r="Q262" s="47"/>
      <c r="R262" s="48"/>
      <c r="S262" s="46"/>
      <c r="T262" s="49" t="s">
        <v>1988</v>
      </c>
      <c r="U262" s="49" t="s">
        <v>1989</v>
      </c>
      <c r="V262" s="49" t="s">
        <v>1990</v>
      </c>
      <c r="W262" s="46"/>
      <c r="X262" s="49" t="s">
        <v>132</v>
      </c>
      <c r="Y262" s="50" t="s">
        <v>133</v>
      </c>
      <c r="Z262" s="50" t="s">
        <v>134</v>
      </c>
      <c r="AA262" s="46"/>
      <c r="AB262" s="26"/>
      <c r="AC262" s="51" t="s">
        <v>280</v>
      </c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</row>
    <row r="263">
      <c r="A263" s="35">
        <v>46044.0</v>
      </c>
      <c r="B263" s="36" t="s">
        <v>1991</v>
      </c>
      <c r="C263" s="37" t="s">
        <v>1992</v>
      </c>
      <c r="D263" s="37" t="s">
        <v>1993</v>
      </c>
      <c r="E263" s="54">
        <v>4796979886</v>
      </c>
      <c r="F263" s="39" t="s">
        <v>1994</v>
      </c>
      <c r="G263" s="37" t="str">
        <f>IF(NOT(ISERROR(MATCH(D263,'Tannbleking - Oppsalg US'!D:D, 0))), "Ja", "")</f>
        <v/>
      </c>
      <c r="H263" s="37" t="s">
        <v>50</v>
      </c>
      <c r="I263" s="37" t="s">
        <v>72</v>
      </c>
      <c r="J263" s="40"/>
      <c r="K263" s="41"/>
      <c r="L263" s="42" t="s">
        <v>128</v>
      </c>
      <c r="M263" s="43" t="s">
        <v>1621</v>
      </c>
      <c r="N263" s="44">
        <v>6.880738890937E12</v>
      </c>
      <c r="O263" s="53" t="str">
        <f t="shared" si="1"/>
        <v>22/01/2026</v>
      </c>
      <c r="P263" s="46">
        <f t="shared" si="2"/>
        <v>1769084760</v>
      </c>
      <c r="Q263" s="47"/>
      <c r="R263" s="48"/>
      <c r="S263" s="46"/>
      <c r="T263" s="49" t="s">
        <v>1995</v>
      </c>
      <c r="U263" s="49" t="s">
        <v>1996</v>
      </c>
      <c r="V263" s="49" t="s">
        <v>1997</v>
      </c>
      <c r="W263" s="46"/>
      <c r="X263" s="49" t="s">
        <v>132</v>
      </c>
      <c r="Y263" s="50" t="s">
        <v>133</v>
      </c>
      <c r="Z263" s="50" t="s">
        <v>134</v>
      </c>
      <c r="AA263" s="46"/>
      <c r="AB263" s="26"/>
      <c r="AC263" s="51" t="s">
        <v>135</v>
      </c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</row>
    <row r="264">
      <c r="A264" s="35">
        <v>46044.0</v>
      </c>
      <c r="B264" s="36" t="s">
        <v>1998</v>
      </c>
      <c r="C264" s="37" t="s">
        <v>1999</v>
      </c>
      <c r="D264" s="37" t="s">
        <v>2000</v>
      </c>
      <c r="E264" s="54">
        <v>4748426554</v>
      </c>
      <c r="F264" s="39" t="s">
        <v>2001</v>
      </c>
      <c r="G264" s="37" t="str">
        <f>IF(NOT(ISERROR(MATCH(D264,'Tannbleking - Oppsalg US'!D:D, 0))), "Ja", "")</f>
        <v/>
      </c>
      <c r="H264" s="37" t="s">
        <v>90</v>
      </c>
      <c r="I264" s="37"/>
      <c r="J264" s="40" t="s">
        <v>2002</v>
      </c>
      <c r="K264" s="41"/>
      <c r="L264" s="42" t="s">
        <v>128</v>
      </c>
      <c r="M264" s="43" t="s">
        <v>1605</v>
      </c>
      <c r="N264" s="44">
        <v>6.880738888737E12</v>
      </c>
      <c r="O264" s="53" t="str">
        <f t="shared" si="1"/>
        <v>22/01/2026</v>
      </c>
      <c r="P264" s="46">
        <f t="shared" si="2"/>
        <v>1769086260</v>
      </c>
      <c r="Q264" s="47"/>
      <c r="R264" s="48"/>
      <c r="S264" s="46"/>
      <c r="T264" s="49" t="s">
        <v>2003</v>
      </c>
      <c r="U264" s="49" t="s">
        <v>2004</v>
      </c>
      <c r="V264" s="49" t="s">
        <v>2005</v>
      </c>
      <c r="W264" s="46"/>
      <c r="X264" s="49" t="s">
        <v>132</v>
      </c>
      <c r="Y264" s="50" t="s">
        <v>133</v>
      </c>
      <c r="Z264" s="50" t="s">
        <v>134</v>
      </c>
      <c r="AA264" s="46"/>
      <c r="AB264" s="26"/>
      <c r="AC264" s="51" t="s">
        <v>280</v>
      </c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</row>
    <row r="265">
      <c r="A265" s="35">
        <v>46045.0</v>
      </c>
      <c r="B265" s="36" t="s">
        <v>2006</v>
      </c>
      <c r="C265" s="37" t="s">
        <v>2007</v>
      </c>
      <c r="D265" s="37" t="s">
        <v>2008</v>
      </c>
      <c r="E265" s="54">
        <v>4746213544</v>
      </c>
      <c r="F265" s="39" t="s">
        <v>2009</v>
      </c>
      <c r="G265" s="37" t="str">
        <f>IF(NOT(ISERROR(MATCH(D265,'Tannbleking - Oppsalg US'!D:D, 0))), "Ja", "")</f>
        <v/>
      </c>
      <c r="H265" s="37" t="s">
        <v>50</v>
      </c>
      <c r="I265" s="37" t="s">
        <v>44</v>
      </c>
      <c r="J265" s="40"/>
      <c r="K265" s="41"/>
      <c r="L265" s="42" t="s">
        <v>128</v>
      </c>
      <c r="M265" s="43" t="s">
        <v>1598</v>
      </c>
      <c r="N265" s="44">
        <v>6.880738889537E12</v>
      </c>
      <c r="O265" s="53" t="str">
        <f t="shared" si="1"/>
        <v>23/01/2026</v>
      </c>
      <c r="P265" s="46">
        <f t="shared" si="2"/>
        <v>1769153940</v>
      </c>
      <c r="Q265" s="47"/>
      <c r="R265" s="48"/>
      <c r="S265" s="46"/>
      <c r="T265" s="49" t="s">
        <v>2010</v>
      </c>
      <c r="U265" s="49" t="s">
        <v>2011</v>
      </c>
      <c r="V265" s="49" t="s">
        <v>2012</v>
      </c>
      <c r="W265" s="46"/>
      <c r="X265" s="49" t="s">
        <v>132</v>
      </c>
      <c r="Y265" s="50" t="s">
        <v>133</v>
      </c>
      <c r="Z265" s="50" t="s">
        <v>134</v>
      </c>
      <c r="AA265" s="46"/>
      <c r="AB265" s="26"/>
      <c r="AC265" s="51" t="s">
        <v>135</v>
      </c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</row>
    <row r="266">
      <c r="A266" s="35">
        <v>46045.0</v>
      </c>
      <c r="B266" s="36" t="s">
        <v>2013</v>
      </c>
      <c r="C266" s="37" t="s">
        <v>1367</v>
      </c>
      <c r="D266" s="37" t="s">
        <v>1368</v>
      </c>
      <c r="E266" s="54">
        <v>4797483260</v>
      </c>
      <c r="F266" s="39" t="s">
        <v>2014</v>
      </c>
      <c r="G266" s="37" t="str">
        <f>IF(NOT(ISERROR(MATCH(D266,'Tannbleking - Oppsalg US'!D:D, 0))), "Ja", "")</f>
        <v/>
      </c>
      <c r="H266" s="37" t="s">
        <v>50</v>
      </c>
      <c r="I266" s="37" t="s">
        <v>44</v>
      </c>
      <c r="J266" s="40"/>
      <c r="K266" s="41"/>
      <c r="L266" s="42" t="s">
        <v>128</v>
      </c>
      <c r="M266" s="43" t="s">
        <v>1598</v>
      </c>
      <c r="N266" s="44">
        <v>6.880738889537E12</v>
      </c>
      <c r="O266" s="53" t="str">
        <f t="shared" si="1"/>
        <v>23/01/2026</v>
      </c>
      <c r="P266" s="46">
        <f t="shared" si="2"/>
        <v>1769166900</v>
      </c>
      <c r="Q266" s="47"/>
      <c r="R266" s="48"/>
      <c r="S266" s="46"/>
      <c r="T266" s="49" t="s">
        <v>1370</v>
      </c>
      <c r="U266" s="49" t="s">
        <v>1371</v>
      </c>
      <c r="V266" s="49" t="s">
        <v>2015</v>
      </c>
      <c r="W266" s="46"/>
      <c r="X266" s="49" t="s">
        <v>132</v>
      </c>
      <c r="Y266" s="50" t="s">
        <v>133</v>
      </c>
      <c r="Z266" s="50" t="s">
        <v>134</v>
      </c>
      <c r="AA266" s="46"/>
      <c r="AB266" s="26"/>
      <c r="AC266" s="51" t="s">
        <v>135</v>
      </c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</row>
    <row r="267">
      <c r="A267" s="35">
        <v>46045.0</v>
      </c>
      <c r="B267" s="36" t="s">
        <v>2016</v>
      </c>
      <c r="C267" s="37" t="s">
        <v>2017</v>
      </c>
      <c r="D267" s="37" t="s">
        <v>2018</v>
      </c>
      <c r="E267" s="54">
        <v>4798218101</v>
      </c>
      <c r="F267" s="39" t="s">
        <v>2019</v>
      </c>
      <c r="G267" s="37" t="str">
        <f>IF(NOT(ISERROR(MATCH(D267,'Tannbleking - Oppsalg US'!D:D, 0))), "Ja", "")</f>
        <v/>
      </c>
      <c r="H267" s="37" t="s">
        <v>50</v>
      </c>
      <c r="I267" s="37" t="s">
        <v>44</v>
      </c>
      <c r="J267" s="40"/>
      <c r="K267" s="41"/>
      <c r="L267" s="42" t="s">
        <v>128</v>
      </c>
      <c r="M267" s="43" t="s">
        <v>1605</v>
      </c>
      <c r="N267" s="44">
        <v>6.880738888737E12</v>
      </c>
      <c r="O267" s="53" t="str">
        <f t="shared" si="1"/>
        <v>23/01/2026</v>
      </c>
      <c r="P267" s="46">
        <f t="shared" si="2"/>
        <v>1769189280</v>
      </c>
      <c r="Q267" s="47"/>
      <c r="R267" s="48"/>
      <c r="S267" s="46"/>
      <c r="T267" s="49" t="s">
        <v>2020</v>
      </c>
      <c r="U267" s="49" t="s">
        <v>2021</v>
      </c>
      <c r="V267" s="49" t="s">
        <v>2022</v>
      </c>
      <c r="W267" s="46"/>
      <c r="X267" s="49" t="s">
        <v>132</v>
      </c>
      <c r="Y267" s="50" t="s">
        <v>133</v>
      </c>
      <c r="Z267" s="50" t="s">
        <v>134</v>
      </c>
      <c r="AA267" s="46"/>
      <c r="AB267" s="26"/>
      <c r="AC267" s="51" t="s">
        <v>135</v>
      </c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</row>
    <row r="268">
      <c r="A268" s="35">
        <v>46046.0</v>
      </c>
      <c r="B268" s="36" t="s">
        <v>2023</v>
      </c>
      <c r="C268" s="37" t="s">
        <v>2024</v>
      </c>
      <c r="D268" s="37" t="s">
        <v>2025</v>
      </c>
      <c r="E268" s="54">
        <v>4741223048</v>
      </c>
      <c r="F268" s="39" t="s">
        <v>2026</v>
      </c>
      <c r="G268" s="37" t="str">
        <f>IF(NOT(ISERROR(MATCH(D268,'Tannbleking - Oppsalg US'!D:D, 0))), "Ja", "")</f>
        <v/>
      </c>
      <c r="H268" s="37" t="s">
        <v>50</v>
      </c>
      <c r="I268" s="37" t="s">
        <v>107</v>
      </c>
      <c r="J268" s="40"/>
      <c r="K268" s="41"/>
      <c r="L268" s="42" t="s">
        <v>128</v>
      </c>
      <c r="M268" s="43" t="s">
        <v>1598</v>
      </c>
      <c r="N268" s="44">
        <v>6.880738889537E12</v>
      </c>
      <c r="O268" s="53" t="str">
        <f t="shared" si="1"/>
        <v>24/01/2026</v>
      </c>
      <c r="P268" s="46">
        <f t="shared" si="2"/>
        <v>1769219100</v>
      </c>
      <c r="Q268" s="47"/>
      <c r="R268" s="48"/>
      <c r="S268" s="46"/>
      <c r="T268" s="49" t="s">
        <v>2027</v>
      </c>
      <c r="U268" s="49" t="s">
        <v>2028</v>
      </c>
      <c r="V268" s="49" t="s">
        <v>2029</v>
      </c>
      <c r="W268" s="46"/>
      <c r="X268" s="49" t="s">
        <v>132</v>
      </c>
      <c r="Y268" s="50" t="s">
        <v>133</v>
      </c>
      <c r="Z268" s="50" t="s">
        <v>134</v>
      </c>
      <c r="AA268" s="46"/>
      <c r="AB268" s="26"/>
      <c r="AC268" s="51" t="s">
        <v>135</v>
      </c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</row>
    <row r="269">
      <c r="A269" s="35">
        <v>46046.0</v>
      </c>
      <c r="B269" s="36" t="s">
        <v>1904</v>
      </c>
      <c r="C269" s="37" t="s">
        <v>2030</v>
      </c>
      <c r="D269" s="37" t="s">
        <v>2031</v>
      </c>
      <c r="E269" s="54">
        <v>4799876655</v>
      </c>
      <c r="F269" s="39" t="s">
        <v>2032</v>
      </c>
      <c r="G269" s="37" t="str">
        <f>IF(NOT(ISERROR(MATCH(D269,'Tannbleking - Oppsalg US'!D:D, 0))), "Ja", "")</f>
        <v/>
      </c>
      <c r="H269" s="37" t="s">
        <v>50</v>
      </c>
      <c r="I269" s="37" t="s">
        <v>44</v>
      </c>
      <c r="J269" s="40"/>
      <c r="K269" s="41"/>
      <c r="L269" s="42" t="s">
        <v>128</v>
      </c>
      <c r="M269" s="43" t="s">
        <v>1708</v>
      </c>
      <c r="N269" s="44">
        <v>6.881871630937E12</v>
      </c>
      <c r="O269" s="53" t="str">
        <f t="shared" si="1"/>
        <v>24/01/2026</v>
      </c>
      <c r="P269" s="46">
        <f t="shared" si="2"/>
        <v>1769245620</v>
      </c>
      <c r="Q269" s="47"/>
      <c r="R269" s="48"/>
      <c r="S269" s="46"/>
      <c r="T269" s="49" t="s">
        <v>2033</v>
      </c>
      <c r="U269" s="49" t="s">
        <v>2034</v>
      </c>
      <c r="V269" s="49" t="s">
        <v>2035</v>
      </c>
      <c r="W269" s="46"/>
      <c r="X269" s="49" t="s">
        <v>132</v>
      </c>
      <c r="Y269" s="50" t="s">
        <v>133</v>
      </c>
      <c r="Z269" s="50" t="s">
        <v>134</v>
      </c>
      <c r="AA269" s="46"/>
      <c r="AB269" s="26"/>
      <c r="AC269" s="51" t="s">
        <v>144</v>
      </c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</row>
    <row r="270">
      <c r="A270" s="35">
        <v>46046.0</v>
      </c>
      <c r="B270" s="36" t="s">
        <v>1928</v>
      </c>
      <c r="C270" s="37" t="s">
        <v>2036</v>
      </c>
      <c r="D270" s="37" t="s">
        <v>2037</v>
      </c>
      <c r="E270" s="54">
        <v>4793811813</v>
      </c>
      <c r="F270" s="39" t="s">
        <v>2038</v>
      </c>
      <c r="G270" s="37" t="str">
        <f>IF(NOT(ISERROR(MATCH(D270,'Tannbleking - Oppsalg US'!D:D, 0))), "Ja", "")</f>
        <v/>
      </c>
      <c r="H270" s="37" t="s">
        <v>50</v>
      </c>
      <c r="I270" s="37" t="s">
        <v>107</v>
      </c>
      <c r="J270" s="40"/>
      <c r="K270" s="41"/>
      <c r="L270" s="42" t="s">
        <v>128</v>
      </c>
      <c r="M270" s="43" t="s">
        <v>1598</v>
      </c>
      <c r="N270" s="44">
        <v>6.880738889537E12</v>
      </c>
      <c r="O270" s="53" t="str">
        <f t="shared" si="1"/>
        <v>24/01/2026</v>
      </c>
      <c r="P270" s="46">
        <f t="shared" si="2"/>
        <v>1769253960</v>
      </c>
      <c r="Q270" s="47"/>
      <c r="R270" s="48"/>
      <c r="S270" s="46"/>
      <c r="T270" s="49" t="s">
        <v>2039</v>
      </c>
      <c r="U270" s="49" t="s">
        <v>2040</v>
      </c>
      <c r="V270" s="49" t="s">
        <v>2041</v>
      </c>
      <c r="W270" s="46"/>
      <c r="X270" s="49" t="s">
        <v>132</v>
      </c>
      <c r="Y270" s="50" t="s">
        <v>133</v>
      </c>
      <c r="Z270" s="50" t="s">
        <v>134</v>
      </c>
      <c r="AA270" s="46"/>
      <c r="AB270" s="26"/>
      <c r="AC270" s="51" t="s">
        <v>135</v>
      </c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</row>
    <row r="271">
      <c r="A271" s="35">
        <v>46048.0</v>
      </c>
      <c r="B271" s="36" t="s">
        <v>2042</v>
      </c>
      <c r="C271" s="37" t="s">
        <v>2043</v>
      </c>
      <c r="D271" s="37" t="s">
        <v>2044</v>
      </c>
      <c r="E271" s="54">
        <v>4797836887</v>
      </c>
      <c r="F271" s="39" t="s">
        <v>2045</v>
      </c>
      <c r="G271" s="37" t="str">
        <f>IF(NOT(ISERROR(MATCH(D271,'Tannbleking - Oppsalg US'!D:D, 0))), "Ja", "")</f>
        <v/>
      </c>
      <c r="H271" s="37" t="s">
        <v>50</v>
      </c>
      <c r="I271" s="37" t="s">
        <v>44</v>
      </c>
      <c r="J271" s="40"/>
      <c r="K271" s="41"/>
      <c r="L271" s="42" t="s">
        <v>128</v>
      </c>
      <c r="M271" s="43" t="s">
        <v>1598</v>
      </c>
      <c r="N271" s="44">
        <v>6.880738889537E12</v>
      </c>
      <c r="O271" s="53" t="str">
        <f t="shared" si="1"/>
        <v>26/01/2026</v>
      </c>
      <c r="P271" s="46">
        <f t="shared" si="2"/>
        <v>1769433120</v>
      </c>
      <c r="Q271" s="47"/>
      <c r="R271" s="48"/>
      <c r="S271" s="46"/>
      <c r="T271" s="49" t="s">
        <v>2046</v>
      </c>
      <c r="U271" s="49" t="s">
        <v>2047</v>
      </c>
      <c r="V271" s="49" t="s">
        <v>2048</v>
      </c>
      <c r="W271" s="46"/>
      <c r="X271" s="49" t="s">
        <v>132</v>
      </c>
      <c r="Y271" s="50" t="s">
        <v>133</v>
      </c>
      <c r="Z271" s="50" t="s">
        <v>134</v>
      </c>
      <c r="AA271" s="46"/>
      <c r="AB271" s="26"/>
      <c r="AC271" s="51" t="s">
        <v>135</v>
      </c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</row>
    <row r="272">
      <c r="A272" s="35">
        <v>46048.0</v>
      </c>
      <c r="B272" s="36" t="s">
        <v>2049</v>
      </c>
      <c r="C272" s="37" t="s">
        <v>2050</v>
      </c>
      <c r="D272" s="37" t="s">
        <v>2051</v>
      </c>
      <c r="E272" s="54">
        <v>4746800823</v>
      </c>
      <c r="F272" s="39" t="s">
        <v>2014</v>
      </c>
      <c r="G272" s="37" t="str">
        <f>IF(NOT(ISERROR(MATCH(D272,'Tannbleking - Oppsalg US'!D:D, 0))), "Ja", "")</f>
        <v/>
      </c>
      <c r="H272" s="37" t="s">
        <v>43</v>
      </c>
      <c r="I272" s="37" t="s">
        <v>107</v>
      </c>
      <c r="J272" s="40"/>
      <c r="K272" s="41"/>
      <c r="L272" s="42" t="s">
        <v>128</v>
      </c>
      <c r="M272" s="43" t="s">
        <v>1598</v>
      </c>
      <c r="N272" s="44">
        <v>6.880738889537E12</v>
      </c>
      <c r="O272" s="53" t="str">
        <f t="shared" si="1"/>
        <v>26/01/2026</v>
      </c>
      <c r="P272" s="46">
        <f t="shared" si="2"/>
        <v>1769439060</v>
      </c>
      <c r="Q272" s="47"/>
      <c r="R272" s="48"/>
      <c r="S272" s="46"/>
      <c r="T272" s="49" t="s">
        <v>2052</v>
      </c>
      <c r="U272" s="49" t="s">
        <v>2053</v>
      </c>
      <c r="V272" s="49" t="s">
        <v>2054</v>
      </c>
      <c r="W272" s="46"/>
      <c r="X272" s="49" t="s">
        <v>132</v>
      </c>
      <c r="Y272" s="50" t="s">
        <v>133</v>
      </c>
      <c r="Z272" s="50" t="s">
        <v>134</v>
      </c>
      <c r="AA272" s="46"/>
      <c r="AB272" s="26"/>
      <c r="AC272" s="51" t="s">
        <v>135</v>
      </c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</row>
    <row r="273">
      <c r="A273" s="35">
        <v>46048.0</v>
      </c>
      <c r="B273" s="36" t="s">
        <v>2055</v>
      </c>
      <c r="C273" s="37" t="s">
        <v>2056</v>
      </c>
      <c r="D273" s="37" t="s">
        <v>2057</v>
      </c>
      <c r="E273" s="54">
        <v>4793020570</v>
      </c>
      <c r="F273" s="39" t="s">
        <v>2058</v>
      </c>
      <c r="G273" s="37" t="str">
        <f>IF(NOT(ISERROR(MATCH(D273,'Tannbleking - Oppsalg US'!D:D, 0))), "Ja", "")</f>
        <v/>
      </c>
      <c r="H273" s="37" t="s">
        <v>676</v>
      </c>
      <c r="I273" s="37"/>
      <c r="J273" s="40" t="s">
        <v>2059</v>
      </c>
      <c r="K273" s="41"/>
      <c r="L273" s="42" t="s">
        <v>128</v>
      </c>
      <c r="M273" s="43" t="s">
        <v>1598</v>
      </c>
      <c r="N273" s="44">
        <v>6.880738889537E12</v>
      </c>
      <c r="O273" s="53" t="str">
        <f t="shared" si="1"/>
        <v>26/01/2026</v>
      </c>
      <c r="P273" s="46">
        <f t="shared" si="2"/>
        <v>1769450520</v>
      </c>
      <c r="Q273" s="47"/>
      <c r="R273" s="48"/>
      <c r="S273" s="46"/>
      <c r="T273" s="49" t="s">
        <v>2060</v>
      </c>
      <c r="U273" s="49" t="s">
        <v>2061</v>
      </c>
      <c r="V273" s="49" t="s">
        <v>2062</v>
      </c>
      <c r="W273" s="46"/>
      <c r="X273" s="49" t="s">
        <v>132</v>
      </c>
      <c r="Y273" s="50" t="s">
        <v>133</v>
      </c>
      <c r="Z273" s="50" t="s">
        <v>134</v>
      </c>
      <c r="AA273" s="46"/>
      <c r="AB273" s="26"/>
      <c r="AC273" s="51" t="s">
        <v>135</v>
      </c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</row>
    <row r="274">
      <c r="A274" s="35">
        <v>46048.0</v>
      </c>
      <c r="B274" s="36" t="s">
        <v>2063</v>
      </c>
      <c r="C274" s="37" t="s">
        <v>2064</v>
      </c>
      <c r="D274" s="37" t="s">
        <v>2065</v>
      </c>
      <c r="E274" s="54">
        <v>4793039619</v>
      </c>
      <c r="F274" s="39" t="s">
        <v>2066</v>
      </c>
      <c r="G274" s="37" t="str">
        <f>IF(NOT(ISERROR(MATCH(D274,'Tannbleking - Oppsalg US'!D:D, 0))), "Ja", "")</f>
        <v/>
      </c>
      <c r="H274" s="37" t="s">
        <v>43</v>
      </c>
      <c r="I274" s="37" t="s">
        <v>44</v>
      </c>
      <c r="J274" s="40"/>
      <c r="K274" s="41"/>
      <c r="L274" s="42" t="s">
        <v>128</v>
      </c>
      <c r="M274" s="43" t="s">
        <v>1598</v>
      </c>
      <c r="N274" s="44">
        <v>6.880738889537E12</v>
      </c>
      <c r="O274" s="53" t="str">
        <f t="shared" si="1"/>
        <v>26/01/2026</v>
      </c>
      <c r="P274" s="46">
        <f t="shared" si="2"/>
        <v>1769456280</v>
      </c>
      <c r="Q274" s="47"/>
      <c r="R274" s="48"/>
      <c r="S274" s="46"/>
      <c r="T274" s="49" t="s">
        <v>2067</v>
      </c>
      <c r="U274" s="49" t="s">
        <v>2068</v>
      </c>
      <c r="V274" s="49" t="s">
        <v>2069</v>
      </c>
      <c r="W274" s="46"/>
      <c r="X274" s="49" t="s">
        <v>132</v>
      </c>
      <c r="Y274" s="50" t="s">
        <v>133</v>
      </c>
      <c r="Z274" s="50" t="s">
        <v>134</v>
      </c>
      <c r="AA274" s="46"/>
      <c r="AB274" s="26"/>
      <c r="AC274" s="51" t="s">
        <v>135</v>
      </c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</row>
    <row r="275">
      <c r="A275" s="35">
        <v>46049.0</v>
      </c>
      <c r="B275" s="36" t="s">
        <v>2070</v>
      </c>
      <c r="C275" s="37" t="s">
        <v>2071</v>
      </c>
      <c r="D275" s="37" t="s">
        <v>2072</v>
      </c>
      <c r="E275" s="54">
        <v>4746504546</v>
      </c>
      <c r="F275" s="39" t="s">
        <v>2073</v>
      </c>
      <c r="G275" s="37" t="str">
        <f>IF(NOT(ISERROR(MATCH(D275,'Tannbleking - Oppsalg US'!D:D, 0))), "Ja", "")</f>
        <v/>
      </c>
      <c r="H275" s="37" t="s">
        <v>50</v>
      </c>
      <c r="I275" s="37" t="s">
        <v>44</v>
      </c>
      <c r="J275" s="40"/>
      <c r="K275" s="41"/>
      <c r="L275" s="42" t="s">
        <v>128</v>
      </c>
      <c r="M275" s="43" t="s">
        <v>1598</v>
      </c>
      <c r="N275" s="44">
        <v>6.880738889537E12</v>
      </c>
      <c r="O275" s="53" t="str">
        <f t="shared" si="1"/>
        <v>27/01/2026</v>
      </c>
      <c r="P275" s="46">
        <f t="shared" si="2"/>
        <v>1769509980</v>
      </c>
      <c r="Q275" s="47"/>
      <c r="R275" s="48"/>
      <c r="S275" s="46"/>
      <c r="T275" s="49" t="s">
        <v>2074</v>
      </c>
      <c r="U275" s="49" t="s">
        <v>2075</v>
      </c>
      <c r="V275" s="49" t="s">
        <v>2076</v>
      </c>
      <c r="W275" s="46"/>
      <c r="X275" s="49" t="s">
        <v>132</v>
      </c>
      <c r="Y275" s="50" t="s">
        <v>133</v>
      </c>
      <c r="Z275" s="50" t="s">
        <v>134</v>
      </c>
      <c r="AA275" s="46"/>
      <c r="AB275" s="26"/>
      <c r="AC275" s="51" t="s">
        <v>144</v>
      </c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</row>
    <row r="276">
      <c r="A276" s="35">
        <v>46054.0</v>
      </c>
      <c r="B276" s="36" t="s">
        <v>2077</v>
      </c>
      <c r="C276" s="37" t="s">
        <v>2078</v>
      </c>
      <c r="D276" s="37" t="s">
        <v>2079</v>
      </c>
      <c r="E276" s="54">
        <v>4741630734</v>
      </c>
      <c r="F276" s="39" t="s">
        <v>2080</v>
      </c>
      <c r="G276" s="37" t="str">
        <f>IF(NOT(ISERROR(MATCH(D276,'Tannbleking - Oppsalg US'!D:D, 0))), "Ja", "")</f>
        <v/>
      </c>
      <c r="H276" s="37" t="s">
        <v>50</v>
      </c>
      <c r="I276" s="37" t="s">
        <v>44</v>
      </c>
      <c r="J276" s="40"/>
      <c r="K276" s="41"/>
      <c r="L276" s="42" t="s">
        <v>128</v>
      </c>
      <c r="M276" s="43" t="s">
        <v>2081</v>
      </c>
      <c r="N276" s="44">
        <v>6.891296559137E12</v>
      </c>
      <c r="O276" s="53" t="str">
        <f t="shared" si="1"/>
        <v>01/02/2026</v>
      </c>
      <c r="P276" s="46">
        <f t="shared" si="2"/>
        <v>1769918940</v>
      </c>
      <c r="Q276" s="47"/>
      <c r="R276" s="48"/>
      <c r="S276" s="46"/>
      <c r="T276" s="49" t="s">
        <v>2082</v>
      </c>
      <c r="U276" s="49" t="s">
        <v>2083</v>
      </c>
      <c r="V276" s="49" t="s">
        <v>2084</v>
      </c>
      <c r="W276" s="46"/>
      <c r="X276" s="49" t="s">
        <v>132</v>
      </c>
      <c r="Y276" s="50" t="s">
        <v>133</v>
      </c>
      <c r="Z276" s="50" t="s">
        <v>134</v>
      </c>
      <c r="AA276" s="46"/>
      <c r="AB276" s="26"/>
      <c r="AC276" s="51" t="s">
        <v>280</v>
      </c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</row>
    <row r="277">
      <c r="A277" s="35">
        <v>46054.0</v>
      </c>
      <c r="B277" s="36" t="s">
        <v>2085</v>
      </c>
      <c r="C277" s="37" t="s">
        <v>2086</v>
      </c>
      <c r="D277" s="37" t="s">
        <v>2087</v>
      </c>
      <c r="E277" s="54">
        <v>4741188580</v>
      </c>
      <c r="F277" s="39" t="s">
        <v>2088</v>
      </c>
      <c r="G277" s="37" t="str">
        <f>IF(NOT(ISERROR(MATCH(D277,'Tannbleking - Oppsalg US'!D:D, 0))), "Ja", "")</f>
        <v/>
      </c>
      <c r="H277" s="37" t="s">
        <v>50</v>
      </c>
      <c r="I277" s="37" t="s">
        <v>44</v>
      </c>
      <c r="J277" s="40"/>
      <c r="K277" s="41"/>
      <c r="L277" s="42" t="s">
        <v>128</v>
      </c>
      <c r="M277" s="43" t="s">
        <v>2089</v>
      </c>
      <c r="N277" s="44">
        <v>6.891296561537E12</v>
      </c>
      <c r="O277" s="53" t="str">
        <f t="shared" si="1"/>
        <v>01/02/2026</v>
      </c>
      <c r="P277" s="46">
        <f t="shared" si="2"/>
        <v>1769944680</v>
      </c>
      <c r="Q277" s="47"/>
      <c r="R277" s="48"/>
      <c r="S277" s="46"/>
      <c r="T277" s="49" t="s">
        <v>2090</v>
      </c>
      <c r="U277" s="49" t="s">
        <v>2091</v>
      </c>
      <c r="V277" s="49" t="s">
        <v>2092</v>
      </c>
      <c r="W277" s="46"/>
      <c r="X277" s="49" t="s">
        <v>132</v>
      </c>
      <c r="Y277" s="50" t="s">
        <v>133</v>
      </c>
      <c r="Z277" s="50" t="s">
        <v>134</v>
      </c>
      <c r="AA277" s="46"/>
      <c r="AB277" s="26"/>
      <c r="AC277" s="51" t="s">
        <v>135</v>
      </c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</row>
    <row r="278">
      <c r="A278" s="35">
        <v>46054.0</v>
      </c>
      <c r="B278" s="36" t="s">
        <v>2093</v>
      </c>
      <c r="C278" s="37" t="s">
        <v>2094</v>
      </c>
      <c r="D278" s="37" t="s">
        <v>2095</v>
      </c>
      <c r="E278" s="54">
        <v>4794159549</v>
      </c>
      <c r="F278" s="39" t="s">
        <v>2096</v>
      </c>
      <c r="G278" s="37" t="str">
        <f>IF(NOT(ISERROR(MATCH(D278,'Tannbleking - Oppsalg US'!D:D, 0))), "Ja", "")</f>
        <v/>
      </c>
      <c r="H278" s="37" t="s">
        <v>50</v>
      </c>
      <c r="I278" s="37" t="s">
        <v>44</v>
      </c>
      <c r="J278" s="40"/>
      <c r="K278" s="41"/>
      <c r="L278" s="42" t="s">
        <v>128</v>
      </c>
      <c r="M278" s="43" t="s">
        <v>2089</v>
      </c>
      <c r="N278" s="44">
        <v>6.891296561537E12</v>
      </c>
      <c r="O278" s="53" t="str">
        <f t="shared" si="1"/>
        <v>01/02/2026</v>
      </c>
      <c r="P278" s="46">
        <f t="shared" si="2"/>
        <v>1769945580</v>
      </c>
      <c r="Q278" s="47"/>
      <c r="R278" s="48"/>
      <c r="S278" s="46"/>
      <c r="T278" s="49" t="s">
        <v>2097</v>
      </c>
      <c r="U278" s="49" t="s">
        <v>2098</v>
      </c>
      <c r="V278" s="49" t="s">
        <v>2099</v>
      </c>
      <c r="W278" s="46"/>
      <c r="X278" s="49" t="s">
        <v>132</v>
      </c>
      <c r="Y278" s="50" t="s">
        <v>133</v>
      </c>
      <c r="Z278" s="50" t="s">
        <v>134</v>
      </c>
      <c r="AA278" s="46"/>
      <c r="AB278" s="26"/>
      <c r="AC278" s="51" t="s">
        <v>144</v>
      </c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</row>
    <row r="279">
      <c r="A279" s="35">
        <v>46055.0</v>
      </c>
      <c r="B279" s="36" t="s">
        <v>2100</v>
      </c>
      <c r="C279" s="37" t="s">
        <v>2101</v>
      </c>
      <c r="D279" s="37" t="s">
        <v>2102</v>
      </c>
      <c r="E279" s="54">
        <v>4740942768</v>
      </c>
      <c r="F279" s="39" t="s">
        <v>2103</v>
      </c>
      <c r="G279" s="37" t="str">
        <f>IF(NOT(ISERROR(MATCH(D279,'Tannbleking - Oppsalg US'!D:D, 0))), "Ja", "")</f>
        <v/>
      </c>
      <c r="H279" s="37" t="s">
        <v>50</v>
      </c>
      <c r="I279" s="37" t="s">
        <v>44</v>
      </c>
      <c r="J279" s="40"/>
      <c r="K279" s="41"/>
      <c r="L279" s="42" t="s">
        <v>128</v>
      </c>
      <c r="M279" s="43" t="s">
        <v>2081</v>
      </c>
      <c r="N279" s="44">
        <v>6.891296559137E12</v>
      </c>
      <c r="O279" s="53" t="str">
        <f t="shared" si="1"/>
        <v>02/02/2026</v>
      </c>
      <c r="P279" s="46">
        <f t="shared" si="2"/>
        <v>1770004500</v>
      </c>
      <c r="Q279" s="47"/>
      <c r="R279" s="48"/>
      <c r="S279" s="46"/>
      <c r="T279" s="49" t="s">
        <v>2104</v>
      </c>
      <c r="U279" s="49" t="s">
        <v>2105</v>
      </c>
      <c r="V279" s="49" t="s">
        <v>2106</v>
      </c>
      <c r="W279" s="46"/>
      <c r="X279" s="49" t="s">
        <v>132</v>
      </c>
      <c r="Y279" s="50" t="s">
        <v>133</v>
      </c>
      <c r="Z279" s="50" t="s">
        <v>134</v>
      </c>
      <c r="AA279" s="46"/>
      <c r="AB279" s="26"/>
      <c r="AC279" s="51" t="s">
        <v>135</v>
      </c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</row>
    <row r="280">
      <c r="A280" s="35">
        <v>46055.0</v>
      </c>
      <c r="B280" s="36" t="s">
        <v>2107</v>
      </c>
      <c r="C280" s="37" t="s">
        <v>2108</v>
      </c>
      <c r="D280" s="37" t="s">
        <v>2109</v>
      </c>
      <c r="E280" s="54">
        <v>4791257251</v>
      </c>
      <c r="F280" s="39" t="s">
        <v>2110</v>
      </c>
      <c r="G280" s="37" t="str">
        <f>IF(NOT(ISERROR(MATCH(D280,'Tannbleking - Oppsalg US'!D:D, 0))), "Ja", "")</f>
        <v/>
      </c>
      <c r="H280" s="37" t="s">
        <v>50</v>
      </c>
      <c r="I280" s="37" t="s">
        <v>44</v>
      </c>
      <c r="J280" s="40"/>
      <c r="K280" s="41"/>
      <c r="L280" s="42" t="s">
        <v>128</v>
      </c>
      <c r="M280" s="43" t="s">
        <v>2089</v>
      </c>
      <c r="N280" s="44">
        <v>6.891296561537E12</v>
      </c>
      <c r="O280" s="53" t="str">
        <f t="shared" si="1"/>
        <v>02/02/2026</v>
      </c>
      <c r="P280" s="46">
        <f t="shared" si="2"/>
        <v>1770062940</v>
      </c>
      <c r="Q280" s="47"/>
      <c r="R280" s="48"/>
      <c r="S280" s="46"/>
      <c r="T280" s="49" t="s">
        <v>2111</v>
      </c>
      <c r="U280" s="49" t="s">
        <v>2112</v>
      </c>
      <c r="V280" s="49" t="s">
        <v>2113</v>
      </c>
      <c r="W280" s="46"/>
      <c r="X280" s="49" t="s">
        <v>132</v>
      </c>
      <c r="Y280" s="50" t="s">
        <v>133</v>
      </c>
      <c r="Z280" s="50" t="s">
        <v>134</v>
      </c>
      <c r="AA280" s="46"/>
      <c r="AB280" s="26"/>
      <c r="AC280" s="51" t="s">
        <v>144</v>
      </c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</row>
    <row r="281">
      <c r="A281" s="35">
        <v>46056.0</v>
      </c>
      <c r="B281" s="36" t="s">
        <v>2114</v>
      </c>
      <c r="C281" s="37" t="s">
        <v>2115</v>
      </c>
      <c r="D281" s="37" t="s">
        <v>2116</v>
      </c>
      <c r="E281" s="54">
        <v>4790995478</v>
      </c>
      <c r="F281" s="39" t="s">
        <v>2117</v>
      </c>
      <c r="G281" s="37" t="str">
        <f>IF(NOT(ISERROR(MATCH(D281,'Tannbleking - Oppsalg US'!D:D, 0))), "Ja", "")</f>
        <v/>
      </c>
      <c r="H281" s="37" t="s">
        <v>676</v>
      </c>
      <c r="I281" s="37" t="s">
        <v>72</v>
      </c>
      <c r="J281" s="40" t="s">
        <v>2118</v>
      </c>
      <c r="K281" s="41"/>
      <c r="L281" s="42" t="s">
        <v>128</v>
      </c>
      <c r="M281" s="43" t="s">
        <v>2089</v>
      </c>
      <c r="N281" s="44">
        <v>6.891296561537E12</v>
      </c>
      <c r="O281" s="53" t="str">
        <f t="shared" si="1"/>
        <v>03/02/2026</v>
      </c>
      <c r="P281" s="46">
        <f t="shared" si="2"/>
        <v>1770080700</v>
      </c>
      <c r="Q281" s="47"/>
      <c r="R281" s="48"/>
      <c r="S281" s="46"/>
      <c r="T281" s="49" t="s">
        <v>2119</v>
      </c>
      <c r="U281" s="49" t="s">
        <v>2120</v>
      </c>
      <c r="V281" s="49" t="s">
        <v>2121</v>
      </c>
      <c r="W281" s="46"/>
      <c r="X281" s="49" t="s">
        <v>132</v>
      </c>
      <c r="Y281" s="50" t="s">
        <v>133</v>
      </c>
      <c r="Z281" s="50" t="s">
        <v>134</v>
      </c>
      <c r="AA281" s="46"/>
      <c r="AB281" s="26"/>
      <c r="AC281" s="51" t="s">
        <v>144</v>
      </c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</row>
    <row r="282">
      <c r="A282" s="35">
        <v>46056.0</v>
      </c>
      <c r="B282" s="36" t="s">
        <v>2122</v>
      </c>
      <c r="C282" s="37" t="s">
        <v>2123</v>
      </c>
      <c r="D282" s="37" t="s">
        <v>2124</v>
      </c>
      <c r="E282" s="54">
        <v>4740140367</v>
      </c>
      <c r="F282" s="39" t="s">
        <v>2125</v>
      </c>
      <c r="G282" s="37" t="str">
        <f>IF(NOT(ISERROR(MATCH(D282,'Tannbleking - Oppsalg US'!D:D, 0))), "Ja", "")</f>
        <v/>
      </c>
      <c r="H282" s="37" t="s">
        <v>90</v>
      </c>
      <c r="I282" s="37" t="s">
        <v>44</v>
      </c>
      <c r="J282" s="40" t="s">
        <v>533</v>
      </c>
      <c r="K282" s="41"/>
      <c r="L282" s="42" t="s">
        <v>128</v>
      </c>
      <c r="M282" s="43" t="s">
        <v>2089</v>
      </c>
      <c r="N282" s="44">
        <v>6.891296561537E12</v>
      </c>
      <c r="O282" s="53" t="str">
        <f t="shared" si="1"/>
        <v>03/02/2026</v>
      </c>
      <c r="P282" s="46">
        <f t="shared" si="2"/>
        <v>1770111060</v>
      </c>
      <c r="Q282" s="47"/>
      <c r="R282" s="48"/>
      <c r="S282" s="46"/>
      <c r="T282" s="49" t="s">
        <v>2126</v>
      </c>
      <c r="U282" s="49" t="s">
        <v>2127</v>
      </c>
      <c r="V282" s="49" t="s">
        <v>2128</v>
      </c>
      <c r="W282" s="46"/>
      <c r="X282" s="49" t="s">
        <v>132</v>
      </c>
      <c r="Y282" s="50" t="s">
        <v>133</v>
      </c>
      <c r="Z282" s="50" t="s">
        <v>134</v>
      </c>
      <c r="AA282" s="46"/>
      <c r="AB282" s="26"/>
      <c r="AC282" s="51" t="s">
        <v>1126</v>
      </c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</row>
    <row r="283">
      <c r="A283" s="35">
        <v>46057.0</v>
      </c>
      <c r="B283" s="36" t="s">
        <v>2129</v>
      </c>
      <c r="C283" s="37" t="s">
        <v>2130</v>
      </c>
      <c r="D283" s="37" t="s">
        <v>2131</v>
      </c>
      <c r="E283" s="54">
        <v>4797355945</v>
      </c>
      <c r="F283" s="39" t="s">
        <v>2132</v>
      </c>
      <c r="G283" s="37" t="str">
        <f>IF(NOT(ISERROR(MATCH(D283,'Tannbleking - Oppsalg US'!D:D, 0))), "Ja", "")</f>
        <v/>
      </c>
      <c r="H283" s="37" t="s">
        <v>90</v>
      </c>
      <c r="I283" s="37" t="s">
        <v>107</v>
      </c>
      <c r="J283" s="40"/>
      <c r="K283" s="41"/>
      <c r="L283" s="42" t="s">
        <v>128</v>
      </c>
      <c r="M283" s="43" t="s">
        <v>2089</v>
      </c>
      <c r="N283" s="44">
        <v>6.891296561537E12</v>
      </c>
      <c r="O283" s="53" t="str">
        <f t="shared" si="1"/>
        <v>04/02/2026</v>
      </c>
      <c r="P283" s="46">
        <f t="shared" si="2"/>
        <v>1770165900</v>
      </c>
      <c r="Q283" s="47"/>
      <c r="R283" s="48"/>
      <c r="S283" s="46"/>
      <c r="T283" s="49" t="s">
        <v>2133</v>
      </c>
      <c r="U283" s="49" t="s">
        <v>2134</v>
      </c>
      <c r="V283" s="49" t="s">
        <v>2135</v>
      </c>
      <c r="W283" s="46"/>
      <c r="X283" s="49" t="s">
        <v>132</v>
      </c>
      <c r="Y283" s="50" t="s">
        <v>133</v>
      </c>
      <c r="Z283" s="50" t="s">
        <v>134</v>
      </c>
      <c r="AA283" s="46"/>
      <c r="AB283" s="26"/>
      <c r="AC283" s="51" t="s">
        <v>144</v>
      </c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</row>
    <row r="284">
      <c r="A284" s="35">
        <v>46057.0</v>
      </c>
      <c r="B284" s="36" t="s">
        <v>2136</v>
      </c>
      <c r="C284" s="37" t="s">
        <v>2137</v>
      </c>
      <c r="D284" s="37" t="s">
        <v>2138</v>
      </c>
      <c r="E284" s="54">
        <v>4748263444</v>
      </c>
      <c r="F284" s="39" t="s">
        <v>2139</v>
      </c>
      <c r="G284" s="37" t="str">
        <f>IF(NOT(ISERROR(MATCH(D284,'Tannbleking - Oppsalg US'!D:D, 0))), "Ja", "")</f>
        <v/>
      </c>
      <c r="H284" s="37" t="s">
        <v>50</v>
      </c>
      <c r="I284" s="37" t="s">
        <v>44</v>
      </c>
      <c r="J284" s="40"/>
      <c r="K284" s="41"/>
      <c r="L284" s="42" t="s">
        <v>128</v>
      </c>
      <c r="M284" s="43" t="s">
        <v>2089</v>
      </c>
      <c r="N284" s="44">
        <v>6.891296561537E12</v>
      </c>
      <c r="O284" s="53" t="str">
        <f t="shared" si="1"/>
        <v>04/02/2026</v>
      </c>
      <c r="P284" s="46">
        <f t="shared" si="2"/>
        <v>1770191580</v>
      </c>
      <c r="Q284" s="47"/>
      <c r="R284" s="48"/>
      <c r="S284" s="46"/>
      <c r="T284" s="49" t="s">
        <v>2140</v>
      </c>
      <c r="U284" s="49" t="s">
        <v>2141</v>
      </c>
      <c r="V284" s="49" t="s">
        <v>2142</v>
      </c>
      <c r="W284" s="46"/>
      <c r="X284" s="49" t="s">
        <v>132</v>
      </c>
      <c r="Y284" s="50" t="s">
        <v>133</v>
      </c>
      <c r="Z284" s="50" t="s">
        <v>134</v>
      </c>
      <c r="AA284" s="46"/>
      <c r="AB284" s="26"/>
      <c r="AC284" s="51" t="s">
        <v>135</v>
      </c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</row>
    <row r="285">
      <c r="A285" s="35">
        <v>46058.0</v>
      </c>
      <c r="B285" s="36" t="s">
        <v>2143</v>
      </c>
      <c r="C285" s="37" t="s">
        <v>2144</v>
      </c>
      <c r="D285" s="37" t="s">
        <v>2145</v>
      </c>
      <c r="E285" s="54">
        <v>4795484511</v>
      </c>
      <c r="F285" s="39" t="s">
        <v>2146</v>
      </c>
      <c r="G285" s="37" t="str">
        <f>IF(NOT(ISERROR(MATCH(D285,'Tannbleking - Oppsalg US'!D:D, 0))), "Ja", "")</f>
        <v/>
      </c>
      <c r="H285" s="37" t="s">
        <v>50</v>
      </c>
      <c r="I285" s="37" t="s">
        <v>44</v>
      </c>
      <c r="J285" s="40"/>
      <c r="K285" s="41"/>
      <c r="L285" s="42" t="s">
        <v>128</v>
      </c>
      <c r="M285" s="43" t="s">
        <v>2147</v>
      </c>
      <c r="N285" s="44">
        <v>6.891296561337E12</v>
      </c>
      <c r="O285" s="53" t="str">
        <f t="shared" si="1"/>
        <v>05/02/2026</v>
      </c>
      <c r="P285" s="46">
        <f t="shared" si="2"/>
        <v>1770280860</v>
      </c>
      <c r="Q285" s="47"/>
      <c r="R285" s="48"/>
      <c r="S285" s="46"/>
      <c r="T285" s="49" t="s">
        <v>2148</v>
      </c>
      <c r="U285" s="49" t="s">
        <v>2149</v>
      </c>
      <c r="V285" s="49" t="s">
        <v>2150</v>
      </c>
      <c r="W285" s="46"/>
      <c r="X285" s="49" t="s">
        <v>132</v>
      </c>
      <c r="Y285" s="50" t="s">
        <v>133</v>
      </c>
      <c r="Z285" s="50" t="s">
        <v>134</v>
      </c>
      <c r="AA285" s="46"/>
      <c r="AB285" s="26"/>
      <c r="AC285" s="51" t="s">
        <v>135</v>
      </c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</row>
    <row r="286">
      <c r="A286" s="35">
        <v>46058.0</v>
      </c>
      <c r="B286" s="36" t="s">
        <v>2151</v>
      </c>
      <c r="C286" s="37" t="s">
        <v>2152</v>
      </c>
      <c r="D286" s="37" t="s">
        <v>2153</v>
      </c>
      <c r="E286" s="54">
        <v>4791582786</v>
      </c>
      <c r="F286" s="39" t="s">
        <v>2154</v>
      </c>
      <c r="G286" s="37" t="str">
        <f>IF(NOT(ISERROR(MATCH(D286,'Tannbleking - Oppsalg US'!D:D, 0))), "Ja", "")</f>
        <v>Ja</v>
      </c>
      <c r="H286" s="37" t="s">
        <v>50</v>
      </c>
      <c r="I286" s="37" t="s">
        <v>44</v>
      </c>
      <c r="J286" s="40"/>
      <c r="K286" s="41"/>
      <c r="L286" s="42" t="s">
        <v>128</v>
      </c>
      <c r="M286" s="43" t="s">
        <v>2089</v>
      </c>
      <c r="N286" s="44">
        <v>6.891296561537E12</v>
      </c>
      <c r="O286" s="53" t="str">
        <f t="shared" si="1"/>
        <v>05/02/2026</v>
      </c>
      <c r="P286" s="46">
        <f t="shared" si="2"/>
        <v>1770282000</v>
      </c>
      <c r="Q286" s="47"/>
      <c r="R286" s="48"/>
      <c r="S286" s="46"/>
      <c r="T286" s="49" t="s">
        <v>2155</v>
      </c>
      <c r="U286" s="49" t="s">
        <v>2156</v>
      </c>
      <c r="V286" s="49" t="s">
        <v>2157</v>
      </c>
      <c r="W286" s="46"/>
      <c r="X286" s="49" t="s">
        <v>132</v>
      </c>
      <c r="Y286" s="50" t="s">
        <v>133</v>
      </c>
      <c r="Z286" s="50" t="s">
        <v>134</v>
      </c>
      <c r="AA286" s="46"/>
      <c r="AB286" s="26"/>
      <c r="AC286" s="51" t="s">
        <v>135</v>
      </c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</row>
    <row r="287">
      <c r="A287" s="35">
        <v>46058.0</v>
      </c>
      <c r="B287" s="36" t="s">
        <v>2158</v>
      </c>
      <c r="C287" s="37" t="s">
        <v>2159</v>
      </c>
      <c r="D287" s="37" t="s">
        <v>2160</v>
      </c>
      <c r="E287" s="54">
        <v>4745676759</v>
      </c>
      <c r="F287" s="39" t="s">
        <v>2161</v>
      </c>
      <c r="G287" s="37" t="str">
        <f>IF(NOT(ISERROR(MATCH(D287,'Tannbleking - Oppsalg US'!D:D, 0))), "Ja", "")</f>
        <v/>
      </c>
      <c r="H287" s="37" t="s">
        <v>43</v>
      </c>
      <c r="I287" s="37" t="s">
        <v>140</v>
      </c>
      <c r="J287" s="40"/>
      <c r="K287" s="41"/>
      <c r="L287" s="42" t="s">
        <v>128</v>
      </c>
      <c r="M287" s="43" t="s">
        <v>2081</v>
      </c>
      <c r="N287" s="44">
        <v>6.891296559137E12</v>
      </c>
      <c r="O287" s="53" t="str">
        <f t="shared" si="1"/>
        <v>05/02/2026</v>
      </c>
      <c r="P287" s="46">
        <f t="shared" si="2"/>
        <v>1770295800</v>
      </c>
      <c r="Q287" s="47"/>
      <c r="R287" s="48"/>
      <c r="S287" s="46"/>
      <c r="T287" s="49" t="s">
        <v>2162</v>
      </c>
      <c r="U287" s="49" t="s">
        <v>2163</v>
      </c>
      <c r="V287" s="49" t="s">
        <v>2164</v>
      </c>
      <c r="W287" s="46"/>
      <c r="X287" s="49" t="s">
        <v>132</v>
      </c>
      <c r="Y287" s="50" t="s">
        <v>133</v>
      </c>
      <c r="Z287" s="50" t="s">
        <v>134</v>
      </c>
      <c r="AA287" s="46"/>
      <c r="AB287" s="26"/>
      <c r="AC287" s="51" t="s">
        <v>135</v>
      </c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</row>
    <row r="288">
      <c r="A288" s="35">
        <v>46059.0</v>
      </c>
      <c r="B288" s="36" t="s">
        <v>2165</v>
      </c>
      <c r="C288" s="37" t="s">
        <v>2166</v>
      </c>
      <c r="D288" s="37" t="s">
        <v>2167</v>
      </c>
      <c r="E288" s="54">
        <v>4747281615</v>
      </c>
      <c r="F288" s="39" t="s">
        <v>2168</v>
      </c>
      <c r="G288" s="37" t="str">
        <f>IF(NOT(ISERROR(MATCH(D288,'Tannbleking - Oppsalg US'!D:D, 0))), "Ja", "")</f>
        <v/>
      </c>
      <c r="H288" s="37" t="s">
        <v>50</v>
      </c>
      <c r="I288" s="37" t="s">
        <v>44</v>
      </c>
      <c r="J288" s="40"/>
      <c r="K288" s="41"/>
      <c r="L288" s="42" t="s">
        <v>128</v>
      </c>
      <c r="M288" s="43" t="s">
        <v>2089</v>
      </c>
      <c r="N288" s="44">
        <v>6.891296561537E12</v>
      </c>
      <c r="O288" s="53" t="str">
        <f t="shared" si="1"/>
        <v>06/02/2026</v>
      </c>
      <c r="P288" s="46">
        <f t="shared" si="2"/>
        <v>1770375660</v>
      </c>
      <c r="Q288" s="47"/>
      <c r="R288" s="48"/>
      <c r="S288" s="46"/>
      <c r="T288" s="49" t="s">
        <v>2169</v>
      </c>
      <c r="U288" s="49" t="s">
        <v>2170</v>
      </c>
      <c r="V288" s="49" t="s">
        <v>2171</v>
      </c>
      <c r="W288" s="46"/>
      <c r="X288" s="49" t="s">
        <v>132</v>
      </c>
      <c r="Y288" s="50" t="s">
        <v>133</v>
      </c>
      <c r="Z288" s="50" t="s">
        <v>134</v>
      </c>
      <c r="AA288" s="46"/>
      <c r="AB288" s="26"/>
      <c r="AC288" s="51" t="s">
        <v>135</v>
      </c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</row>
    <row r="289">
      <c r="A289" s="35">
        <v>46059.0</v>
      </c>
      <c r="B289" s="36" t="s">
        <v>2172</v>
      </c>
      <c r="C289" s="37" t="s">
        <v>2173</v>
      </c>
      <c r="D289" s="37" t="s">
        <v>2174</v>
      </c>
      <c r="E289" s="54">
        <v>4796726405</v>
      </c>
      <c r="F289" s="39" t="s">
        <v>2175</v>
      </c>
      <c r="G289" s="37" t="str">
        <f>IF(NOT(ISERROR(MATCH(D289,'Tannbleking - Oppsalg US'!D:D, 0))), "Ja", "")</f>
        <v/>
      </c>
      <c r="H289" s="37" t="s">
        <v>50</v>
      </c>
      <c r="I289" s="37" t="s">
        <v>44</v>
      </c>
      <c r="J289" s="40"/>
      <c r="K289" s="41"/>
      <c r="L289" s="42" t="s">
        <v>128</v>
      </c>
      <c r="M289" s="43" t="s">
        <v>2089</v>
      </c>
      <c r="N289" s="44">
        <v>6.891296561537E12</v>
      </c>
      <c r="O289" s="53" t="str">
        <f t="shared" si="1"/>
        <v>06/02/2026</v>
      </c>
      <c r="P289" s="46">
        <f t="shared" si="2"/>
        <v>1770379320</v>
      </c>
      <c r="Q289" s="47"/>
      <c r="R289" s="48"/>
      <c r="S289" s="46"/>
      <c r="T289" s="49" t="s">
        <v>2176</v>
      </c>
      <c r="U289" s="49" t="s">
        <v>2177</v>
      </c>
      <c r="V289" s="49" t="s">
        <v>2178</v>
      </c>
      <c r="W289" s="46"/>
      <c r="X289" s="49" t="s">
        <v>132</v>
      </c>
      <c r="Y289" s="50" t="s">
        <v>133</v>
      </c>
      <c r="Z289" s="50" t="s">
        <v>134</v>
      </c>
      <c r="AA289" s="46"/>
      <c r="AB289" s="26"/>
      <c r="AC289" s="51" t="s">
        <v>135</v>
      </c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</row>
    <row r="290">
      <c r="A290" s="35">
        <v>46059.0</v>
      </c>
      <c r="B290" s="36" t="s">
        <v>2179</v>
      </c>
      <c r="C290" s="37" t="s">
        <v>2180</v>
      </c>
      <c r="D290" s="37" t="s">
        <v>2181</v>
      </c>
      <c r="E290" s="54">
        <v>4796704969</v>
      </c>
      <c r="F290" s="39" t="s">
        <v>2182</v>
      </c>
      <c r="G290" s="37" t="str">
        <f>IF(NOT(ISERROR(MATCH(D290,'Tannbleking - Oppsalg US'!D:D, 0))), "Ja", "")</f>
        <v/>
      </c>
      <c r="H290" s="37" t="s">
        <v>50</v>
      </c>
      <c r="I290" s="37" t="s">
        <v>44</v>
      </c>
      <c r="J290" s="40"/>
      <c r="K290" s="41"/>
      <c r="L290" s="42" t="s">
        <v>128</v>
      </c>
      <c r="M290" s="43" t="s">
        <v>2147</v>
      </c>
      <c r="N290" s="44">
        <v>6.891296559337E12</v>
      </c>
      <c r="O290" s="53" t="str">
        <f t="shared" si="1"/>
        <v>06/02/2026</v>
      </c>
      <c r="P290" s="46">
        <f t="shared" si="2"/>
        <v>1770382800</v>
      </c>
      <c r="Q290" s="47"/>
      <c r="R290" s="48"/>
      <c r="S290" s="46"/>
      <c r="T290" s="49" t="s">
        <v>2183</v>
      </c>
      <c r="U290" s="49" t="s">
        <v>2184</v>
      </c>
      <c r="V290" s="49" t="s">
        <v>2185</v>
      </c>
      <c r="W290" s="46"/>
      <c r="X290" s="49" t="s">
        <v>132</v>
      </c>
      <c r="Y290" s="50" t="s">
        <v>133</v>
      </c>
      <c r="Z290" s="50" t="s">
        <v>134</v>
      </c>
      <c r="AA290" s="46"/>
      <c r="AB290" s="26"/>
      <c r="AC290" s="51" t="s">
        <v>135</v>
      </c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</row>
    <row r="291">
      <c r="A291" s="35">
        <v>46061.0</v>
      </c>
      <c r="B291" s="36" t="s">
        <v>2186</v>
      </c>
      <c r="C291" s="37" t="s">
        <v>2187</v>
      </c>
      <c r="D291" s="37" t="s">
        <v>2188</v>
      </c>
      <c r="E291" s="54">
        <v>4741598093</v>
      </c>
      <c r="F291" s="39" t="s">
        <v>2189</v>
      </c>
      <c r="G291" s="37" t="str">
        <f>IF(NOT(ISERROR(MATCH(D291,'Tannbleking - Oppsalg US'!D:D, 0))), "Ja", "")</f>
        <v/>
      </c>
      <c r="H291" s="37" t="s">
        <v>50</v>
      </c>
      <c r="I291" s="37" t="s">
        <v>44</v>
      </c>
      <c r="J291" s="40"/>
      <c r="K291" s="41"/>
      <c r="L291" s="42" t="s">
        <v>128</v>
      </c>
      <c r="M291" s="43" t="s">
        <v>2089</v>
      </c>
      <c r="N291" s="44">
        <v>6.891296561537E12</v>
      </c>
      <c r="O291" s="53" t="str">
        <f t="shared" si="1"/>
        <v>08/02/2026</v>
      </c>
      <c r="P291" s="46">
        <f t="shared" si="2"/>
        <v>1770581580</v>
      </c>
      <c r="Q291" s="47"/>
      <c r="R291" s="48"/>
      <c r="S291" s="46"/>
      <c r="T291" s="49" t="s">
        <v>2190</v>
      </c>
      <c r="U291" s="49" t="s">
        <v>2191</v>
      </c>
      <c r="V291" s="49" t="s">
        <v>2192</v>
      </c>
      <c r="W291" s="46"/>
      <c r="X291" s="49" t="s">
        <v>132</v>
      </c>
      <c r="Y291" s="50" t="s">
        <v>133</v>
      </c>
      <c r="Z291" s="50" t="s">
        <v>134</v>
      </c>
      <c r="AA291" s="46"/>
      <c r="AB291" s="26"/>
      <c r="AC291" s="51" t="s">
        <v>144</v>
      </c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</row>
    <row r="292">
      <c r="A292" s="35">
        <v>46061.0</v>
      </c>
      <c r="B292" s="36" t="s">
        <v>2193</v>
      </c>
      <c r="C292" s="37" t="s">
        <v>2194</v>
      </c>
      <c r="D292" s="37" t="s">
        <v>2195</v>
      </c>
      <c r="E292" s="54">
        <v>4747449272</v>
      </c>
      <c r="F292" s="39" t="s">
        <v>2196</v>
      </c>
      <c r="G292" s="37" t="str">
        <f>IF(NOT(ISERROR(MATCH(D292,'Tannbleking - Oppsalg US'!D:D, 0))), "Ja", "")</f>
        <v/>
      </c>
      <c r="H292" s="37" t="s">
        <v>50</v>
      </c>
      <c r="I292" s="37" t="s">
        <v>44</v>
      </c>
      <c r="J292" s="40"/>
      <c r="K292" s="41"/>
      <c r="L292" s="42" t="s">
        <v>128</v>
      </c>
      <c r="M292" s="43" t="s">
        <v>2197</v>
      </c>
      <c r="N292" s="44">
        <v>6.891296560137E12</v>
      </c>
      <c r="O292" s="53" t="str">
        <f t="shared" si="1"/>
        <v>08/02/2026</v>
      </c>
      <c r="P292" s="46">
        <f t="shared" si="2"/>
        <v>1770594480</v>
      </c>
      <c r="Q292" s="47"/>
      <c r="R292" s="48"/>
      <c r="S292" s="46"/>
      <c r="T292" s="49" t="s">
        <v>2198</v>
      </c>
      <c r="U292" s="49" t="s">
        <v>2199</v>
      </c>
      <c r="V292" s="49" t="s">
        <v>2200</v>
      </c>
      <c r="W292" s="46"/>
      <c r="X292" s="49" t="s">
        <v>132</v>
      </c>
      <c r="Y292" s="50" t="s">
        <v>133</v>
      </c>
      <c r="Z292" s="50" t="s">
        <v>134</v>
      </c>
      <c r="AA292" s="46"/>
      <c r="AB292" s="26"/>
      <c r="AC292" s="51" t="s">
        <v>135</v>
      </c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</row>
    <row r="293">
      <c r="A293" s="35">
        <v>46062.0</v>
      </c>
      <c r="B293" s="36" t="s">
        <v>2201</v>
      </c>
      <c r="C293" s="37" t="s">
        <v>2202</v>
      </c>
      <c r="D293" s="37" t="s">
        <v>2203</v>
      </c>
      <c r="E293" s="54">
        <v>4741378701</v>
      </c>
      <c r="F293" s="39" t="s">
        <v>2204</v>
      </c>
      <c r="G293" s="37" t="str">
        <f>IF(NOT(ISERROR(MATCH(D293,'Tannbleking - Oppsalg US'!D:D, 0))), "Ja", "")</f>
        <v/>
      </c>
      <c r="H293" s="37" t="s">
        <v>50</v>
      </c>
      <c r="I293" s="37" t="s">
        <v>44</v>
      </c>
      <c r="J293" s="40"/>
      <c r="K293" s="41"/>
      <c r="L293" s="42" t="s">
        <v>128</v>
      </c>
      <c r="M293" s="43" t="s">
        <v>2089</v>
      </c>
      <c r="N293" s="44">
        <v>6.891296561537E12</v>
      </c>
      <c r="O293" s="53" t="str">
        <f t="shared" si="1"/>
        <v>09/02/2026</v>
      </c>
      <c r="P293" s="46">
        <f t="shared" si="2"/>
        <v>1770619800</v>
      </c>
      <c r="Q293" s="47"/>
      <c r="R293" s="48"/>
      <c r="S293" s="46"/>
      <c r="T293" s="49" t="s">
        <v>2205</v>
      </c>
      <c r="U293" s="49" t="s">
        <v>2206</v>
      </c>
      <c r="V293" s="49" t="s">
        <v>2207</v>
      </c>
      <c r="W293" s="46"/>
      <c r="X293" s="49" t="s">
        <v>132</v>
      </c>
      <c r="Y293" s="50" t="s">
        <v>133</v>
      </c>
      <c r="Z293" s="50" t="s">
        <v>134</v>
      </c>
      <c r="AA293" s="46"/>
      <c r="AB293" s="26"/>
      <c r="AC293" s="51" t="s">
        <v>1686</v>
      </c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</row>
    <row r="294">
      <c r="A294" s="35">
        <v>46062.0</v>
      </c>
      <c r="B294" s="36" t="s">
        <v>2208</v>
      </c>
      <c r="C294" s="37" t="s">
        <v>2209</v>
      </c>
      <c r="D294" s="37" t="s">
        <v>2210</v>
      </c>
      <c r="E294" s="54">
        <v>4747277056</v>
      </c>
      <c r="F294" s="39" t="s">
        <v>2211</v>
      </c>
      <c r="G294" s="37" t="str">
        <f>IF(NOT(ISERROR(MATCH(D294,'Tannbleking - Oppsalg US'!D:D, 0))), "Ja", "")</f>
        <v/>
      </c>
      <c r="H294" s="37" t="s">
        <v>50</v>
      </c>
      <c r="I294" s="37" t="s">
        <v>44</v>
      </c>
      <c r="J294" s="40"/>
      <c r="K294" s="41"/>
      <c r="L294" s="42" t="s">
        <v>128</v>
      </c>
      <c r="M294" s="43" t="s">
        <v>2197</v>
      </c>
      <c r="N294" s="44">
        <v>6.891296560137E12</v>
      </c>
      <c r="O294" s="53" t="str">
        <f t="shared" si="1"/>
        <v>09/02/2026</v>
      </c>
      <c r="P294" s="46">
        <f t="shared" si="2"/>
        <v>1770642300</v>
      </c>
      <c r="Q294" s="47"/>
      <c r="R294" s="48"/>
      <c r="S294" s="46"/>
      <c r="T294" s="49" t="s">
        <v>2212</v>
      </c>
      <c r="U294" s="49" t="s">
        <v>2213</v>
      </c>
      <c r="V294" s="49" t="s">
        <v>2214</v>
      </c>
      <c r="W294" s="46"/>
      <c r="X294" s="49" t="s">
        <v>132</v>
      </c>
      <c r="Y294" s="50" t="s">
        <v>133</v>
      </c>
      <c r="Z294" s="50" t="s">
        <v>134</v>
      </c>
      <c r="AA294" s="46"/>
      <c r="AB294" s="26"/>
      <c r="AC294" s="51" t="s">
        <v>135</v>
      </c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</row>
    <row r="295">
      <c r="A295" s="35">
        <v>46062.0</v>
      </c>
      <c r="B295" s="36" t="s">
        <v>522</v>
      </c>
      <c r="C295" s="37" t="s">
        <v>2215</v>
      </c>
      <c r="D295" s="37" t="s">
        <v>2216</v>
      </c>
      <c r="E295" s="54">
        <v>4795401807</v>
      </c>
      <c r="F295" s="39" t="s">
        <v>2217</v>
      </c>
      <c r="G295" s="37" t="str">
        <f>IF(NOT(ISERROR(MATCH(D295,'Tannbleking - Oppsalg US'!D:D, 0))), "Ja", "")</f>
        <v/>
      </c>
      <c r="H295" s="37" t="s">
        <v>676</v>
      </c>
      <c r="I295" s="37" t="s">
        <v>44</v>
      </c>
      <c r="J295" s="40" t="s">
        <v>2218</v>
      </c>
      <c r="K295" s="41"/>
      <c r="L295" s="42" t="s">
        <v>128</v>
      </c>
      <c r="M295" s="43" t="s">
        <v>2197</v>
      </c>
      <c r="N295" s="44">
        <v>6.891296560137E12</v>
      </c>
      <c r="O295" s="53" t="str">
        <f t="shared" si="1"/>
        <v>09/02/2026</v>
      </c>
      <c r="P295" s="46">
        <f t="shared" si="2"/>
        <v>1770651420</v>
      </c>
      <c r="Q295" s="47"/>
      <c r="R295" s="48"/>
      <c r="S295" s="46"/>
      <c r="T295" s="49" t="s">
        <v>2219</v>
      </c>
      <c r="U295" s="49" t="s">
        <v>2220</v>
      </c>
      <c r="V295" s="49" t="s">
        <v>2221</v>
      </c>
      <c r="W295" s="46"/>
      <c r="X295" s="49" t="s">
        <v>132</v>
      </c>
      <c r="Y295" s="50" t="s">
        <v>133</v>
      </c>
      <c r="Z295" s="50" t="s">
        <v>134</v>
      </c>
      <c r="AA295" s="46"/>
      <c r="AB295" s="26"/>
      <c r="AC295" s="51" t="s">
        <v>135</v>
      </c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</row>
    <row r="296">
      <c r="A296" s="35">
        <v>46062.0</v>
      </c>
      <c r="B296" s="36" t="s">
        <v>2222</v>
      </c>
      <c r="C296" s="37" t="s">
        <v>2223</v>
      </c>
      <c r="D296" s="37" t="s">
        <v>2224</v>
      </c>
      <c r="E296" s="54">
        <v>4790155068</v>
      </c>
      <c r="F296" s="39" t="s">
        <v>2225</v>
      </c>
      <c r="G296" s="37" t="str">
        <f>IF(NOT(ISERROR(MATCH(D296,'Tannbleking - Oppsalg US'!D:D, 0))), "Ja", "")</f>
        <v/>
      </c>
      <c r="H296" s="37" t="s">
        <v>50</v>
      </c>
      <c r="I296" s="37" t="s">
        <v>44</v>
      </c>
      <c r="J296" s="40"/>
      <c r="K296" s="41"/>
      <c r="L296" s="42" t="s">
        <v>128</v>
      </c>
      <c r="M296" s="43" t="s">
        <v>2197</v>
      </c>
      <c r="N296" s="44">
        <v>6.891296560137E12</v>
      </c>
      <c r="O296" s="53" t="str">
        <f t="shared" si="1"/>
        <v>09/02/2026</v>
      </c>
      <c r="P296" s="46">
        <f t="shared" si="2"/>
        <v>1770652560</v>
      </c>
      <c r="Q296" s="47"/>
      <c r="R296" s="48"/>
      <c r="S296" s="46"/>
      <c r="T296" s="49" t="s">
        <v>2226</v>
      </c>
      <c r="U296" s="49" t="s">
        <v>2227</v>
      </c>
      <c r="V296" s="49" t="s">
        <v>2228</v>
      </c>
      <c r="W296" s="46"/>
      <c r="X296" s="49" t="s">
        <v>132</v>
      </c>
      <c r="Y296" s="50" t="s">
        <v>133</v>
      </c>
      <c r="Z296" s="50" t="s">
        <v>134</v>
      </c>
      <c r="AA296" s="46"/>
      <c r="AB296" s="26"/>
      <c r="AC296" s="51" t="s">
        <v>135</v>
      </c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</row>
    <row r="297">
      <c r="A297" s="35">
        <v>46062.0</v>
      </c>
      <c r="B297" s="36" t="s">
        <v>2229</v>
      </c>
      <c r="C297" s="37" t="s">
        <v>2230</v>
      </c>
      <c r="D297" s="37" t="s">
        <v>2231</v>
      </c>
      <c r="E297" s="54">
        <v>4741202755</v>
      </c>
      <c r="F297" s="39" t="s">
        <v>2232</v>
      </c>
      <c r="G297" s="37" t="str">
        <f>IF(NOT(ISERROR(MATCH(D297,'Tannbleking - Oppsalg US'!D:D, 0))), "Ja", "")</f>
        <v/>
      </c>
      <c r="H297" s="37" t="s">
        <v>50</v>
      </c>
      <c r="I297" s="37" t="s">
        <v>107</v>
      </c>
      <c r="J297" s="40"/>
      <c r="K297" s="41"/>
      <c r="L297" s="42" t="s">
        <v>128</v>
      </c>
      <c r="M297" s="43" t="s">
        <v>2089</v>
      </c>
      <c r="N297" s="44">
        <v>6.891296561537E12</v>
      </c>
      <c r="O297" s="53" t="str">
        <f t="shared" si="1"/>
        <v>09/02/2026</v>
      </c>
      <c r="P297" s="46">
        <f t="shared" si="2"/>
        <v>1770658200</v>
      </c>
      <c r="Q297" s="47"/>
      <c r="R297" s="48"/>
      <c r="S297" s="46"/>
      <c r="T297" s="49" t="s">
        <v>2233</v>
      </c>
      <c r="U297" s="49" t="s">
        <v>2234</v>
      </c>
      <c r="V297" s="49" t="s">
        <v>2235</v>
      </c>
      <c r="W297" s="46"/>
      <c r="X297" s="49" t="s">
        <v>132</v>
      </c>
      <c r="Y297" s="50" t="s">
        <v>133</v>
      </c>
      <c r="Z297" s="50" t="s">
        <v>134</v>
      </c>
      <c r="AA297" s="46"/>
      <c r="AB297" s="26"/>
      <c r="AC297" s="51" t="s">
        <v>144</v>
      </c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</row>
    <row r="298">
      <c r="A298" s="35">
        <v>46063.0</v>
      </c>
      <c r="B298" s="36" t="s">
        <v>2236</v>
      </c>
      <c r="C298" s="37" t="s">
        <v>2237</v>
      </c>
      <c r="D298" s="37" t="s">
        <v>2238</v>
      </c>
      <c r="E298" s="54">
        <v>4798892576</v>
      </c>
      <c r="F298" s="39" t="s">
        <v>2239</v>
      </c>
      <c r="G298" s="37" t="str">
        <f>IF(NOT(ISERROR(MATCH(D298,'Tannbleking - Oppsalg US'!D:D, 0))), "Ja", "")</f>
        <v>Ja</v>
      </c>
      <c r="H298" s="37" t="s">
        <v>50</v>
      </c>
      <c r="I298" s="37" t="s">
        <v>140</v>
      </c>
      <c r="J298" s="40"/>
      <c r="K298" s="41"/>
      <c r="L298" s="42" t="s">
        <v>128</v>
      </c>
      <c r="M298" s="43" t="s">
        <v>2240</v>
      </c>
      <c r="N298" s="44">
        <v>6.891296558937E12</v>
      </c>
      <c r="O298" s="53" t="str">
        <f t="shared" si="1"/>
        <v>10/02/2026</v>
      </c>
      <c r="P298" s="46">
        <f t="shared" si="2"/>
        <v>1770712740</v>
      </c>
      <c r="Q298" s="47"/>
      <c r="R298" s="48"/>
      <c r="S298" s="46"/>
      <c r="T298" s="49" t="s">
        <v>2241</v>
      </c>
      <c r="U298" s="49" t="s">
        <v>2242</v>
      </c>
      <c r="V298" s="49" t="s">
        <v>2243</v>
      </c>
      <c r="W298" s="46"/>
      <c r="X298" s="49" t="s">
        <v>132</v>
      </c>
      <c r="Y298" s="50" t="s">
        <v>133</v>
      </c>
      <c r="Z298" s="50" t="s">
        <v>134</v>
      </c>
      <c r="AA298" s="46"/>
      <c r="AB298" s="26"/>
      <c r="AC298" s="51" t="s">
        <v>135</v>
      </c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</row>
    <row r="299">
      <c r="A299" s="35">
        <v>46063.0</v>
      </c>
      <c r="B299" s="36" t="s">
        <v>2244</v>
      </c>
      <c r="C299" s="37" t="s">
        <v>2245</v>
      </c>
      <c r="D299" s="37" t="s">
        <v>2246</v>
      </c>
      <c r="E299" s="54">
        <v>4745549799</v>
      </c>
      <c r="F299" s="39" t="s">
        <v>2247</v>
      </c>
      <c r="G299" s="37" t="str">
        <f>IF(NOT(ISERROR(MATCH(D299,'Tannbleking - Oppsalg US'!D:D, 0))), "Ja", "")</f>
        <v/>
      </c>
      <c r="H299" s="37" t="s">
        <v>50</v>
      </c>
      <c r="I299" s="37" t="s">
        <v>107</v>
      </c>
      <c r="J299" s="40"/>
      <c r="K299" s="41"/>
      <c r="L299" s="42" t="s">
        <v>128</v>
      </c>
      <c r="M299" s="43" t="s">
        <v>2089</v>
      </c>
      <c r="N299" s="44">
        <v>6.891296561537E12</v>
      </c>
      <c r="O299" s="53" t="str">
        <f t="shared" si="1"/>
        <v>10/02/2026</v>
      </c>
      <c r="P299" s="46">
        <f t="shared" si="2"/>
        <v>1770722520</v>
      </c>
      <c r="Q299" s="47"/>
      <c r="R299" s="48"/>
      <c r="S299" s="46"/>
      <c r="T299" s="49" t="s">
        <v>2248</v>
      </c>
      <c r="U299" s="49" t="s">
        <v>2249</v>
      </c>
      <c r="V299" s="49" t="s">
        <v>2250</v>
      </c>
      <c r="W299" s="46"/>
      <c r="X299" s="49" t="s">
        <v>132</v>
      </c>
      <c r="Y299" s="50" t="s">
        <v>133</v>
      </c>
      <c r="Z299" s="50" t="s">
        <v>134</v>
      </c>
      <c r="AA299" s="46"/>
      <c r="AB299" s="26"/>
      <c r="AC299" s="51" t="s">
        <v>144</v>
      </c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>
      <c r="A300" s="35">
        <v>46064.0</v>
      </c>
      <c r="B300" s="36" t="s">
        <v>2251</v>
      </c>
      <c r="C300" s="37" t="s">
        <v>2252</v>
      </c>
      <c r="D300" s="37" t="s">
        <v>2253</v>
      </c>
      <c r="E300" s="54">
        <v>4745925154</v>
      </c>
      <c r="F300" s="39" t="s">
        <v>2254</v>
      </c>
      <c r="G300" s="37" t="str">
        <f>IF(NOT(ISERROR(MATCH(D300,'Tannbleking - Oppsalg US'!D:D, 0))), "Ja", "")</f>
        <v/>
      </c>
      <c r="H300" s="37" t="s">
        <v>43</v>
      </c>
      <c r="I300" s="37" t="s">
        <v>72</v>
      </c>
      <c r="J300" s="40"/>
      <c r="K300" s="41"/>
      <c r="L300" s="42" t="s">
        <v>128</v>
      </c>
      <c r="M300" s="43" t="s">
        <v>2089</v>
      </c>
      <c r="N300" s="44">
        <v>6.891296561537E12</v>
      </c>
      <c r="O300" s="53" t="str">
        <f t="shared" si="1"/>
        <v>11/02/2026</v>
      </c>
      <c r="P300" s="46">
        <f t="shared" si="2"/>
        <v>1770792060</v>
      </c>
      <c r="Q300" s="47"/>
      <c r="R300" s="48"/>
      <c r="S300" s="46"/>
      <c r="T300" s="49" t="s">
        <v>2255</v>
      </c>
      <c r="U300" s="49" t="s">
        <v>2256</v>
      </c>
      <c r="V300" s="49" t="s">
        <v>2257</v>
      </c>
      <c r="W300" s="46"/>
      <c r="X300" s="49" t="s">
        <v>132</v>
      </c>
      <c r="Y300" s="50" t="s">
        <v>133</v>
      </c>
      <c r="Z300" s="50" t="s">
        <v>134</v>
      </c>
      <c r="AA300" s="46"/>
      <c r="AB300" s="26"/>
      <c r="AC300" s="51" t="s">
        <v>135</v>
      </c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>
      <c r="A301" s="35">
        <v>46064.0</v>
      </c>
      <c r="B301" s="36" t="s">
        <v>2258</v>
      </c>
      <c r="C301" s="37" t="s">
        <v>2259</v>
      </c>
      <c r="D301" s="37" t="s">
        <v>2260</v>
      </c>
      <c r="E301" s="54">
        <v>4791833501</v>
      </c>
      <c r="F301" s="39" t="s">
        <v>2261</v>
      </c>
      <c r="G301" s="37" t="str">
        <f>IF(NOT(ISERROR(MATCH(D301,'Tannbleking - Oppsalg US'!D:D, 0))), "Ja", "")</f>
        <v/>
      </c>
      <c r="H301" s="37" t="s">
        <v>50</v>
      </c>
      <c r="I301" s="37" t="s">
        <v>107</v>
      </c>
      <c r="J301" s="40"/>
      <c r="K301" s="41"/>
      <c r="L301" s="42" t="s">
        <v>128</v>
      </c>
      <c r="M301" s="43" t="s">
        <v>2089</v>
      </c>
      <c r="N301" s="44">
        <v>6.891296561537E12</v>
      </c>
      <c r="O301" s="53" t="str">
        <f t="shared" si="1"/>
        <v>11/02/2026</v>
      </c>
      <c r="P301" s="46">
        <f t="shared" si="2"/>
        <v>1770800460</v>
      </c>
      <c r="Q301" s="47"/>
      <c r="R301" s="48"/>
      <c r="S301" s="46"/>
      <c r="T301" s="49" t="s">
        <v>2262</v>
      </c>
      <c r="U301" s="49" t="s">
        <v>2263</v>
      </c>
      <c r="V301" s="49" t="s">
        <v>2264</v>
      </c>
      <c r="W301" s="46"/>
      <c r="X301" s="49" t="s">
        <v>132</v>
      </c>
      <c r="Y301" s="50" t="s">
        <v>133</v>
      </c>
      <c r="Z301" s="50" t="s">
        <v>134</v>
      </c>
      <c r="AA301" s="46"/>
      <c r="AB301" s="26"/>
      <c r="AC301" s="51" t="s">
        <v>144</v>
      </c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</row>
    <row r="302">
      <c r="A302" s="35">
        <v>46064.0</v>
      </c>
      <c r="B302" s="36" t="s">
        <v>2265</v>
      </c>
      <c r="C302" s="37" t="s">
        <v>2266</v>
      </c>
      <c r="D302" s="37" t="s">
        <v>2267</v>
      </c>
      <c r="E302" s="54">
        <v>4798282804</v>
      </c>
      <c r="F302" s="39" t="s">
        <v>2268</v>
      </c>
      <c r="G302" s="37" t="str">
        <f>IF(NOT(ISERROR(MATCH(D302,'Tannbleking - Oppsalg US'!D:D, 0))), "Ja", "")</f>
        <v/>
      </c>
      <c r="H302" s="37" t="s">
        <v>50</v>
      </c>
      <c r="I302" s="37" t="s">
        <v>44</v>
      </c>
      <c r="J302" s="40"/>
      <c r="K302" s="41"/>
      <c r="L302" s="42" t="s">
        <v>128</v>
      </c>
      <c r="M302" s="43" t="s">
        <v>2089</v>
      </c>
      <c r="N302" s="44">
        <v>6.891296561537E12</v>
      </c>
      <c r="O302" s="53" t="str">
        <f t="shared" si="1"/>
        <v>11/02/2026</v>
      </c>
      <c r="P302" s="46">
        <f t="shared" si="2"/>
        <v>1770820920</v>
      </c>
      <c r="Q302" s="47"/>
      <c r="R302" s="48"/>
      <c r="S302" s="46"/>
      <c r="T302" s="49" t="s">
        <v>2269</v>
      </c>
      <c r="U302" s="49" t="s">
        <v>2270</v>
      </c>
      <c r="V302" s="49" t="s">
        <v>2271</v>
      </c>
      <c r="W302" s="46"/>
      <c r="X302" s="49" t="s">
        <v>132</v>
      </c>
      <c r="Y302" s="50" t="s">
        <v>133</v>
      </c>
      <c r="Z302" s="50" t="s">
        <v>134</v>
      </c>
      <c r="AA302" s="46"/>
      <c r="AB302" s="26"/>
      <c r="AC302" s="51" t="s">
        <v>144</v>
      </c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</row>
    <row r="303">
      <c r="A303" s="35">
        <v>46064.0</v>
      </c>
      <c r="B303" s="36" t="s">
        <v>2272</v>
      </c>
      <c r="C303" s="37" t="s">
        <v>2273</v>
      </c>
      <c r="D303" s="37" t="s">
        <v>2274</v>
      </c>
      <c r="E303" s="54">
        <v>4794079861</v>
      </c>
      <c r="F303" s="39" t="s">
        <v>2275</v>
      </c>
      <c r="G303" s="37" t="str">
        <f>IF(NOT(ISERROR(MATCH(D303,'Tannbleking - Oppsalg US'!D:D, 0))), "Ja", "")</f>
        <v/>
      </c>
      <c r="H303" s="37" t="s">
        <v>50</v>
      </c>
      <c r="I303" s="37" t="s">
        <v>107</v>
      </c>
      <c r="J303" s="40"/>
      <c r="K303" s="41"/>
      <c r="L303" s="42" t="s">
        <v>128</v>
      </c>
      <c r="M303" s="43" t="s">
        <v>2089</v>
      </c>
      <c r="N303" s="44">
        <v>6.891296561537E12</v>
      </c>
      <c r="O303" s="53" t="str">
        <f t="shared" si="1"/>
        <v>11/02/2026</v>
      </c>
      <c r="P303" s="46">
        <f t="shared" si="2"/>
        <v>1770840840</v>
      </c>
      <c r="Q303" s="47"/>
      <c r="R303" s="48"/>
      <c r="S303" s="46"/>
      <c r="T303" s="49" t="s">
        <v>2276</v>
      </c>
      <c r="U303" s="49" t="s">
        <v>2277</v>
      </c>
      <c r="V303" s="49" t="s">
        <v>2278</v>
      </c>
      <c r="W303" s="46"/>
      <c r="X303" s="49" t="s">
        <v>132</v>
      </c>
      <c r="Y303" s="50" t="s">
        <v>133</v>
      </c>
      <c r="Z303" s="50" t="s">
        <v>134</v>
      </c>
      <c r="AA303" s="46"/>
      <c r="AB303" s="26"/>
      <c r="AC303" s="51" t="s">
        <v>144</v>
      </c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</row>
    <row r="304">
      <c r="A304" s="35">
        <v>46064.0</v>
      </c>
      <c r="B304" s="36" t="s">
        <v>1306</v>
      </c>
      <c r="C304" s="37" t="s">
        <v>2279</v>
      </c>
      <c r="D304" s="37" t="s">
        <v>2280</v>
      </c>
      <c r="E304" s="54">
        <v>4793662772</v>
      </c>
      <c r="F304" s="39" t="s">
        <v>1738</v>
      </c>
      <c r="G304" s="37" t="str">
        <f>IF(NOT(ISERROR(MATCH(D304,'Tannbleking - Oppsalg US'!D:D, 0))), "Ja", "")</f>
        <v/>
      </c>
      <c r="H304" s="37" t="s">
        <v>50</v>
      </c>
      <c r="I304" s="37" t="s">
        <v>107</v>
      </c>
      <c r="J304" s="40" t="s">
        <v>2281</v>
      </c>
      <c r="K304" s="41"/>
      <c r="L304" s="42" t="s">
        <v>128</v>
      </c>
      <c r="M304" s="43" t="s">
        <v>2089</v>
      </c>
      <c r="N304" s="44">
        <v>6.891296561537E12</v>
      </c>
      <c r="O304" s="53" t="str">
        <f t="shared" si="1"/>
        <v>11/02/2026</v>
      </c>
      <c r="P304" s="46">
        <f t="shared" si="2"/>
        <v>1770850860</v>
      </c>
      <c r="Q304" s="47"/>
      <c r="R304" s="48"/>
      <c r="S304" s="46"/>
      <c r="T304" s="49" t="s">
        <v>2282</v>
      </c>
      <c r="U304" s="49" t="s">
        <v>2283</v>
      </c>
      <c r="V304" s="49" t="s">
        <v>2284</v>
      </c>
      <c r="W304" s="46"/>
      <c r="X304" s="49" t="s">
        <v>132</v>
      </c>
      <c r="Y304" s="50" t="s">
        <v>133</v>
      </c>
      <c r="Z304" s="50" t="s">
        <v>134</v>
      </c>
      <c r="AA304" s="46"/>
      <c r="AB304" s="26"/>
      <c r="AC304" s="51" t="s">
        <v>1686</v>
      </c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</row>
    <row r="305">
      <c r="A305" s="35">
        <v>46064.0</v>
      </c>
      <c r="B305" s="36" t="s">
        <v>2285</v>
      </c>
      <c r="C305" s="37" t="s">
        <v>2252</v>
      </c>
      <c r="D305" s="37" t="s">
        <v>2253</v>
      </c>
      <c r="E305" s="54">
        <v>4745925154</v>
      </c>
      <c r="F305" s="39" t="s">
        <v>996</v>
      </c>
      <c r="G305" s="37" t="str">
        <f>IF(NOT(ISERROR(MATCH(D305,'Tannbleking - Oppsalg US'!D:D, 0))), "Ja", "")</f>
        <v/>
      </c>
      <c r="H305" s="37" t="s">
        <v>676</v>
      </c>
      <c r="I305" s="37" t="s">
        <v>44</v>
      </c>
      <c r="J305" s="40" t="s">
        <v>2286</v>
      </c>
      <c r="K305" s="41"/>
      <c r="L305" s="42" t="s">
        <v>128</v>
      </c>
      <c r="M305" s="43" t="s">
        <v>2089</v>
      </c>
      <c r="N305" s="44">
        <v>6.891296561537E12</v>
      </c>
      <c r="O305" s="53" t="str">
        <f t="shared" si="1"/>
        <v>11/02/2026</v>
      </c>
      <c r="P305" s="46">
        <f t="shared" si="2"/>
        <v>1770851760</v>
      </c>
      <c r="Q305" s="47"/>
      <c r="R305" s="48"/>
      <c r="S305" s="46"/>
      <c r="T305" s="49" t="s">
        <v>2255</v>
      </c>
      <c r="U305" s="49" t="s">
        <v>2256</v>
      </c>
      <c r="V305" s="49" t="s">
        <v>2287</v>
      </c>
      <c r="W305" s="46"/>
      <c r="X305" s="49" t="s">
        <v>132</v>
      </c>
      <c r="Y305" s="50" t="s">
        <v>133</v>
      </c>
      <c r="Z305" s="50" t="s">
        <v>134</v>
      </c>
      <c r="AA305" s="46"/>
      <c r="AB305" s="26"/>
      <c r="AC305" s="51" t="s">
        <v>1126</v>
      </c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</row>
    <row r="306">
      <c r="A306" s="35">
        <v>46065.0</v>
      </c>
      <c r="B306" s="36" t="s">
        <v>2288</v>
      </c>
      <c r="C306" s="37" t="s">
        <v>2289</v>
      </c>
      <c r="D306" s="37" t="s">
        <v>2290</v>
      </c>
      <c r="E306" s="54">
        <v>4741333531</v>
      </c>
      <c r="F306" s="39" t="s">
        <v>2291</v>
      </c>
      <c r="G306" s="37" t="str">
        <f>IF(NOT(ISERROR(MATCH(D306,'Tannbleking - Oppsalg US'!D:D, 0))), "Ja", "")</f>
        <v/>
      </c>
      <c r="H306" s="37" t="s">
        <v>50</v>
      </c>
      <c r="I306" s="37" t="s">
        <v>44</v>
      </c>
      <c r="J306" s="40"/>
      <c r="K306" s="41"/>
      <c r="L306" s="42" t="s">
        <v>128</v>
      </c>
      <c r="M306" s="43" t="s">
        <v>2089</v>
      </c>
      <c r="N306" s="44">
        <v>6.891296561537E12</v>
      </c>
      <c r="O306" s="53" t="str">
        <f t="shared" si="1"/>
        <v>12/02/2026</v>
      </c>
      <c r="P306" s="46">
        <f t="shared" si="2"/>
        <v>1770909300</v>
      </c>
      <c r="Q306" s="47"/>
      <c r="R306" s="48"/>
      <c r="S306" s="46"/>
      <c r="T306" s="49" t="s">
        <v>2292</v>
      </c>
      <c r="U306" s="49" t="s">
        <v>2293</v>
      </c>
      <c r="V306" s="49" t="s">
        <v>2294</v>
      </c>
      <c r="W306" s="46"/>
      <c r="X306" s="49" t="s">
        <v>132</v>
      </c>
      <c r="Y306" s="50" t="s">
        <v>133</v>
      </c>
      <c r="Z306" s="50" t="s">
        <v>134</v>
      </c>
      <c r="AA306" s="46"/>
      <c r="AB306" s="26"/>
      <c r="AC306" s="51" t="s">
        <v>144</v>
      </c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</row>
    <row r="307">
      <c r="A307" s="35">
        <v>46066.0</v>
      </c>
      <c r="B307" s="36" t="s">
        <v>2295</v>
      </c>
      <c r="C307" s="37" t="s">
        <v>2296</v>
      </c>
      <c r="D307" s="37" t="s">
        <v>2297</v>
      </c>
      <c r="E307" s="54">
        <v>4740610528</v>
      </c>
      <c r="F307" s="39" t="s">
        <v>2298</v>
      </c>
      <c r="G307" s="37" t="str">
        <f>IF(NOT(ISERROR(MATCH(D307,'Tannbleking - Oppsalg US'!D:D, 0))), "Ja", "")</f>
        <v/>
      </c>
      <c r="H307" s="37" t="s">
        <v>50</v>
      </c>
      <c r="I307" s="37" t="s">
        <v>107</v>
      </c>
      <c r="J307" s="40"/>
      <c r="K307" s="41"/>
      <c r="L307" s="42" t="s">
        <v>128</v>
      </c>
      <c r="M307" s="43" t="s">
        <v>2089</v>
      </c>
      <c r="N307" s="44">
        <v>6.891296561537E12</v>
      </c>
      <c r="O307" s="53" t="str">
        <f t="shared" si="1"/>
        <v>13/02/2026</v>
      </c>
      <c r="P307" s="46">
        <f t="shared" si="2"/>
        <v>1770947460</v>
      </c>
      <c r="Q307" s="47"/>
      <c r="R307" s="48"/>
      <c r="S307" s="46"/>
      <c r="T307" s="49" t="s">
        <v>2299</v>
      </c>
      <c r="U307" s="49" t="s">
        <v>2300</v>
      </c>
      <c r="V307" s="49" t="s">
        <v>2301</v>
      </c>
      <c r="W307" s="46"/>
      <c r="X307" s="49" t="s">
        <v>132</v>
      </c>
      <c r="Y307" s="50" t="s">
        <v>133</v>
      </c>
      <c r="Z307" s="50" t="s">
        <v>134</v>
      </c>
      <c r="AA307" s="46"/>
      <c r="AB307" s="26"/>
      <c r="AC307" s="51" t="s">
        <v>280</v>
      </c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</row>
    <row r="308">
      <c r="A308" s="35">
        <v>46066.0</v>
      </c>
      <c r="B308" s="36" t="s">
        <v>1429</v>
      </c>
      <c r="C308" s="37" t="s">
        <v>2302</v>
      </c>
      <c r="D308" s="37" t="s">
        <v>2303</v>
      </c>
      <c r="E308" s="54">
        <v>4745846598</v>
      </c>
      <c r="F308" s="39" t="s">
        <v>2304</v>
      </c>
      <c r="G308" s="37" t="str">
        <f>IF(NOT(ISERROR(MATCH(D308,'Tannbleking - Oppsalg US'!D:D, 0))), "Ja", "")</f>
        <v/>
      </c>
      <c r="H308" s="37" t="s">
        <v>50</v>
      </c>
      <c r="I308" s="37" t="s">
        <v>44</v>
      </c>
      <c r="J308" s="40"/>
      <c r="K308" s="41"/>
      <c r="L308" s="42" t="s">
        <v>128</v>
      </c>
      <c r="M308" s="43" t="s">
        <v>2240</v>
      </c>
      <c r="N308" s="44">
        <v>6.891296558937E12</v>
      </c>
      <c r="O308" s="53" t="str">
        <f t="shared" si="1"/>
        <v>13/02/2026</v>
      </c>
      <c r="P308" s="46">
        <f t="shared" si="2"/>
        <v>1771002300</v>
      </c>
      <c r="Q308" s="47"/>
      <c r="R308" s="48"/>
      <c r="S308" s="46"/>
      <c r="T308" s="49" t="s">
        <v>2305</v>
      </c>
      <c r="U308" s="49" t="s">
        <v>2306</v>
      </c>
      <c r="V308" s="49" t="s">
        <v>2307</v>
      </c>
      <c r="W308" s="46"/>
      <c r="X308" s="49" t="s">
        <v>132</v>
      </c>
      <c r="Y308" s="50" t="s">
        <v>133</v>
      </c>
      <c r="Z308" s="50" t="s">
        <v>134</v>
      </c>
      <c r="AA308" s="46"/>
      <c r="AB308" s="26"/>
      <c r="AC308" s="51" t="s">
        <v>135</v>
      </c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</row>
    <row r="309">
      <c r="A309" s="35">
        <v>46066.0</v>
      </c>
      <c r="B309" s="36" t="s">
        <v>2308</v>
      </c>
      <c r="C309" s="37" t="s">
        <v>2309</v>
      </c>
      <c r="D309" s="37" t="s">
        <v>2310</v>
      </c>
      <c r="E309" s="54">
        <v>4746368173</v>
      </c>
      <c r="F309" s="39" t="s">
        <v>2311</v>
      </c>
      <c r="G309" s="37" t="str">
        <f>IF(NOT(ISERROR(MATCH(D309,'Tannbleking - Oppsalg US'!D:D, 0))), "Ja", "")</f>
        <v/>
      </c>
      <c r="H309" s="37" t="s">
        <v>50</v>
      </c>
      <c r="I309" s="37" t="s">
        <v>107</v>
      </c>
      <c r="J309" s="40"/>
      <c r="K309" s="41"/>
      <c r="L309" s="42" t="s">
        <v>128</v>
      </c>
      <c r="M309" s="43" t="s">
        <v>2197</v>
      </c>
      <c r="N309" s="44">
        <v>6.891296560137E12</v>
      </c>
      <c r="O309" s="53" t="str">
        <f t="shared" si="1"/>
        <v>13/02/2026</v>
      </c>
      <c r="P309" s="46">
        <f t="shared" si="2"/>
        <v>1771016940</v>
      </c>
      <c r="Q309" s="47"/>
      <c r="R309" s="48"/>
      <c r="S309" s="46"/>
      <c r="T309" s="49" t="s">
        <v>2312</v>
      </c>
      <c r="U309" s="49" t="s">
        <v>2313</v>
      </c>
      <c r="V309" s="49" t="s">
        <v>2314</v>
      </c>
      <c r="W309" s="46"/>
      <c r="X309" s="49" t="s">
        <v>132</v>
      </c>
      <c r="Y309" s="50" t="s">
        <v>133</v>
      </c>
      <c r="Z309" s="50" t="s">
        <v>134</v>
      </c>
      <c r="AA309" s="46"/>
      <c r="AB309" s="26"/>
      <c r="AC309" s="51" t="s">
        <v>135</v>
      </c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</row>
    <row r="310">
      <c r="A310" s="35">
        <v>46066.0</v>
      </c>
      <c r="B310" s="36" t="s">
        <v>2315</v>
      </c>
      <c r="C310" s="37" t="s">
        <v>2316</v>
      </c>
      <c r="D310" s="37" t="s">
        <v>2317</v>
      </c>
      <c r="E310" s="54">
        <v>4791342095</v>
      </c>
      <c r="F310" s="39" t="s">
        <v>2318</v>
      </c>
      <c r="G310" s="37" t="str">
        <f>IF(NOT(ISERROR(MATCH(D310,'Tannbleking - Oppsalg US'!D:D, 0))), "Ja", "")</f>
        <v/>
      </c>
      <c r="H310" s="37" t="s">
        <v>43</v>
      </c>
      <c r="I310" s="37" t="s">
        <v>72</v>
      </c>
      <c r="J310" s="40" t="s">
        <v>2319</v>
      </c>
      <c r="K310" s="41"/>
      <c r="L310" s="42" t="s">
        <v>128</v>
      </c>
      <c r="M310" s="43" t="s">
        <v>2197</v>
      </c>
      <c r="N310" s="44">
        <v>6.891296560137E12</v>
      </c>
      <c r="O310" s="53" t="str">
        <f t="shared" si="1"/>
        <v>13/02/2026</v>
      </c>
      <c r="P310" s="46">
        <f t="shared" si="2"/>
        <v>1771018200</v>
      </c>
      <c r="Q310" s="47"/>
      <c r="R310" s="48"/>
      <c r="S310" s="46"/>
      <c r="T310" s="49" t="s">
        <v>2320</v>
      </c>
      <c r="U310" s="49" t="s">
        <v>2321</v>
      </c>
      <c r="V310" s="49" t="s">
        <v>2322</v>
      </c>
      <c r="W310" s="46"/>
      <c r="X310" s="49" t="s">
        <v>132</v>
      </c>
      <c r="Y310" s="50" t="s">
        <v>133</v>
      </c>
      <c r="Z310" s="50" t="s">
        <v>134</v>
      </c>
      <c r="AA310" s="46"/>
      <c r="AB310" s="26"/>
      <c r="AC310" s="51" t="s">
        <v>135</v>
      </c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</row>
    <row r="311">
      <c r="A311" s="35">
        <v>46067.0</v>
      </c>
      <c r="B311" s="36" t="s">
        <v>2323</v>
      </c>
      <c r="C311" s="37" t="s">
        <v>2324</v>
      </c>
      <c r="D311" s="37" t="s">
        <v>2325</v>
      </c>
      <c r="E311" s="54">
        <v>4793989234</v>
      </c>
      <c r="F311" s="39" t="s">
        <v>246</v>
      </c>
      <c r="G311" s="37" t="str">
        <f>IF(NOT(ISERROR(MATCH(D311,'Tannbleking - Oppsalg US'!D:D, 0))), "Ja", "")</f>
        <v/>
      </c>
      <c r="H311" s="37" t="s">
        <v>90</v>
      </c>
      <c r="I311" s="37" t="s">
        <v>44</v>
      </c>
      <c r="J311" s="40" t="s">
        <v>2326</v>
      </c>
      <c r="K311" s="41"/>
      <c r="L311" s="42" t="s">
        <v>128</v>
      </c>
      <c r="M311" s="43" t="s">
        <v>2327</v>
      </c>
      <c r="N311" s="44">
        <v>6.891296560937E12</v>
      </c>
      <c r="O311" s="53" t="str">
        <f t="shared" si="1"/>
        <v>14/02/2026</v>
      </c>
      <c r="P311" s="46">
        <f t="shared" si="2"/>
        <v>1771061940</v>
      </c>
      <c r="Q311" s="47"/>
      <c r="R311" s="48"/>
      <c r="S311" s="46"/>
      <c r="T311" s="49" t="s">
        <v>2328</v>
      </c>
      <c r="U311" s="49" t="s">
        <v>2329</v>
      </c>
      <c r="V311" s="49" t="s">
        <v>2330</v>
      </c>
      <c r="W311" s="46"/>
      <c r="X311" s="49" t="s">
        <v>132</v>
      </c>
      <c r="Y311" s="50" t="s">
        <v>133</v>
      </c>
      <c r="Z311" s="50" t="s">
        <v>134</v>
      </c>
      <c r="AA311" s="46"/>
      <c r="AB311" s="26"/>
      <c r="AC311" s="51" t="s">
        <v>135</v>
      </c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</row>
    <row r="312">
      <c r="A312" s="35">
        <v>46067.0</v>
      </c>
      <c r="B312" s="36" t="s">
        <v>2331</v>
      </c>
      <c r="C312" s="37" t="s">
        <v>2332</v>
      </c>
      <c r="D312" s="37" t="s">
        <v>2333</v>
      </c>
      <c r="E312" s="54">
        <v>4792212705</v>
      </c>
      <c r="F312" s="39" t="s">
        <v>2334</v>
      </c>
      <c r="G312" s="37" t="str">
        <f>IF(NOT(ISERROR(MATCH(D312,'Tannbleking - Oppsalg US'!D:D, 0))), "Ja", "")</f>
        <v/>
      </c>
      <c r="H312" s="37" t="s">
        <v>50</v>
      </c>
      <c r="I312" s="37" t="s">
        <v>44</v>
      </c>
      <c r="J312" s="40"/>
      <c r="K312" s="41"/>
      <c r="L312" s="42" t="s">
        <v>128</v>
      </c>
      <c r="M312" s="43" t="s">
        <v>2197</v>
      </c>
      <c r="N312" s="44">
        <v>6.891296560137E12</v>
      </c>
      <c r="O312" s="53" t="str">
        <f t="shared" si="1"/>
        <v>14/02/2026</v>
      </c>
      <c r="P312" s="46">
        <f t="shared" si="2"/>
        <v>1771063080</v>
      </c>
      <c r="Q312" s="47"/>
      <c r="R312" s="48"/>
      <c r="S312" s="46"/>
      <c r="T312" s="49" t="s">
        <v>2335</v>
      </c>
      <c r="U312" s="49" t="s">
        <v>2336</v>
      </c>
      <c r="V312" s="49" t="s">
        <v>2337</v>
      </c>
      <c r="W312" s="46"/>
      <c r="X312" s="49" t="s">
        <v>132</v>
      </c>
      <c r="Y312" s="50" t="s">
        <v>133</v>
      </c>
      <c r="Z312" s="50" t="s">
        <v>134</v>
      </c>
      <c r="AA312" s="46"/>
      <c r="AB312" s="26"/>
      <c r="AC312" s="51" t="s">
        <v>135</v>
      </c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</row>
    <row r="313">
      <c r="A313" s="35">
        <v>46067.0</v>
      </c>
      <c r="B313" s="36" t="s">
        <v>2338</v>
      </c>
      <c r="C313" s="37" t="s">
        <v>2339</v>
      </c>
      <c r="D313" s="37" t="s">
        <v>2340</v>
      </c>
      <c r="E313" s="54">
        <v>4792307589</v>
      </c>
      <c r="F313" s="39" t="s">
        <v>2341</v>
      </c>
      <c r="G313" s="37" t="str">
        <f>IF(NOT(ISERROR(MATCH(D313,'Tannbleking - Oppsalg US'!D:D, 0))), "Ja", "")</f>
        <v>Ja</v>
      </c>
      <c r="H313" s="37" t="s">
        <v>50</v>
      </c>
      <c r="I313" s="37" t="s">
        <v>44</v>
      </c>
      <c r="J313" s="40"/>
      <c r="K313" s="41"/>
      <c r="L313" s="42" t="s">
        <v>128</v>
      </c>
      <c r="M313" s="43" t="s">
        <v>2327</v>
      </c>
      <c r="N313" s="44">
        <v>6.891296560937E12</v>
      </c>
      <c r="O313" s="53" t="str">
        <f t="shared" si="1"/>
        <v>14/02/2026</v>
      </c>
      <c r="P313" s="46">
        <f t="shared" si="2"/>
        <v>1771064100</v>
      </c>
      <c r="Q313" s="47"/>
      <c r="R313" s="48"/>
      <c r="S313" s="46"/>
      <c r="T313" s="49" t="s">
        <v>2342</v>
      </c>
      <c r="U313" s="49" t="s">
        <v>2343</v>
      </c>
      <c r="V313" s="49" t="s">
        <v>2344</v>
      </c>
      <c r="W313" s="46"/>
      <c r="X313" s="49" t="s">
        <v>132</v>
      </c>
      <c r="Y313" s="50" t="s">
        <v>133</v>
      </c>
      <c r="Z313" s="50" t="s">
        <v>134</v>
      </c>
      <c r="AA313" s="46"/>
      <c r="AB313" s="26"/>
      <c r="AC313" s="51" t="s">
        <v>144</v>
      </c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</row>
    <row r="314">
      <c r="A314" s="35">
        <v>46067.0</v>
      </c>
      <c r="B314" s="36" t="s">
        <v>1044</v>
      </c>
      <c r="C314" s="37" t="s">
        <v>2345</v>
      </c>
      <c r="D314" s="37" t="s">
        <v>2346</v>
      </c>
      <c r="E314" s="54">
        <v>4740857363</v>
      </c>
      <c r="F314" s="39" t="s">
        <v>2347</v>
      </c>
      <c r="G314" s="37" t="str">
        <f>IF(NOT(ISERROR(MATCH(D314,'Tannbleking - Oppsalg US'!D:D, 0))), "Ja", "")</f>
        <v/>
      </c>
      <c r="H314" s="37" t="s">
        <v>50</v>
      </c>
      <c r="I314" s="37" t="s">
        <v>44</v>
      </c>
      <c r="J314" s="40"/>
      <c r="K314" s="41"/>
      <c r="L314" s="42" t="s">
        <v>128</v>
      </c>
      <c r="M314" s="43" t="s">
        <v>2197</v>
      </c>
      <c r="N314" s="44">
        <v>6.891296560137E12</v>
      </c>
      <c r="O314" s="53" t="str">
        <f t="shared" si="1"/>
        <v>14/02/2026</v>
      </c>
      <c r="P314" s="46">
        <f t="shared" si="2"/>
        <v>1771074420</v>
      </c>
      <c r="Q314" s="47"/>
      <c r="R314" s="48"/>
      <c r="S314" s="46"/>
      <c r="T314" s="49" t="s">
        <v>2348</v>
      </c>
      <c r="U314" s="49" t="s">
        <v>2349</v>
      </c>
      <c r="V314" s="49" t="s">
        <v>2350</v>
      </c>
      <c r="W314" s="46"/>
      <c r="X314" s="49" t="s">
        <v>132</v>
      </c>
      <c r="Y314" s="50" t="s">
        <v>133</v>
      </c>
      <c r="Z314" s="50" t="s">
        <v>134</v>
      </c>
      <c r="AA314" s="46"/>
      <c r="AB314" s="26"/>
      <c r="AC314" s="51" t="s">
        <v>135</v>
      </c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</row>
    <row r="315">
      <c r="A315" s="35">
        <v>46069.0</v>
      </c>
      <c r="B315" s="36" t="s">
        <v>2351</v>
      </c>
      <c r="C315" s="37" t="s">
        <v>2352</v>
      </c>
      <c r="D315" s="37" t="s">
        <v>2353</v>
      </c>
      <c r="E315" s="54">
        <v>4793837763</v>
      </c>
      <c r="F315" s="39" t="s">
        <v>2354</v>
      </c>
      <c r="G315" s="37" t="str">
        <f>IF(NOT(ISERROR(MATCH(D315,'Tannbleking - Oppsalg US'!D:D, 0))), "Ja", "")</f>
        <v/>
      </c>
      <c r="H315" s="37" t="s">
        <v>50</v>
      </c>
      <c r="I315" s="37" t="s">
        <v>44</v>
      </c>
      <c r="J315" s="40"/>
      <c r="K315" s="41"/>
      <c r="L315" s="42" t="s">
        <v>128</v>
      </c>
      <c r="M315" s="43" t="s">
        <v>2197</v>
      </c>
      <c r="N315" s="44">
        <v>6.891296560137E12</v>
      </c>
      <c r="O315" s="53" t="str">
        <f t="shared" si="1"/>
        <v>16/02/2026</v>
      </c>
      <c r="P315" s="46">
        <f t="shared" si="2"/>
        <v>1771220460</v>
      </c>
      <c r="Q315" s="47"/>
      <c r="R315" s="48"/>
      <c r="S315" s="46"/>
      <c r="T315" s="49" t="s">
        <v>2355</v>
      </c>
      <c r="U315" s="49" t="s">
        <v>2356</v>
      </c>
      <c r="V315" s="49" t="s">
        <v>2357</v>
      </c>
      <c r="W315" s="46"/>
      <c r="X315" s="49" t="s">
        <v>132</v>
      </c>
      <c r="Y315" s="50" t="s">
        <v>133</v>
      </c>
      <c r="Z315" s="50" t="s">
        <v>134</v>
      </c>
      <c r="AA315" s="46"/>
      <c r="AB315" s="26"/>
      <c r="AC315" s="51" t="s">
        <v>135</v>
      </c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</row>
    <row r="316">
      <c r="A316" s="35">
        <v>46069.0</v>
      </c>
      <c r="B316" s="36" t="s">
        <v>1781</v>
      </c>
      <c r="C316" s="37" t="s">
        <v>2358</v>
      </c>
      <c r="D316" s="37" t="s">
        <v>2359</v>
      </c>
      <c r="E316" s="54">
        <v>4793221296</v>
      </c>
      <c r="F316" s="39" t="s">
        <v>2014</v>
      </c>
      <c r="G316" s="37" t="str">
        <f>IF(NOT(ISERROR(MATCH(D316,'Tannbleking - Oppsalg US'!D:D, 0))), "Ja", "")</f>
        <v/>
      </c>
      <c r="H316" s="37" t="s">
        <v>50</v>
      </c>
      <c r="I316" s="37" t="s">
        <v>44</v>
      </c>
      <c r="J316" s="40"/>
      <c r="K316" s="41"/>
      <c r="L316" s="42" t="s">
        <v>128</v>
      </c>
      <c r="M316" s="43" t="s">
        <v>2327</v>
      </c>
      <c r="N316" s="44">
        <v>6.891296560937E12</v>
      </c>
      <c r="O316" s="53" t="str">
        <f t="shared" si="1"/>
        <v>16/02/2026</v>
      </c>
      <c r="P316" s="46">
        <f t="shared" si="2"/>
        <v>1771237320</v>
      </c>
      <c r="Q316" s="47"/>
      <c r="R316" s="48"/>
      <c r="S316" s="46"/>
      <c r="T316" s="49" t="s">
        <v>2360</v>
      </c>
      <c r="U316" s="49" t="s">
        <v>2361</v>
      </c>
      <c r="V316" s="49" t="s">
        <v>2362</v>
      </c>
      <c r="W316" s="46"/>
      <c r="X316" s="49" t="s">
        <v>132</v>
      </c>
      <c r="Y316" s="50" t="s">
        <v>133</v>
      </c>
      <c r="Z316" s="50" t="s">
        <v>134</v>
      </c>
      <c r="AA316" s="46"/>
      <c r="AB316" s="26"/>
      <c r="AC316" s="51" t="s">
        <v>135</v>
      </c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</row>
    <row r="317">
      <c r="A317" s="35">
        <v>46069.0</v>
      </c>
      <c r="B317" s="36" t="s">
        <v>2363</v>
      </c>
      <c r="C317" s="37" t="s">
        <v>2364</v>
      </c>
      <c r="D317" s="37" t="s">
        <v>2365</v>
      </c>
      <c r="E317" s="54">
        <v>4747808325</v>
      </c>
      <c r="F317" s="39" t="s">
        <v>2366</v>
      </c>
      <c r="G317" s="37" t="str">
        <f>IF(NOT(ISERROR(MATCH(D317,'Tannbleking - Oppsalg US'!D:D, 0))), "Ja", "")</f>
        <v/>
      </c>
      <c r="H317" s="37" t="s">
        <v>43</v>
      </c>
      <c r="I317" s="37" t="s">
        <v>72</v>
      </c>
      <c r="J317" s="40" t="s">
        <v>2367</v>
      </c>
      <c r="K317" s="41"/>
      <c r="L317" s="42" t="s">
        <v>128</v>
      </c>
      <c r="M317" s="43" t="s">
        <v>2197</v>
      </c>
      <c r="N317" s="44">
        <v>6.891296560137E12</v>
      </c>
      <c r="O317" s="53" t="str">
        <f t="shared" si="1"/>
        <v>16/02/2026</v>
      </c>
      <c r="P317" s="46">
        <f t="shared" si="2"/>
        <v>1771264200</v>
      </c>
      <c r="Q317" s="47"/>
      <c r="R317" s="48"/>
      <c r="S317" s="46"/>
      <c r="T317" s="49" t="s">
        <v>2368</v>
      </c>
      <c r="U317" s="49" t="s">
        <v>2369</v>
      </c>
      <c r="V317" s="49" t="s">
        <v>2370</v>
      </c>
      <c r="W317" s="46"/>
      <c r="X317" s="49" t="s">
        <v>132</v>
      </c>
      <c r="Y317" s="50" t="s">
        <v>133</v>
      </c>
      <c r="Z317" s="50" t="s">
        <v>134</v>
      </c>
      <c r="AA317" s="46"/>
      <c r="AB317" s="26"/>
      <c r="AC317" s="51" t="s">
        <v>135</v>
      </c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</row>
    <row r="318">
      <c r="A318" s="35">
        <v>46069.0</v>
      </c>
      <c r="B318" s="36" t="s">
        <v>2371</v>
      </c>
      <c r="C318" s="37" t="s">
        <v>2372</v>
      </c>
      <c r="D318" s="37" t="s">
        <v>2373</v>
      </c>
      <c r="E318" s="54">
        <v>4792554257</v>
      </c>
      <c r="F318" s="39" t="s">
        <v>2374</v>
      </c>
      <c r="G318" s="37" t="str">
        <f>IF(NOT(ISERROR(MATCH(D318,'Tannbleking - Oppsalg US'!D:D, 0))), "Ja", "")</f>
        <v>Ja</v>
      </c>
      <c r="H318" s="37" t="s">
        <v>50</v>
      </c>
      <c r="I318" s="37" t="s">
        <v>44</v>
      </c>
      <c r="J318" s="40"/>
      <c r="K318" s="41"/>
      <c r="L318" s="42" t="s">
        <v>128</v>
      </c>
      <c r="M318" s="43" t="s">
        <v>2197</v>
      </c>
      <c r="N318" s="44">
        <v>6.891296560137E12</v>
      </c>
      <c r="O318" s="53" t="str">
        <f t="shared" si="1"/>
        <v>16/02/2026</v>
      </c>
      <c r="P318" s="46">
        <f t="shared" si="2"/>
        <v>1771274580</v>
      </c>
      <c r="Q318" s="47"/>
      <c r="R318" s="48"/>
      <c r="S318" s="46"/>
      <c r="T318" s="49" t="s">
        <v>2375</v>
      </c>
      <c r="U318" s="49" t="s">
        <v>2376</v>
      </c>
      <c r="V318" s="49" t="s">
        <v>2377</v>
      </c>
      <c r="W318" s="46"/>
      <c r="X318" s="49" t="s">
        <v>132</v>
      </c>
      <c r="Y318" s="50" t="s">
        <v>133</v>
      </c>
      <c r="Z318" s="50" t="s">
        <v>134</v>
      </c>
      <c r="AA318" s="46"/>
      <c r="AB318" s="26"/>
      <c r="AC318" s="51" t="s">
        <v>135</v>
      </c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</row>
    <row r="319">
      <c r="A319" s="35">
        <v>46069.0</v>
      </c>
      <c r="B319" s="36" t="s">
        <v>2378</v>
      </c>
      <c r="C319" s="37" t="s">
        <v>2379</v>
      </c>
      <c r="D319" s="37" t="s">
        <v>2380</v>
      </c>
      <c r="E319" s="54">
        <v>4798807748</v>
      </c>
      <c r="F319" s="39" t="s">
        <v>2381</v>
      </c>
      <c r="G319" s="37" t="str">
        <f>IF(NOT(ISERROR(MATCH(D319,'Tannbleking - Oppsalg US'!D:D, 0))), "Ja", "")</f>
        <v/>
      </c>
      <c r="H319" s="37" t="s">
        <v>50</v>
      </c>
      <c r="I319" s="37" t="s">
        <v>44</v>
      </c>
      <c r="J319" s="40"/>
      <c r="K319" s="41"/>
      <c r="L319" s="42" t="s">
        <v>128</v>
      </c>
      <c r="M319" s="43" t="s">
        <v>2197</v>
      </c>
      <c r="N319" s="44">
        <v>6.891296560137E12</v>
      </c>
      <c r="O319" s="53" t="str">
        <f t="shared" si="1"/>
        <v>16/02/2026</v>
      </c>
      <c r="P319" s="46">
        <f t="shared" si="2"/>
        <v>1771277520</v>
      </c>
      <c r="Q319" s="47"/>
      <c r="R319" s="48"/>
      <c r="S319" s="46"/>
      <c r="T319" s="49" t="s">
        <v>2382</v>
      </c>
      <c r="U319" s="49" t="s">
        <v>2383</v>
      </c>
      <c r="V319" s="49" t="s">
        <v>2384</v>
      </c>
      <c r="W319" s="46"/>
      <c r="X319" s="49" t="s">
        <v>132</v>
      </c>
      <c r="Y319" s="50" t="s">
        <v>133</v>
      </c>
      <c r="Z319" s="50" t="s">
        <v>134</v>
      </c>
      <c r="AA319" s="46"/>
      <c r="AB319" s="26"/>
      <c r="AC319" s="51" t="s">
        <v>135</v>
      </c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</row>
    <row r="320">
      <c r="A320" s="35">
        <v>46071.0</v>
      </c>
      <c r="B320" s="36" t="s">
        <v>2385</v>
      </c>
      <c r="C320" s="37" t="s">
        <v>2386</v>
      </c>
      <c r="D320" s="37" t="s">
        <v>2387</v>
      </c>
      <c r="E320" s="54">
        <v>4745282673</v>
      </c>
      <c r="F320" s="39" t="s">
        <v>2132</v>
      </c>
      <c r="G320" s="37" t="str">
        <f>IF(NOT(ISERROR(MATCH(D320,'Tannbleking - Oppsalg US'!D:D, 0))), "Ja", "")</f>
        <v/>
      </c>
      <c r="H320" s="37" t="s">
        <v>50</v>
      </c>
      <c r="I320" s="37" t="s">
        <v>107</v>
      </c>
      <c r="J320" s="40"/>
      <c r="K320" s="41"/>
      <c r="L320" s="42" t="s">
        <v>128</v>
      </c>
      <c r="M320" s="43" t="s">
        <v>2388</v>
      </c>
      <c r="N320" s="44">
        <v>6.891296559537E12</v>
      </c>
      <c r="O320" s="53" t="str">
        <f t="shared" si="1"/>
        <v>18/02/2026</v>
      </c>
      <c r="P320" s="46">
        <f t="shared" si="2"/>
        <v>1771397280</v>
      </c>
      <c r="Q320" s="47"/>
      <c r="R320" s="48"/>
      <c r="S320" s="46"/>
      <c r="T320" s="49" t="s">
        <v>2389</v>
      </c>
      <c r="U320" s="49" t="s">
        <v>2390</v>
      </c>
      <c r="V320" s="49" t="s">
        <v>2391</v>
      </c>
      <c r="W320" s="46"/>
      <c r="X320" s="49" t="s">
        <v>132</v>
      </c>
      <c r="Y320" s="50" t="s">
        <v>133</v>
      </c>
      <c r="Z320" s="50" t="s">
        <v>134</v>
      </c>
      <c r="AA320" s="46"/>
      <c r="AB320" s="26"/>
      <c r="AC320" s="51" t="s">
        <v>280</v>
      </c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</row>
    <row r="321">
      <c r="A321" s="35">
        <v>46071.0</v>
      </c>
      <c r="B321" s="36" t="s">
        <v>2392</v>
      </c>
      <c r="C321" s="37" t="s">
        <v>2393</v>
      </c>
      <c r="D321" s="37" t="s">
        <v>2394</v>
      </c>
      <c r="E321" s="54">
        <v>4745797662</v>
      </c>
      <c r="F321" s="39" t="s">
        <v>2395</v>
      </c>
      <c r="G321" s="37" t="str">
        <f>IF(NOT(ISERROR(MATCH(D321,'Tannbleking - Oppsalg US'!D:D, 0))), "Ja", "")</f>
        <v/>
      </c>
      <c r="H321" s="37" t="s">
        <v>50</v>
      </c>
      <c r="I321" s="37" t="s">
        <v>44</v>
      </c>
      <c r="J321" s="40"/>
      <c r="K321" s="41"/>
      <c r="L321" s="42" t="s">
        <v>128</v>
      </c>
      <c r="M321" s="43" t="s">
        <v>2197</v>
      </c>
      <c r="N321" s="44">
        <v>6.891296560137E12</v>
      </c>
      <c r="O321" s="53" t="str">
        <f t="shared" si="1"/>
        <v>18/02/2026</v>
      </c>
      <c r="P321" s="46">
        <f t="shared" si="2"/>
        <v>1771416960</v>
      </c>
      <c r="Q321" s="47"/>
      <c r="R321" s="48"/>
      <c r="S321" s="46"/>
      <c r="T321" s="49" t="s">
        <v>2396</v>
      </c>
      <c r="U321" s="49" t="s">
        <v>2397</v>
      </c>
      <c r="V321" s="49" t="s">
        <v>2398</v>
      </c>
      <c r="W321" s="46"/>
      <c r="X321" s="49" t="s">
        <v>132</v>
      </c>
      <c r="Y321" s="50" t="s">
        <v>133</v>
      </c>
      <c r="Z321" s="50" t="s">
        <v>134</v>
      </c>
      <c r="AA321" s="46"/>
      <c r="AB321" s="26"/>
      <c r="AC321" s="51" t="s">
        <v>135</v>
      </c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</row>
    <row r="322">
      <c r="A322" s="35">
        <v>46072.0</v>
      </c>
      <c r="B322" s="36" t="s">
        <v>1991</v>
      </c>
      <c r="C322" s="37" t="s">
        <v>2399</v>
      </c>
      <c r="D322" s="37" t="s">
        <v>2400</v>
      </c>
      <c r="E322" s="54">
        <v>4791639178</v>
      </c>
      <c r="F322" s="39" t="s">
        <v>2401</v>
      </c>
      <c r="G322" s="37" t="str">
        <f>IF(NOT(ISERROR(MATCH(D322,'Tannbleking - Oppsalg US'!D:D, 0))), "Ja", "")</f>
        <v/>
      </c>
      <c r="H322" s="37" t="s">
        <v>676</v>
      </c>
      <c r="I322" s="37" t="s">
        <v>44</v>
      </c>
      <c r="J322" s="40" t="s">
        <v>2402</v>
      </c>
      <c r="K322" s="41"/>
      <c r="L322" s="42" t="s">
        <v>128</v>
      </c>
      <c r="M322" s="43" t="s">
        <v>2197</v>
      </c>
      <c r="N322" s="44">
        <v>6.891296560137E12</v>
      </c>
      <c r="O322" s="53" t="str">
        <f t="shared" si="1"/>
        <v>19/02/2026</v>
      </c>
      <c r="P322" s="46">
        <f t="shared" si="2"/>
        <v>1771503960</v>
      </c>
      <c r="Q322" s="47"/>
      <c r="R322" s="48"/>
      <c r="S322" s="46"/>
      <c r="T322" s="49" t="s">
        <v>2403</v>
      </c>
      <c r="U322" s="49" t="s">
        <v>2404</v>
      </c>
      <c r="V322" s="49" t="s">
        <v>2405</v>
      </c>
      <c r="W322" s="46"/>
      <c r="X322" s="49" t="s">
        <v>132</v>
      </c>
      <c r="Y322" s="50" t="s">
        <v>133</v>
      </c>
      <c r="Z322" s="50" t="s">
        <v>134</v>
      </c>
      <c r="AA322" s="46"/>
      <c r="AB322" s="26"/>
      <c r="AC322" s="51" t="s">
        <v>135</v>
      </c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</row>
    <row r="323">
      <c r="A323" s="35">
        <v>46072.0</v>
      </c>
      <c r="B323" s="36" t="s">
        <v>2406</v>
      </c>
      <c r="C323" s="37" t="s">
        <v>2407</v>
      </c>
      <c r="D323" s="37" t="s">
        <v>2408</v>
      </c>
      <c r="E323" s="54">
        <v>4793231893</v>
      </c>
      <c r="F323" s="39" t="s">
        <v>2409</v>
      </c>
      <c r="G323" s="37" t="str">
        <f>IF(NOT(ISERROR(MATCH(D323,'Tannbleking - Oppsalg US'!D:D, 0))), "Ja", "")</f>
        <v>Ja</v>
      </c>
      <c r="H323" s="37" t="s">
        <v>50</v>
      </c>
      <c r="I323" s="37" t="s">
        <v>44</v>
      </c>
      <c r="J323" s="40"/>
      <c r="K323" s="41"/>
      <c r="L323" s="42" t="s">
        <v>128</v>
      </c>
      <c r="M323" s="43" t="s">
        <v>2388</v>
      </c>
      <c r="N323" s="44">
        <v>6.891296559537E12</v>
      </c>
      <c r="O323" s="53" t="str">
        <f t="shared" si="1"/>
        <v>19/02/2026</v>
      </c>
      <c r="P323" s="46">
        <f t="shared" si="2"/>
        <v>1771532460</v>
      </c>
      <c r="Q323" s="47"/>
      <c r="R323" s="48"/>
      <c r="S323" s="46"/>
      <c r="T323" s="49" t="s">
        <v>2410</v>
      </c>
      <c r="U323" s="49" t="s">
        <v>2411</v>
      </c>
      <c r="V323" s="49" t="s">
        <v>2412</v>
      </c>
      <c r="W323" s="46"/>
      <c r="X323" s="49" t="s">
        <v>132</v>
      </c>
      <c r="Y323" s="50" t="s">
        <v>133</v>
      </c>
      <c r="Z323" s="50" t="s">
        <v>134</v>
      </c>
      <c r="AA323" s="46"/>
      <c r="AB323" s="26"/>
      <c r="AC323" s="51" t="s">
        <v>144</v>
      </c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</row>
    <row r="324">
      <c r="A324" s="35">
        <v>46073.0</v>
      </c>
      <c r="B324" s="36" t="s">
        <v>2413</v>
      </c>
      <c r="C324" s="37" t="s">
        <v>2414</v>
      </c>
      <c r="D324" s="37" t="s">
        <v>2415</v>
      </c>
      <c r="E324" s="54">
        <v>4790705542</v>
      </c>
      <c r="F324" s="39" t="s">
        <v>2416</v>
      </c>
      <c r="G324" s="37" t="str">
        <f>IF(NOT(ISERROR(MATCH(D324,'Tannbleking - Oppsalg US'!D:D, 0))), "Ja", "")</f>
        <v/>
      </c>
      <c r="H324" s="37" t="s">
        <v>50</v>
      </c>
      <c r="I324" s="37" t="s">
        <v>107</v>
      </c>
      <c r="J324" s="40"/>
      <c r="K324" s="41"/>
      <c r="L324" s="42" t="s">
        <v>128</v>
      </c>
      <c r="M324" s="43" t="s">
        <v>2388</v>
      </c>
      <c r="N324" s="44">
        <v>6.891296559537E12</v>
      </c>
      <c r="O324" s="53" t="str">
        <f t="shared" si="1"/>
        <v>20/02/2026</v>
      </c>
      <c r="P324" s="46">
        <f t="shared" si="2"/>
        <v>1771575240</v>
      </c>
      <c r="Q324" s="47"/>
      <c r="R324" s="48"/>
      <c r="S324" s="46"/>
      <c r="T324" s="49" t="s">
        <v>2417</v>
      </c>
      <c r="U324" s="49" t="s">
        <v>2418</v>
      </c>
      <c r="V324" s="49" t="s">
        <v>2419</v>
      </c>
      <c r="W324" s="46"/>
      <c r="X324" s="49" t="s">
        <v>132</v>
      </c>
      <c r="Y324" s="50" t="s">
        <v>133</v>
      </c>
      <c r="Z324" s="50" t="s">
        <v>134</v>
      </c>
      <c r="AA324" s="46"/>
      <c r="AB324" s="26"/>
      <c r="AC324" s="51" t="s">
        <v>1690</v>
      </c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</row>
    <row r="325">
      <c r="A325" s="35">
        <v>46073.0</v>
      </c>
      <c r="B325" s="36" t="s">
        <v>1470</v>
      </c>
      <c r="C325" s="37" t="s">
        <v>2420</v>
      </c>
      <c r="D325" s="37" t="s">
        <v>2421</v>
      </c>
      <c r="E325" s="54">
        <v>4798687751</v>
      </c>
      <c r="F325" s="39" t="s">
        <v>2422</v>
      </c>
      <c r="G325" s="37" t="str">
        <f>IF(NOT(ISERROR(MATCH(D325,'Tannbleking - Oppsalg US'!D:D, 0))), "Ja", "")</f>
        <v/>
      </c>
      <c r="H325" s="37" t="s">
        <v>50</v>
      </c>
      <c r="I325" s="37" t="s">
        <v>107</v>
      </c>
      <c r="J325" s="40"/>
      <c r="K325" s="41"/>
      <c r="L325" s="42" t="s">
        <v>128</v>
      </c>
      <c r="M325" s="43" t="s">
        <v>2388</v>
      </c>
      <c r="N325" s="44">
        <v>6.891296559537E12</v>
      </c>
      <c r="O325" s="53" t="str">
        <f t="shared" si="1"/>
        <v>20/02/2026</v>
      </c>
      <c r="P325" s="46">
        <f t="shared" si="2"/>
        <v>1771578300</v>
      </c>
      <c r="Q325" s="47"/>
      <c r="R325" s="48"/>
      <c r="S325" s="46"/>
      <c r="T325" s="49" t="s">
        <v>2423</v>
      </c>
      <c r="U325" s="49" t="s">
        <v>2424</v>
      </c>
      <c r="V325" s="49" t="s">
        <v>2425</v>
      </c>
      <c r="W325" s="46"/>
      <c r="X325" s="49" t="s">
        <v>132</v>
      </c>
      <c r="Y325" s="50" t="s">
        <v>133</v>
      </c>
      <c r="Z325" s="50" t="s">
        <v>134</v>
      </c>
      <c r="AA325" s="46"/>
      <c r="AB325" s="26"/>
      <c r="AC325" s="51" t="s">
        <v>1686</v>
      </c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</row>
    <row r="326">
      <c r="A326" s="35">
        <v>46073.0</v>
      </c>
      <c r="B326" s="36" t="s">
        <v>1134</v>
      </c>
      <c r="C326" s="37" t="s">
        <v>2426</v>
      </c>
      <c r="D326" s="37" t="s">
        <v>2427</v>
      </c>
      <c r="E326" s="54">
        <v>4791553517</v>
      </c>
      <c r="F326" s="39" t="s">
        <v>2428</v>
      </c>
      <c r="G326" s="37" t="str">
        <f>IF(NOT(ISERROR(MATCH(D326,'Tannbleking - Oppsalg US'!D:D, 0))), "Ja", "")</f>
        <v/>
      </c>
      <c r="H326" s="37" t="s">
        <v>43</v>
      </c>
      <c r="I326" s="37" t="s">
        <v>107</v>
      </c>
      <c r="J326" s="40" t="s">
        <v>2319</v>
      </c>
      <c r="K326" s="41"/>
      <c r="L326" s="42" t="s">
        <v>128</v>
      </c>
      <c r="M326" s="43" t="s">
        <v>2429</v>
      </c>
      <c r="N326" s="44">
        <v>6.891296558737E12</v>
      </c>
      <c r="O326" s="53" t="str">
        <f t="shared" si="1"/>
        <v>20/02/2026</v>
      </c>
      <c r="P326" s="46">
        <f t="shared" si="2"/>
        <v>1771578480</v>
      </c>
      <c r="Q326" s="47"/>
      <c r="R326" s="48"/>
      <c r="S326" s="46"/>
      <c r="T326" s="49" t="s">
        <v>2430</v>
      </c>
      <c r="U326" s="49" t="s">
        <v>2431</v>
      </c>
      <c r="V326" s="49" t="s">
        <v>2432</v>
      </c>
      <c r="W326" s="46"/>
      <c r="X326" s="49" t="s">
        <v>132</v>
      </c>
      <c r="Y326" s="50" t="s">
        <v>133</v>
      </c>
      <c r="Z326" s="50" t="s">
        <v>134</v>
      </c>
      <c r="AA326" s="46"/>
      <c r="AB326" s="26"/>
      <c r="AC326" s="51" t="s">
        <v>2433</v>
      </c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>
      <c r="A327" s="35">
        <v>46073.0</v>
      </c>
      <c r="B327" s="36" t="s">
        <v>2434</v>
      </c>
      <c r="C327" s="37" t="s">
        <v>2435</v>
      </c>
      <c r="D327" s="37" t="s">
        <v>2436</v>
      </c>
      <c r="E327" s="54">
        <v>4748637785</v>
      </c>
      <c r="F327" s="39" t="s">
        <v>2437</v>
      </c>
      <c r="G327" s="37" t="str">
        <f>IF(NOT(ISERROR(MATCH(D327,'Tannbleking - Oppsalg US'!D:D, 0))), "Ja", "")</f>
        <v/>
      </c>
      <c r="H327" s="37" t="s">
        <v>676</v>
      </c>
      <c r="I327" s="37" t="s">
        <v>322</v>
      </c>
      <c r="J327" s="40" t="s">
        <v>2438</v>
      </c>
      <c r="K327" s="41"/>
      <c r="L327" s="42" t="s">
        <v>128</v>
      </c>
      <c r="M327" s="43" t="s">
        <v>2439</v>
      </c>
      <c r="N327" s="44">
        <v>6.891296561737E12</v>
      </c>
      <c r="O327" s="53" t="str">
        <f t="shared" si="1"/>
        <v>20/02/2026</v>
      </c>
      <c r="P327" s="46">
        <f t="shared" si="2"/>
        <v>1771578840</v>
      </c>
      <c r="Q327" s="47"/>
      <c r="R327" s="48"/>
      <c r="S327" s="46"/>
      <c r="T327" s="49" t="s">
        <v>2440</v>
      </c>
      <c r="U327" s="49" t="s">
        <v>2441</v>
      </c>
      <c r="V327" s="49" t="s">
        <v>2442</v>
      </c>
      <c r="W327" s="46"/>
      <c r="X327" s="49" t="s">
        <v>132</v>
      </c>
      <c r="Y327" s="50" t="s">
        <v>133</v>
      </c>
      <c r="Z327" s="50" t="s">
        <v>134</v>
      </c>
      <c r="AA327" s="46"/>
      <c r="AB327" s="26"/>
      <c r="AC327" s="51" t="s">
        <v>135</v>
      </c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</row>
    <row r="328">
      <c r="A328" s="35">
        <v>46073.0</v>
      </c>
      <c r="B328" s="36" t="s">
        <v>2443</v>
      </c>
      <c r="C328" s="37" t="s">
        <v>2444</v>
      </c>
      <c r="D328" s="37" t="s">
        <v>2445</v>
      </c>
      <c r="E328" s="54">
        <v>4740461945</v>
      </c>
      <c r="F328" s="39" t="s">
        <v>2446</v>
      </c>
      <c r="G328" s="37" t="str">
        <f>IF(NOT(ISERROR(MATCH(D328,'Tannbleking - Oppsalg US'!D:D, 0))), "Ja", "")</f>
        <v/>
      </c>
      <c r="H328" s="37" t="s">
        <v>43</v>
      </c>
      <c r="I328" s="37" t="s">
        <v>44</v>
      </c>
      <c r="J328" s="40" t="s">
        <v>2319</v>
      </c>
      <c r="K328" s="41"/>
      <c r="L328" s="42" t="s">
        <v>128</v>
      </c>
      <c r="M328" s="43" t="s">
        <v>2327</v>
      </c>
      <c r="N328" s="44">
        <v>6.891296560937E12</v>
      </c>
      <c r="O328" s="53" t="str">
        <f t="shared" si="1"/>
        <v>20/02/2026</v>
      </c>
      <c r="P328" s="46">
        <f t="shared" si="2"/>
        <v>1771596960</v>
      </c>
      <c r="Q328" s="47"/>
      <c r="R328" s="48"/>
      <c r="S328" s="46"/>
      <c r="T328" s="49" t="s">
        <v>2447</v>
      </c>
      <c r="U328" s="49" t="s">
        <v>2448</v>
      </c>
      <c r="V328" s="49" t="s">
        <v>2449</v>
      </c>
      <c r="W328" s="46"/>
      <c r="X328" s="49" t="s">
        <v>132</v>
      </c>
      <c r="Y328" s="50" t="s">
        <v>133</v>
      </c>
      <c r="Z328" s="50" t="s">
        <v>134</v>
      </c>
      <c r="AA328" s="46"/>
      <c r="AB328" s="26"/>
      <c r="AC328" s="51" t="s">
        <v>135</v>
      </c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</row>
    <row r="329">
      <c r="A329" s="35">
        <v>46074.0</v>
      </c>
      <c r="B329" s="36" t="s">
        <v>108</v>
      </c>
      <c r="C329" s="37" t="s">
        <v>2123</v>
      </c>
      <c r="D329" s="37" t="s">
        <v>2124</v>
      </c>
      <c r="E329" s="54">
        <v>4740140367</v>
      </c>
      <c r="F329" s="39" t="s">
        <v>2450</v>
      </c>
      <c r="G329" s="37" t="str">
        <f>IF(NOT(ISERROR(MATCH(D329,'Tannbleking - Oppsalg US'!D:D, 0))), "Ja", "")</f>
        <v/>
      </c>
      <c r="H329" s="37" t="s">
        <v>90</v>
      </c>
      <c r="I329" s="37" t="s">
        <v>44</v>
      </c>
      <c r="J329" s="40"/>
      <c r="K329" s="41"/>
      <c r="L329" s="42" t="s">
        <v>128</v>
      </c>
      <c r="M329" s="43" t="s">
        <v>2388</v>
      </c>
      <c r="N329" s="44">
        <v>6.891296559537E12</v>
      </c>
      <c r="O329" s="53" t="str">
        <f t="shared" si="1"/>
        <v>21/02/2026</v>
      </c>
      <c r="P329" s="46">
        <f t="shared" si="2"/>
        <v>1771648860</v>
      </c>
      <c r="Q329" s="47"/>
      <c r="R329" s="48"/>
      <c r="S329" s="46"/>
      <c r="T329" s="49" t="s">
        <v>2126</v>
      </c>
      <c r="U329" s="49" t="s">
        <v>2127</v>
      </c>
      <c r="V329" s="49" t="s">
        <v>2451</v>
      </c>
      <c r="W329" s="46"/>
      <c r="X329" s="49" t="s">
        <v>132</v>
      </c>
      <c r="Y329" s="50" t="s">
        <v>133</v>
      </c>
      <c r="Z329" s="50" t="s">
        <v>134</v>
      </c>
      <c r="AA329" s="46"/>
      <c r="AB329" s="26"/>
      <c r="AC329" s="51" t="s">
        <v>135</v>
      </c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</row>
    <row r="330">
      <c r="A330" s="35">
        <v>46074.0</v>
      </c>
      <c r="B330" s="36" t="s">
        <v>2452</v>
      </c>
      <c r="C330" s="37" t="s">
        <v>2453</v>
      </c>
      <c r="D330" s="37" t="s">
        <v>2454</v>
      </c>
      <c r="E330" s="54">
        <v>4793413789</v>
      </c>
      <c r="F330" s="39" t="s">
        <v>2455</v>
      </c>
      <c r="G330" s="37" t="str">
        <f>IF(NOT(ISERROR(MATCH(D330,'Tannbleking - Oppsalg US'!D:D, 0))), "Ja", "")</f>
        <v/>
      </c>
      <c r="H330" s="37" t="s">
        <v>50</v>
      </c>
      <c r="I330" s="37" t="s">
        <v>44</v>
      </c>
      <c r="J330" s="40"/>
      <c r="K330" s="41"/>
      <c r="L330" s="42" t="s">
        <v>347</v>
      </c>
      <c r="M330" s="43">
        <v>6.891296560137E12</v>
      </c>
      <c r="N330" s="44"/>
      <c r="O330" s="53" t="str">
        <f t="shared" si="1"/>
        <v>21/02/2026</v>
      </c>
      <c r="P330" s="46">
        <f t="shared" si="2"/>
        <v>1771663800</v>
      </c>
      <c r="Q330" s="47"/>
      <c r="R330" s="48"/>
      <c r="S330" s="46"/>
      <c r="T330" s="49" t="s">
        <v>2456</v>
      </c>
      <c r="U330" s="49" t="s">
        <v>2457</v>
      </c>
      <c r="V330" s="49" t="s">
        <v>2458</v>
      </c>
      <c r="W330" s="46"/>
      <c r="X330" s="49" t="s">
        <v>132</v>
      </c>
      <c r="Y330" s="50" t="s">
        <v>133</v>
      </c>
      <c r="Z330" s="50" t="s">
        <v>134</v>
      </c>
      <c r="AA330" s="46"/>
      <c r="AB330" s="26"/>
      <c r="AC330" s="51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</row>
    <row r="331">
      <c r="A331" s="35">
        <v>46075.0</v>
      </c>
      <c r="B331" s="36" t="s">
        <v>2459</v>
      </c>
      <c r="C331" s="37" t="s">
        <v>2460</v>
      </c>
      <c r="D331" s="37" t="s">
        <v>2461</v>
      </c>
      <c r="E331" s="54">
        <v>4790075621</v>
      </c>
      <c r="F331" s="39" t="s">
        <v>2462</v>
      </c>
      <c r="G331" s="37" t="str">
        <f>IF(NOT(ISERROR(MATCH(D331,'Tannbleking - Oppsalg US'!D:D, 0))), "Ja", "")</f>
        <v/>
      </c>
      <c r="H331" s="37" t="s">
        <v>50</v>
      </c>
      <c r="I331" s="37" t="s">
        <v>44</v>
      </c>
      <c r="J331" s="40"/>
      <c r="K331" s="41"/>
      <c r="L331" s="42" t="s">
        <v>128</v>
      </c>
      <c r="M331" s="43" t="s">
        <v>2388</v>
      </c>
      <c r="N331" s="44">
        <v>6.891296559537E12</v>
      </c>
      <c r="O331" s="53" t="str">
        <f t="shared" si="1"/>
        <v>22/02/2026</v>
      </c>
      <c r="P331" s="46">
        <f t="shared" si="2"/>
        <v>1771725600</v>
      </c>
      <c r="Q331" s="47"/>
      <c r="R331" s="48"/>
      <c r="S331" s="46"/>
      <c r="T331" s="49" t="s">
        <v>2463</v>
      </c>
      <c r="U331" s="49" t="s">
        <v>2464</v>
      </c>
      <c r="V331" s="49" t="s">
        <v>2465</v>
      </c>
      <c r="W331" s="46"/>
      <c r="X331" s="49" t="s">
        <v>132</v>
      </c>
      <c r="Y331" s="50" t="s">
        <v>133</v>
      </c>
      <c r="Z331" s="50" t="s">
        <v>134</v>
      </c>
      <c r="AA331" s="46"/>
      <c r="AB331" s="26"/>
      <c r="AC331" s="51" t="s">
        <v>144</v>
      </c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</row>
    <row r="332">
      <c r="A332" s="35">
        <v>46075.0</v>
      </c>
      <c r="B332" s="36" t="s">
        <v>2466</v>
      </c>
      <c r="C332" s="37" t="s">
        <v>2467</v>
      </c>
      <c r="D332" s="37" t="s">
        <v>2468</v>
      </c>
      <c r="E332" s="54">
        <f>4797356577</f>
        <v>4797356577</v>
      </c>
      <c r="F332" s="39" t="s">
        <v>2469</v>
      </c>
      <c r="G332" s="37" t="str">
        <f>IF(NOT(ISERROR(MATCH(D332,'Tannbleking - Oppsalg US'!D:D, 0))), "Ja", "")</f>
        <v/>
      </c>
      <c r="H332" s="37" t="s">
        <v>50</v>
      </c>
      <c r="I332" s="37" t="s">
        <v>44</v>
      </c>
      <c r="J332" s="40"/>
      <c r="K332" s="41"/>
      <c r="L332" s="42" t="s">
        <v>128</v>
      </c>
      <c r="M332" s="43" t="s">
        <v>2197</v>
      </c>
      <c r="N332" s="44">
        <v>6.891296560137E12</v>
      </c>
      <c r="O332" s="53" t="str">
        <f t="shared" si="1"/>
        <v>22/02/2026</v>
      </c>
      <c r="P332" s="46">
        <f t="shared" si="2"/>
        <v>1771746360</v>
      </c>
      <c r="Q332" s="47"/>
      <c r="R332" s="48"/>
      <c r="S332" s="46"/>
      <c r="T332" s="49" t="s">
        <v>2470</v>
      </c>
      <c r="U332" s="49" t="s">
        <v>2471</v>
      </c>
      <c r="V332" s="49" t="s">
        <v>2472</v>
      </c>
      <c r="W332" s="46"/>
      <c r="X332" s="49" t="s">
        <v>132</v>
      </c>
      <c r="Y332" s="50" t="s">
        <v>133</v>
      </c>
      <c r="Z332" s="50" t="s">
        <v>134</v>
      </c>
      <c r="AA332" s="46"/>
      <c r="AB332" s="26"/>
      <c r="AC332" s="51" t="s">
        <v>135</v>
      </c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</row>
    <row r="333">
      <c r="A333" s="35">
        <v>46075.0</v>
      </c>
      <c r="B333" s="36" t="s">
        <v>2413</v>
      </c>
      <c r="C333" s="37" t="s">
        <v>2123</v>
      </c>
      <c r="D333" s="37" t="s">
        <v>2124</v>
      </c>
      <c r="E333" s="54">
        <v>4740140367</v>
      </c>
      <c r="F333" s="39" t="s">
        <v>2473</v>
      </c>
      <c r="G333" s="37" t="str">
        <f>IF(NOT(ISERROR(MATCH(D333,'Tannbleking - Oppsalg US'!D:D, 0))), "Ja", "")</f>
        <v/>
      </c>
      <c r="H333" s="37" t="s">
        <v>50</v>
      </c>
      <c r="I333" s="37" t="s">
        <v>44</v>
      </c>
      <c r="J333" s="40"/>
      <c r="K333" s="41"/>
      <c r="L333" s="42" t="s">
        <v>128</v>
      </c>
      <c r="M333" s="43" t="s">
        <v>2388</v>
      </c>
      <c r="N333" s="44">
        <v>6.891296559537E12</v>
      </c>
      <c r="O333" s="53" t="str">
        <f t="shared" si="1"/>
        <v>22/02/2026</v>
      </c>
      <c r="P333" s="46">
        <f t="shared" si="2"/>
        <v>1771748040</v>
      </c>
      <c r="Q333" s="47"/>
      <c r="R333" s="48"/>
      <c r="S333" s="46"/>
      <c r="T333" s="49" t="s">
        <v>2126</v>
      </c>
      <c r="U333" s="49" t="s">
        <v>2127</v>
      </c>
      <c r="V333" s="49" t="s">
        <v>2474</v>
      </c>
      <c r="W333" s="46"/>
      <c r="X333" s="49" t="s">
        <v>132</v>
      </c>
      <c r="Y333" s="50" t="s">
        <v>133</v>
      </c>
      <c r="Z333" s="50" t="s">
        <v>134</v>
      </c>
      <c r="AA333" s="46"/>
      <c r="AB333" s="26"/>
      <c r="AC333" s="51" t="s">
        <v>135</v>
      </c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</row>
    <row r="334">
      <c r="A334" s="35">
        <v>46076.0</v>
      </c>
      <c r="B334" s="36" t="s">
        <v>2475</v>
      </c>
      <c r="C334" s="37" t="s">
        <v>2476</v>
      </c>
      <c r="D334" s="37" t="s">
        <v>2477</v>
      </c>
      <c r="E334" s="54">
        <v>4797356577</v>
      </c>
      <c r="F334" s="39" t="s">
        <v>2478</v>
      </c>
      <c r="G334" s="37" t="str">
        <f>IF(NOT(ISERROR(MATCH(D334,'Tannbleking - Oppsalg US'!D:D, 0))), "Ja", "")</f>
        <v>Ja</v>
      </c>
      <c r="H334" s="37" t="s">
        <v>50</v>
      </c>
      <c r="I334" s="37" t="s">
        <v>44</v>
      </c>
      <c r="J334" s="40"/>
      <c r="K334" s="41"/>
      <c r="L334" s="42" t="s">
        <v>128</v>
      </c>
      <c r="M334" s="43" t="s">
        <v>2327</v>
      </c>
      <c r="N334" s="44">
        <v>6.891296560937E12</v>
      </c>
      <c r="O334" s="53" t="str">
        <f t="shared" si="1"/>
        <v>23/02/2026</v>
      </c>
      <c r="P334" s="46">
        <f t="shared" si="2"/>
        <v>1771816440</v>
      </c>
      <c r="Q334" s="47"/>
      <c r="R334" s="48"/>
      <c r="S334" s="46"/>
      <c r="T334" s="49" t="s">
        <v>2479</v>
      </c>
      <c r="U334" s="49" t="s">
        <v>2480</v>
      </c>
      <c r="V334" s="49" t="s">
        <v>2481</v>
      </c>
      <c r="W334" s="46"/>
      <c r="X334" s="49" t="s">
        <v>132</v>
      </c>
      <c r="Y334" s="50" t="s">
        <v>133</v>
      </c>
      <c r="Z334" s="50" t="s">
        <v>134</v>
      </c>
      <c r="AA334" s="46"/>
      <c r="AB334" s="26"/>
      <c r="AC334" s="51" t="s">
        <v>144</v>
      </c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>
      <c r="A335" s="35">
        <v>46077.0</v>
      </c>
      <c r="B335" s="36" t="s">
        <v>2482</v>
      </c>
      <c r="C335" s="37" t="s">
        <v>2483</v>
      </c>
      <c r="D335" s="37" t="s">
        <v>2484</v>
      </c>
      <c r="E335" s="54">
        <v>4791321891</v>
      </c>
      <c r="F335" s="39" t="s">
        <v>2485</v>
      </c>
      <c r="G335" s="37" t="str">
        <f>IF(NOT(ISERROR(MATCH(D335,'Tannbleking - Oppsalg US'!D:D, 0))), "Ja", "")</f>
        <v/>
      </c>
      <c r="H335" s="37" t="s">
        <v>50</v>
      </c>
      <c r="I335" s="37" t="s">
        <v>44</v>
      </c>
      <c r="J335" s="40"/>
      <c r="K335" s="41"/>
      <c r="L335" s="42" t="s">
        <v>128</v>
      </c>
      <c r="M335" s="43"/>
      <c r="N335" s="44"/>
      <c r="O335" s="53" t="str">
        <f t="shared" si="1"/>
        <v>24/02/2026</v>
      </c>
      <c r="P335" s="46">
        <f t="shared" si="2"/>
        <v>1771913820</v>
      </c>
      <c r="Q335" s="47"/>
      <c r="R335" s="48"/>
      <c r="S335" s="46"/>
      <c r="T335" s="49" t="s">
        <v>2486</v>
      </c>
      <c r="U335" s="49" t="s">
        <v>2487</v>
      </c>
      <c r="V335" s="49" t="s">
        <v>2488</v>
      </c>
      <c r="W335" s="46"/>
      <c r="X335" s="49" t="s">
        <v>132</v>
      </c>
      <c r="Y335" s="50" t="s">
        <v>133</v>
      </c>
      <c r="Z335" s="50" t="s">
        <v>134</v>
      </c>
      <c r="AA335" s="46"/>
      <c r="AB335" s="26"/>
      <c r="AC335" s="51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>
      <c r="A336" s="35">
        <v>46077.0</v>
      </c>
      <c r="B336" s="36" t="s">
        <v>2489</v>
      </c>
      <c r="C336" s="37" t="s">
        <v>2490</v>
      </c>
      <c r="D336" s="37" t="s">
        <v>2491</v>
      </c>
      <c r="E336" s="54">
        <v>4797074780</v>
      </c>
      <c r="F336" s="39" t="s">
        <v>2492</v>
      </c>
      <c r="G336" s="37" t="str">
        <f>IF(NOT(ISERROR(MATCH(D336,'Tannbleking - Oppsalg US'!D:D, 0))), "Ja", "")</f>
        <v/>
      </c>
      <c r="H336" s="37" t="s">
        <v>50</v>
      </c>
      <c r="I336" s="37" t="s">
        <v>44</v>
      </c>
      <c r="J336" s="40"/>
      <c r="K336" s="41"/>
      <c r="L336" s="42" t="s">
        <v>128</v>
      </c>
      <c r="M336" s="43" t="s">
        <v>2388</v>
      </c>
      <c r="N336" s="44">
        <v>6.891296559537E12</v>
      </c>
      <c r="O336" s="53" t="str">
        <f t="shared" si="1"/>
        <v>24/02/2026</v>
      </c>
      <c r="P336" s="46">
        <f t="shared" si="2"/>
        <v>1771931580</v>
      </c>
      <c r="Q336" s="47"/>
      <c r="R336" s="48"/>
      <c r="S336" s="46"/>
      <c r="T336" s="49" t="s">
        <v>2493</v>
      </c>
      <c r="U336" s="49" t="s">
        <v>2494</v>
      </c>
      <c r="V336" s="49" t="s">
        <v>2495</v>
      </c>
      <c r="W336" s="46"/>
      <c r="X336" s="49" t="s">
        <v>132</v>
      </c>
      <c r="Y336" s="50" t="s">
        <v>133</v>
      </c>
      <c r="Z336" s="50" t="s">
        <v>134</v>
      </c>
      <c r="AA336" s="46"/>
      <c r="AB336" s="26"/>
      <c r="AC336" s="51" t="s">
        <v>135</v>
      </c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>
      <c r="A337" s="35">
        <v>46078.0</v>
      </c>
      <c r="B337" s="36" t="s">
        <v>2496</v>
      </c>
      <c r="C337" s="37" t="s">
        <v>2497</v>
      </c>
      <c r="D337" s="37" t="s">
        <v>2498</v>
      </c>
      <c r="E337" s="54">
        <v>4740220389</v>
      </c>
      <c r="F337" s="39" t="s">
        <v>2499</v>
      </c>
      <c r="G337" s="37" t="str">
        <f>IF(NOT(ISERROR(MATCH(D337,'Tannbleking - Oppsalg US'!D:D, 0))), "Ja", "")</f>
        <v/>
      </c>
      <c r="H337" s="37" t="s">
        <v>50</v>
      </c>
      <c r="I337" s="37" t="s">
        <v>72</v>
      </c>
      <c r="J337" s="40"/>
      <c r="K337" s="41"/>
      <c r="L337" s="42" t="s">
        <v>128</v>
      </c>
      <c r="M337" s="43" t="s">
        <v>2197</v>
      </c>
      <c r="N337" s="44">
        <v>6.891296560137E12</v>
      </c>
      <c r="O337" s="53" t="str">
        <f t="shared" si="1"/>
        <v>25/02/2026</v>
      </c>
      <c r="P337" s="46">
        <f t="shared" si="2"/>
        <v>1771979100</v>
      </c>
      <c r="Q337" s="47"/>
      <c r="R337" s="48"/>
      <c r="S337" s="46"/>
      <c r="T337" s="49" t="s">
        <v>2500</v>
      </c>
      <c r="U337" s="49" t="s">
        <v>2501</v>
      </c>
      <c r="V337" s="49" t="s">
        <v>2502</v>
      </c>
      <c r="W337" s="46"/>
      <c r="X337" s="49" t="s">
        <v>132</v>
      </c>
      <c r="Y337" s="50" t="s">
        <v>133</v>
      </c>
      <c r="Z337" s="50" t="s">
        <v>134</v>
      </c>
      <c r="AA337" s="46"/>
      <c r="AB337" s="26"/>
      <c r="AC337" s="51" t="s">
        <v>135</v>
      </c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>
      <c r="A338" s="35">
        <v>46078.0</v>
      </c>
      <c r="B338" s="36" t="s">
        <v>2503</v>
      </c>
      <c r="C338" s="37" t="s">
        <v>2504</v>
      </c>
      <c r="D338" s="37" t="s">
        <v>2505</v>
      </c>
      <c r="E338" s="54">
        <v>4794141148</v>
      </c>
      <c r="F338" s="39" t="s">
        <v>2506</v>
      </c>
      <c r="G338" s="37" t="str">
        <f>IF(NOT(ISERROR(MATCH(D338,'Tannbleking - Oppsalg US'!D:D, 0))), "Ja", "")</f>
        <v/>
      </c>
      <c r="H338" s="37" t="s">
        <v>50</v>
      </c>
      <c r="I338" s="37" t="s">
        <v>44</v>
      </c>
      <c r="J338" s="40"/>
      <c r="K338" s="41"/>
      <c r="L338" s="42" t="s">
        <v>128</v>
      </c>
      <c r="M338" s="43" t="s">
        <v>2197</v>
      </c>
      <c r="N338" s="44">
        <v>6.891296560137E12</v>
      </c>
      <c r="O338" s="53" t="str">
        <f t="shared" si="1"/>
        <v>25/02/2026</v>
      </c>
      <c r="P338" s="46">
        <f t="shared" si="2"/>
        <v>1772039280</v>
      </c>
      <c r="Q338" s="47"/>
      <c r="R338" s="48"/>
      <c r="S338" s="46"/>
      <c r="T338" s="49" t="s">
        <v>2507</v>
      </c>
      <c r="U338" s="49" t="s">
        <v>2508</v>
      </c>
      <c r="V338" s="49" t="s">
        <v>2509</v>
      </c>
      <c r="W338" s="46"/>
      <c r="X338" s="49" t="s">
        <v>132</v>
      </c>
      <c r="Y338" s="50" t="s">
        <v>133</v>
      </c>
      <c r="Z338" s="50" t="s">
        <v>134</v>
      </c>
      <c r="AA338" s="46"/>
      <c r="AB338" s="26"/>
      <c r="AC338" s="51" t="s">
        <v>135</v>
      </c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</row>
    <row r="339">
      <c r="A339" s="35">
        <v>46079.0</v>
      </c>
      <c r="B339" s="36" t="s">
        <v>2510</v>
      </c>
      <c r="C339" s="37" t="s">
        <v>2511</v>
      </c>
      <c r="D339" s="37" t="s">
        <v>2512</v>
      </c>
      <c r="E339" s="54">
        <v>4796665867</v>
      </c>
      <c r="F339" s="39" t="s">
        <v>2513</v>
      </c>
      <c r="G339" s="37" t="str">
        <f>IF(NOT(ISERROR(MATCH(D339,'Tannbleking - Oppsalg US'!D:D, 0))), "Ja", "")</f>
        <v/>
      </c>
      <c r="H339" s="37" t="s">
        <v>50</v>
      </c>
      <c r="I339" s="37" t="s">
        <v>107</v>
      </c>
      <c r="J339" s="40"/>
      <c r="K339" s="41"/>
      <c r="L339" s="42" t="s">
        <v>347</v>
      </c>
      <c r="M339" s="43">
        <v>6.891296560137E12</v>
      </c>
      <c r="N339" s="44"/>
      <c r="O339" s="53" t="str">
        <f t="shared" si="1"/>
        <v>26/02/2026</v>
      </c>
      <c r="P339" s="46">
        <f t="shared" si="2"/>
        <v>1772115480</v>
      </c>
      <c r="Q339" s="47"/>
      <c r="R339" s="48"/>
      <c r="S339" s="46"/>
      <c r="T339" s="49" t="s">
        <v>2514</v>
      </c>
      <c r="U339" s="49" t="s">
        <v>2515</v>
      </c>
      <c r="V339" s="49" t="s">
        <v>2516</v>
      </c>
      <c r="W339" s="46"/>
      <c r="X339" s="49" t="s">
        <v>132</v>
      </c>
      <c r="Y339" s="50" t="s">
        <v>133</v>
      </c>
      <c r="Z339" s="50" t="s">
        <v>134</v>
      </c>
      <c r="AA339" s="46"/>
      <c r="AB339" s="26"/>
      <c r="AC339" s="51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</row>
    <row r="340">
      <c r="A340" s="35">
        <v>46079.0</v>
      </c>
      <c r="B340" s="36" t="s">
        <v>2517</v>
      </c>
      <c r="C340" s="37" t="s">
        <v>2518</v>
      </c>
      <c r="D340" s="37" t="s">
        <v>2519</v>
      </c>
      <c r="E340" s="54">
        <v>4799551009</v>
      </c>
      <c r="F340" s="39" t="s">
        <v>1411</v>
      </c>
      <c r="G340" s="37" t="str">
        <f>IF(NOT(ISERROR(MATCH(D340,'Tannbleking - Oppsalg US'!D:D, 0))), "Ja", "")</f>
        <v/>
      </c>
      <c r="H340" s="37" t="s">
        <v>50</v>
      </c>
      <c r="I340" s="37" t="s">
        <v>107</v>
      </c>
      <c r="J340" s="40"/>
      <c r="K340" s="41"/>
      <c r="L340" s="42" t="s">
        <v>128</v>
      </c>
      <c r="M340" s="43" t="s">
        <v>2520</v>
      </c>
      <c r="N340" s="44">
        <v>6.891296560737E12</v>
      </c>
      <c r="O340" s="53" t="str">
        <f t="shared" si="1"/>
        <v>26/02/2026</v>
      </c>
      <c r="P340" s="46">
        <f t="shared" si="2"/>
        <v>1772132280</v>
      </c>
      <c r="Q340" s="47"/>
      <c r="R340" s="48"/>
      <c r="S340" s="46"/>
      <c r="T340" s="49" t="s">
        <v>2521</v>
      </c>
      <c r="U340" s="49" t="s">
        <v>2522</v>
      </c>
      <c r="V340" s="49" t="s">
        <v>2523</v>
      </c>
      <c r="W340" s="46"/>
      <c r="X340" s="49" t="s">
        <v>132</v>
      </c>
      <c r="Y340" s="50" t="s">
        <v>133</v>
      </c>
      <c r="Z340" s="50" t="s">
        <v>134</v>
      </c>
      <c r="AA340" s="46"/>
      <c r="AB340" s="26"/>
      <c r="AC340" s="51" t="s">
        <v>135</v>
      </c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</row>
    <row r="341">
      <c r="A341" s="35">
        <v>46080.0</v>
      </c>
      <c r="B341" s="36" t="s">
        <v>2524</v>
      </c>
      <c r="C341" s="37" t="s">
        <v>2525</v>
      </c>
      <c r="D341" s="37" t="s">
        <v>2526</v>
      </c>
      <c r="E341" s="54">
        <v>4797131637</v>
      </c>
      <c r="F341" s="39" t="s">
        <v>2527</v>
      </c>
      <c r="G341" s="37" t="str">
        <f>IF(NOT(ISERROR(MATCH(D341,'Tannbleking - Oppsalg US'!D:D, 0))), "Ja", "")</f>
        <v/>
      </c>
      <c r="H341" s="37" t="s">
        <v>50</v>
      </c>
      <c r="I341" s="37" t="s">
        <v>107</v>
      </c>
      <c r="J341" s="40" t="s">
        <v>2528</v>
      </c>
      <c r="K341" s="41"/>
      <c r="L341" s="42" t="s">
        <v>128</v>
      </c>
      <c r="M341" s="43" t="s">
        <v>2388</v>
      </c>
      <c r="N341" s="44">
        <v>6.891296559537E12</v>
      </c>
      <c r="O341" s="53" t="str">
        <f t="shared" si="1"/>
        <v>27/02/2026</v>
      </c>
      <c r="P341" s="46">
        <f t="shared" si="2"/>
        <v>1772230860</v>
      </c>
      <c r="Q341" s="47"/>
      <c r="R341" s="48"/>
      <c r="S341" s="46"/>
      <c r="T341" s="49" t="s">
        <v>2529</v>
      </c>
      <c r="U341" s="49" t="s">
        <v>2530</v>
      </c>
      <c r="V341" s="49" t="s">
        <v>2531</v>
      </c>
      <c r="W341" s="46"/>
      <c r="X341" s="49" t="s">
        <v>132</v>
      </c>
      <c r="Y341" s="50" t="s">
        <v>133</v>
      </c>
      <c r="Z341" s="50" t="s">
        <v>134</v>
      </c>
      <c r="AA341" s="46"/>
      <c r="AB341" s="26"/>
      <c r="AC341" s="51" t="s">
        <v>1686</v>
      </c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</row>
    <row r="342">
      <c r="A342" s="35">
        <v>46081.0</v>
      </c>
      <c r="B342" s="36" t="s">
        <v>2532</v>
      </c>
      <c r="C342" s="37" t="s">
        <v>2533</v>
      </c>
      <c r="D342" s="37" t="s">
        <v>2534</v>
      </c>
      <c r="E342" s="54">
        <v>4790809056</v>
      </c>
      <c r="F342" s="39" t="s">
        <v>2535</v>
      </c>
      <c r="G342" s="37" t="str">
        <f>IF(NOT(ISERROR(MATCH(D342,'Tannbleking - Oppsalg US'!D:D, 0))), "Ja", "")</f>
        <v/>
      </c>
      <c r="H342" s="37" t="s">
        <v>50</v>
      </c>
      <c r="I342" s="37" t="s">
        <v>44</v>
      </c>
      <c r="J342" s="40"/>
      <c r="K342" s="41"/>
      <c r="L342" s="42" t="s">
        <v>128</v>
      </c>
      <c r="M342" s="43" t="s">
        <v>2197</v>
      </c>
      <c r="N342" s="44">
        <v>6.891296560137E12</v>
      </c>
      <c r="O342" s="53" t="str">
        <f t="shared" si="1"/>
        <v>28/02/2026</v>
      </c>
      <c r="P342" s="46">
        <f t="shared" si="2"/>
        <v>1772255640</v>
      </c>
      <c r="Q342" s="47"/>
      <c r="R342" s="48"/>
      <c r="S342" s="46"/>
      <c r="T342" s="49" t="s">
        <v>2536</v>
      </c>
      <c r="U342" s="49" t="s">
        <v>2537</v>
      </c>
      <c r="V342" s="49" t="s">
        <v>2538</v>
      </c>
      <c r="W342" s="46"/>
      <c r="X342" s="49" t="s">
        <v>132</v>
      </c>
      <c r="Y342" s="50" t="s">
        <v>133</v>
      </c>
      <c r="Z342" s="50" t="s">
        <v>134</v>
      </c>
      <c r="AA342" s="46"/>
      <c r="AB342" s="26"/>
      <c r="AC342" s="51" t="s">
        <v>135</v>
      </c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</row>
    <row r="343">
      <c r="A343" s="35">
        <v>46081.0</v>
      </c>
      <c r="B343" s="36" t="s">
        <v>2539</v>
      </c>
      <c r="C343" s="37" t="s">
        <v>2540</v>
      </c>
      <c r="D343" s="37" t="s">
        <v>2541</v>
      </c>
      <c r="E343" s="54">
        <v>4797404538</v>
      </c>
      <c r="F343" s="39" t="s">
        <v>2542</v>
      </c>
      <c r="G343" s="37" t="str">
        <f>IF(NOT(ISERROR(MATCH(D343,'Tannbleking - Oppsalg US'!D:D, 0))), "Ja", "")</f>
        <v/>
      </c>
      <c r="H343" s="37" t="s">
        <v>50</v>
      </c>
      <c r="I343" s="37" t="s">
        <v>44</v>
      </c>
      <c r="J343" s="40"/>
      <c r="K343" s="41"/>
      <c r="L343" s="42" t="s">
        <v>128</v>
      </c>
      <c r="M343" s="43" t="s">
        <v>2520</v>
      </c>
      <c r="N343" s="44">
        <v>6.891296560737E12</v>
      </c>
      <c r="O343" s="53" t="str">
        <f t="shared" si="1"/>
        <v>28/02/2026</v>
      </c>
      <c r="P343" s="46">
        <f t="shared" si="2"/>
        <v>1772262960</v>
      </c>
      <c r="Q343" s="47"/>
      <c r="R343" s="48"/>
      <c r="S343" s="46"/>
      <c r="T343" s="49" t="s">
        <v>2543</v>
      </c>
      <c r="U343" s="49" t="s">
        <v>2544</v>
      </c>
      <c r="V343" s="49" t="s">
        <v>2545</v>
      </c>
      <c r="W343" s="46"/>
      <c r="X343" s="49" t="s">
        <v>132</v>
      </c>
      <c r="Y343" s="50" t="s">
        <v>133</v>
      </c>
      <c r="Z343" s="50" t="s">
        <v>134</v>
      </c>
      <c r="AA343" s="46"/>
      <c r="AB343" s="26"/>
      <c r="AC343" s="51" t="s">
        <v>280</v>
      </c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</row>
    <row r="344">
      <c r="A344" s="35">
        <v>46082.0</v>
      </c>
      <c r="B344" s="36" t="s">
        <v>2546</v>
      </c>
      <c r="C344" s="37" t="s">
        <v>2547</v>
      </c>
      <c r="D344" s="37" t="s">
        <v>2548</v>
      </c>
      <c r="E344" s="54">
        <v>4741221378</v>
      </c>
      <c r="F344" s="39" t="s">
        <v>2549</v>
      </c>
      <c r="G344" s="37" t="str">
        <f>IF(NOT(ISERROR(MATCH(D344,'Tannbleking - Oppsalg US'!D:D, 0))), "Ja", "")</f>
        <v/>
      </c>
      <c r="H344" s="37" t="s">
        <v>43</v>
      </c>
      <c r="I344" s="37" t="s">
        <v>72</v>
      </c>
      <c r="J344" s="40" t="s">
        <v>2319</v>
      </c>
      <c r="K344" s="41"/>
      <c r="L344" s="42" t="s">
        <v>128</v>
      </c>
      <c r="M344" s="43" t="s">
        <v>2197</v>
      </c>
      <c r="N344" s="44">
        <v>6.891296560137E12</v>
      </c>
      <c r="O344" s="53" t="str">
        <f t="shared" si="1"/>
        <v>01/03/2026</v>
      </c>
      <c r="P344" s="46">
        <f t="shared" si="2"/>
        <v>1772347200</v>
      </c>
      <c r="Q344" s="47"/>
      <c r="R344" s="48"/>
      <c r="S344" s="46"/>
      <c r="T344" s="49" t="s">
        <v>2550</v>
      </c>
      <c r="U344" s="49" t="s">
        <v>2551</v>
      </c>
      <c r="V344" s="49" t="s">
        <v>2552</v>
      </c>
      <c r="W344" s="46"/>
      <c r="X344" s="49" t="s">
        <v>132</v>
      </c>
      <c r="Y344" s="50" t="s">
        <v>133</v>
      </c>
      <c r="Z344" s="50" t="s">
        <v>134</v>
      </c>
      <c r="AA344" s="46"/>
      <c r="AB344" s="26"/>
      <c r="AC344" s="51" t="s">
        <v>135</v>
      </c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</row>
    <row r="345">
      <c r="A345" s="35">
        <v>46082.0</v>
      </c>
      <c r="B345" s="36" t="s">
        <v>1579</v>
      </c>
      <c r="C345" s="37" t="s">
        <v>2553</v>
      </c>
      <c r="D345" s="37" t="s">
        <v>2554</v>
      </c>
      <c r="E345" s="54">
        <v>4793093354</v>
      </c>
      <c r="F345" s="39" t="s">
        <v>2555</v>
      </c>
      <c r="G345" s="37" t="str">
        <f>IF(NOT(ISERROR(MATCH(D345,'Tannbleking - Oppsalg US'!D:D, 0))), "Ja", "")</f>
        <v/>
      </c>
      <c r="H345" s="37" t="s">
        <v>50</v>
      </c>
      <c r="I345" s="37" t="s">
        <v>44</v>
      </c>
      <c r="J345" s="40"/>
      <c r="K345" s="41"/>
      <c r="L345" s="42" t="s">
        <v>128</v>
      </c>
      <c r="M345" s="43" t="s">
        <v>2439</v>
      </c>
      <c r="N345" s="44">
        <v>6.891296561737E12</v>
      </c>
      <c r="O345" s="53" t="str">
        <f t="shared" si="1"/>
        <v>01/03/2026</v>
      </c>
      <c r="P345" s="46">
        <f t="shared" si="2"/>
        <v>1772348160</v>
      </c>
      <c r="Q345" s="47"/>
      <c r="R345" s="48"/>
      <c r="S345" s="46"/>
      <c r="T345" s="49" t="s">
        <v>2556</v>
      </c>
      <c r="U345" s="49" t="s">
        <v>2557</v>
      </c>
      <c r="V345" s="49" t="s">
        <v>2558</v>
      </c>
      <c r="W345" s="46"/>
      <c r="X345" s="49" t="s">
        <v>132</v>
      </c>
      <c r="Y345" s="50" t="s">
        <v>133</v>
      </c>
      <c r="Z345" s="50" t="s">
        <v>134</v>
      </c>
      <c r="AA345" s="46"/>
      <c r="AB345" s="26"/>
      <c r="AC345" s="51" t="s">
        <v>135</v>
      </c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</row>
    <row r="346">
      <c r="A346" s="35">
        <v>46083.0</v>
      </c>
      <c r="B346" s="36" t="s">
        <v>1504</v>
      </c>
      <c r="C346" s="37" t="s">
        <v>2559</v>
      </c>
      <c r="D346" s="37" t="s">
        <v>2560</v>
      </c>
      <c r="E346" s="54">
        <v>4798352305</v>
      </c>
      <c r="F346" s="39" t="s">
        <v>2561</v>
      </c>
      <c r="G346" s="37" t="str">
        <f>IF(NOT(ISERROR(MATCH(D346,'Tannbleking - Oppsalg US'!D:D, 0))), "Ja", "")</f>
        <v/>
      </c>
      <c r="H346" s="37" t="s">
        <v>50</v>
      </c>
      <c r="I346" s="37" t="s">
        <v>140</v>
      </c>
      <c r="J346" s="40"/>
      <c r="K346" s="41"/>
      <c r="L346" s="42" t="s">
        <v>128</v>
      </c>
      <c r="M346" s="43" t="s">
        <v>2388</v>
      </c>
      <c r="N346" s="44">
        <v>6.891296559537E12</v>
      </c>
      <c r="O346" s="53" t="str">
        <f t="shared" si="1"/>
        <v>02/03/2026</v>
      </c>
      <c r="P346" s="46">
        <f t="shared" si="2"/>
        <v>1772411340</v>
      </c>
      <c r="Q346" s="47"/>
      <c r="R346" s="48"/>
      <c r="S346" s="46"/>
      <c r="T346" s="49" t="s">
        <v>2562</v>
      </c>
      <c r="U346" s="49" t="s">
        <v>2563</v>
      </c>
      <c r="V346" s="49" t="s">
        <v>2564</v>
      </c>
      <c r="W346" s="46"/>
      <c r="X346" s="49" t="s">
        <v>132</v>
      </c>
      <c r="Y346" s="50" t="s">
        <v>133</v>
      </c>
      <c r="Z346" s="50" t="s">
        <v>134</v>
      </c>
      <c r="AA346" s="46"/>
      <c r="AB346" s="26"/>
      <c r="AC346" s="51" t="s">
        <v>280</v>
      </c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</row>
    <row r="347">
      <c r="A347" s="35">
        <v>46083.0</v>
      </c>
      <c r="B347" s="36" t="s">
        <v>1140</v>
      </c>
      <c r="C347" s="37" t="s">
        <v>2565</v>
      </c>
      <c r="D347" s="37" t="s">
        <v>2566</v>
      </c>
      <c r="E347" s="54">
        <v>4740557119</v>
      </c>
      <c r="F347" s="39" t="s">
        <v>2567</v>
      </c>
      <c r="G347" s="37" t="str">
        <f>IF(NOT(ISERROR(MATCH(D347,'Tannbleking - Oppsalg US'!D:D, 0))), "Ja", "")</f>
        <v/>
      </c>
      <c r="H347" s="37" t="s">
        <v>50</v>
      </c>
      <c r="I347" s="37" t="s">
        <v>44</v>
      </c>
      <c r="J347" s="40"/>
      <c r="K347" s="41"/>
      <c r="L347" s="42" t="s">
        <v>128</v>
      </c>
      <c r="M347" s="43" t="s">
        <v>2197</v>
      </c>
      <c r="N347" s="44">
        <v>6.891296560137E12</v>
      </c>
      <c r="O347" s="53" t="str">
        <f t="shared" si="1"/>
        <v>02/03/2026</v>
      </c>
      <c r="P347" s="46">
        <f t="shared" si="2"/>
        <v>1772448180</v>
      </c>
      <c r="Q347" s="47"/>
      <c r="R347" s="48"/>
      <c r="S347" s="46"/>
      <c r="T347" s="49" t="s">
        <v>2568</v>
      </c>
      <c r="U347" s="49" t="s">
        <v>2569</v>
      </c>
      <c r="V347" s="49" t="s">
        <v>2570</v>
      </c>
      <c r="W347" s="46"/>
      <c r="X347" s="49" t="s">
        <v>132</v>
      </c>
      <c r="Y347" s="50" t="s">
        <v>133</v>
      </c>
      <c r="Z347" s="50" t="s">
        <v>134</v>
      </c>
      <c r="AA347" s="46"/>
      <c r="AB347" s="26"/>
      <c r="AC347" s="51" t="s">
        <v>1282</v>
      </c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>
      <c r="A348" s="35">
        <v>46084.0</v>
      </c>
      <c r="B348" s="36" t="s">
        <v>2571</v>
      </c>
      <c r="C348" s="37" t="s">
        <v>2572</v>
      </c>
      <c r="D348" s="37" t="s">
        <v>2573</v>
      </c>
      <c r="E348" s="54">
        <v>4748998077</v>
      </c>
      <c r="F348" s="39" t="s">
        <v>2574</v>
      </c>
      <c r="G348" s="37" t="str">
        <f>IF(NOT(ISERROR(MATCH(D348,'Tannbleking - Oppsalg US'!D:D, 0))), "Ja", "")</f>
        <v/>
      </c>
      <c r="H348" s="37" t="s">
        <v>90</v>
      </c>
      <c r="I348" s="37" t="s">
        <v>44</v>
      </c>
      <c r="J348" s="40" t="s">
        <v>2575</v>
      </c>
      <c r="K348" s="41"/>
      <c r="L348" s="42" t="s">
        <v>128</v>
      </c>
      <c r="M348" s="43" t="s">
        <v>2197</v>
      </c>
      <c r="N348" s="44">
        <v>6.891296560137E12</v>
      </c>
      <c r="O348" s="53" t="str">
        <f t="shared" si="1"/>
        <v>03/03/2026</v>
      </c>
      <c r="P348" s="46">
        <f t="shared" si="2"/>
        <v>1772516580</v>
      </c>
      <c r="Q348" s="47"/>
      <c r="R348" s="48"/>
      <c r="S348" s="46"/>
      <c r="T348" s="49" t="s">
        <v>2576</v>
      </c>
      <c r="U348" s="49" t="s">
        <v>2577</v>
      </c>
      <c r="V348" s="49" t="s">
        <v>2578</v>
      </c>
      <c r="W348" s="46"/>
      <c r="X348" s="49" t="s">
        <v>132</v>
      </c>
      <c r="Y348" s="50" t="s">
        <v>133</v>
      </c>
      <c r="Z348" s="50" t="s">
        <v>134</v>
      </c>
      <c r="AA348" s="46"/>
      <c r="AB348" s="26"/>
      <c r="AC348" s="51" t="s">
        <v>135</v>
      </c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>
      <c r="A349" s="35">
        <v>46084.0</v>
      </c>
      <c r="B349" s="36" t="s">
        <v>2579</v>
      </c>
      <c r="C349" s="37" t="s">
        <v>2580</v>
      </c>
      <c r="D349" s="37" t="s">
        <v>2581</v>
      </c>
      <c r="E349" s="54">
        <v>4748927482</v>
      </c>
      <c r="F349" s="39" t="s">
        <v>2582</v>
      </c>
      <c r="G349" s="37" t="str">
        <f>IF(NOT(ISERROR(MATCH(D349,'Tannbleking - Oppsalg US'!D:D, 0))), "Ja", "")</f>
        <v/>
      </c>
      <c r="H349" s="37" t="s">
        <v>43</v>
      </c>
      <c r="I349" s="37" t="s">
        <v>107</v>
      </c>
      <c r="J349" s="40" t="s">
        <v>2583</v>
      </c>
      <c r="K349" s="41"/>
      <c r="L349" s="42" t="s">
        <v>128</v>
      </c>
      <c r="M349" s="43" t="s">
        <v>2197</v>
      </c>
      <c r="N349" s="44">
        <v>6.891296560137E12</v>
      </c>
      <c r="O349" s="53" t="str">
        <f t="shared" si="1"/>
        <v>03/03/2026</v>
      </c>
      <c r="P349" s="46">
        <f t="shared" si="2"/>
        <v>1772566200</v>
      </c>
      <c r="Q349" s="47"/>
      <c r="R349" s="48"/>
      <c r="S349" s="46"/>
      <c r="T349" s="49" t="s">
        <v>2584</v>
      </c>
      <c r="U349" s="49" t="s">
        <v>2585</v>
      </c>
      <c r="V349" s="49" t="s">
        <v>2586</v>
      </c>
      <c r="W349" s="46"/>
      <c r="X349" s="49" t="s">
        <v>132</v>
      </c>
      <c r="Y349" s="50" t="s">
        <v>133</v>
      </c>
      <c r="Z349" s="50" t="s">
        <v>134</v>
      </c>
      <c r="AA349" s="46"/>
      <c r="AB349" s="26"/>
      <c r="AC349" s="51" t="s">
        <v>135</v>
      </c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</row>
    <row r="350">
      <c r="A350" s="35">
        <v>46085.0</v>
      </c>
      <c r="B350" s="36" t="s">
        <v>2587</v>
      </c>
      <c r="C350" s="37" t="s">
        <v>2588</v>
      </c>
      <c r="D350" s="37" t="s">
        <v>2589</v>
      </c>
      <c r="E350" s="54">
        <v>4745813908</v>
      </c>
      <c r="F350" s="39" t="s">
        <v>2590</v>
      </c>
      <c r="G350" s="37" t="str">
        <f>IF(NOT(ISERROR(MATCH(D350,'Tannbleking - Oppsalg US'!D:D, 0))), "Ja", "")</f>
        <v/>
      </c>
      <c r="H350" s="37" t="s">
        <v>50</v>
      </c>
      <c r="I350" s="37" t="s">
        <v>44</v>
      </c>
      <c r="J350" s="40"/>
      <c r="K350" s="41"/>
      <c r="L350" s="42"/>
      <c r="M350" s="43"/>
      <c r="N350" s="44"/>
      <c r="O350" s="53" t="str">
        <f t="shared" si="1"/>
        <v>04/03/2026</v>
      </c>
      <c r="P350" s="46">
        <f t="shared" si="2"/>
        <v>1772662080</v>
      </c>
      <c r="Q350" s="47"/>
      <c r="R350" s="48"/>
      <c r="S350" s="46"/>
      <c r="T350" s="49" t="s">
        <v>2591</v>
      </c>
      <c r="U350" s="49" t="s">
        <v>2592</v>
      </c>
      <c r="V350" s="49" t="s">
        <v>2593</v>
      </c>
      <c r="W350" s="46"/>
      <c r="X350" s="49" t="s">
        <v>132</v>
      </c>
      <c r="Y350" s="50" t="s">
        <v>133</v>
      </c>
      <c r="Z350" s="50" t="s">
        <v>134</v>
      </c>
      <c r="AA350" s="46"/>
      <c r="AB350" s="26"/>
      <c r="AC350" s="51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</row>
    <row r="351">
      <c r="A351" s="35">
        <v>46086.0</v>
      </c>
      <c r="B351" s="36" t="s">
        <v>2594</v>
      </c>
      <c r="C351" s="37" t="s">
        <v>2595</v>
      </c>
      <c r="D351" s="37" t="s">
        <v>2596</v>
      </c>
      <c r="E351" s="54">
        <v>4747993127</v>
      </c>
      <c r="F351" s="39" t="s">
        <v>2597</v>
      </c>
      <c r="G351" s="37" t="str">
        <f>IF(NOT(ISERROR(MATCH(D351,'Tannbleking - Oppsalg US'!D:D, 0))), "Ja", "")</f>
        <v/>
      </c>
      <c r="H351" s="37" t="s">
        <v>50</v>
      </c>
      <c r="I351" s="37" t="s">
        <v>107</v>
      </c>
      <c r="J351" s="40"/>
      <c r="K351" s="41"/>
      <c r="L351" s="42" t="s">
        <v>128</v>
      </c>
      <c r="M351" s="43" t="s">
        <v>2197</v>
      </c>
      <c r="N351" s="44">
        <v>6.891296560137E12</v>
      </c>
      <c r="O351" s="53" t="str">
        <f t="shared" si="1"/>
        <v>05/03/2026</v>
      </c>
      <c r="P351" s="46">
        <f t="shared" si="2"/>
        <v>1772722680</v>
      </c>
      <c r="Q351" s="47"/>
      <c r="R351" s="48"/>
      <c r="S351" s="46"/>
      <c r="T351" s="49" t="s">
        <v>2598</v>
      </c>
      <c r="U351" s="49" t="s">
        <v>2599</v>
      </c>
      <c r="V351" s="49" t="s">
        <v>2600</v>
      </c>
      <c r="W351" s="46"/>
      <c r="X351" s="49" t="s">
        <v>132</v>
      </c>
      <c r="Y351" s="50" t="s">
        <v>133</v>
      </c>
      <c r="Z351" s="50" t="s">
        <v>134</v>
      </c>
      <c r="AA351" s="46"/>
      <c r="AB351" s="26"/>
      <c r="AC351" s="51" t="s">
        <v>135</v>
      </c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</row>
    <row r="352">
      <c r="A352" s="35">
        <v>46087.0</v>
      </c>
      <c r="B352" s="36" t="s">
        <v>2452</v>
      </c>
      <c r="C352" s="37" t="s">
        <v>2601</v>
      </c>
      <c r="D352" s="37" t="s">
        <v>2602</v>
      </c>
      <c r="E352" s="54">
        <v>4746377303</v>
      </c>
      <c r="F352" s="39" t="s">
        <v>2603</v>
      </c>
      <c r="G352" s="37" t="str">
        <f>IF(NOT(ISERROR(MATCH(D352,'Tannbleking - Oppsalg US'!D:D, 0))), "Ja", "")</f>
        <v/>
      </c>
      <c r="H352" s="37" t="s">
        <v>50</v>
      </c>
      <c r="I352" s="37" t="s">
        <v>44</v>
      </c>
      <c r="J352" s="40"/>
      <c r="K352" s="41"/>
      <c r="L352" s="42" t="s">
        <v>128</v>
      </c>
      <c r="M352" s="43" t="s">
        <v>2197</v>
      </c>
      <c r="N352" s="44">
        <v>6.891296560137E12</v>
      </c>
      <c r="O352" s="53" t="str">
        <f t="shared" si="1"/>
        <v>06/03/2026</v>
      </c>
      <c r="P352" s="46">
        <f t="shared" si="2"/>
        <v>1772787000</v>
      </c>
      <c r="Q352" s="47"/>
      <c r="R352" s="48"/>
      <c r="S352" s="46"/>
      <c r="T352" s="49" t="s">
        <v>2604</v>
      </c>
      <c r="U352" s="49" t="s">
        <v>2605</v>
      </c>
      <c r="V352" s="49" t="s">
        <v>2606</v>
      </c>
      <c r="W352" s="46"/>
      <c r="X352" s="49" t="s">
        <v>132</v>
      </c>
      <c r="Y352" s="50" t="s">
        <v>133</v>
      </c>
      <c r="Z352" s="50" t="s">
        <v>134</v>
      </c>
      <c r="AA352" s="46"/>
      <c r="AB352" s="26"/>
      <c r="AC352" s="51" t="s">
        <v>135</v>
      </c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</row>
    <row r="353">
      <c r="A353" s="35">
        <v>46087.0</v>
      </c>
      <c r="B353" s="36" t="s">
        <v>2607</v>
      </c>
      <c r="C353" s="37" t="s">
        <v>2608</v>
      </c>
      <c r="D353" s="37" t="s">
        <v>2609</v>
      </c>
      <c r="E353" s="54">
        <v>4797276249</v>
      </c>
      <c r="F353" s="39" t="s">
        <v>2610</v>
      </c>
      <c r="G353" s="37" t="str">
        <f>IF(NOT(ISERROR(MATCH(D353,'Tannbleking - Oppsalg US'!D:D, 0))), "Ja", "")</f>
        <v/>
      </c>
      <c r="H353" s="37" t="s">
        <v>676</v>
      </c>
      <c r="I353" s="37" t="s">
        <v>44</v>
      </c>
      <c r="J353" s="40"/>
      <c r="K353" s="41"/>
      <c r="L353" s="42" t="s">
        <v>128</v>
      </c>
      <c r="M353" s="43" t="s">
        <v>1598</v>
      </c>
      <c r="N353" s="44">
        <v>6.880738889537E12</v>
      </c>
      <c r="O353" s="53" t="str">
        <f t="shared" si="1"/>
        <v>06/03/2026</v>
      </c>
      <c r="P353" s="46">
        <f t="shared" si="2"/>
        <v>1772806740</v>
      </c>
      <c r="Q353" s="47"/>
      <c r="R353" s="48"/>
      <c r="S353" s="46"/>
      <c r="T353" s="49" t="s">
        <v>2611</v>
      </c>
      <c r="U353" s="49" t="s">
        <v>2612</v>
      </c>
      <c r="V353" s="49" t="s">
        <v>2613</v>
      </c>
      <c r="W353" s="46"/>
      <c r="X353" s="49" t="s">
        <v>132</v>
      </c>
      <c r="Y353" s="50" t="s">
        <v>133</v>
      </c>
      <c r="Z353" s="50" t="s">
        <v>134</v>
      </c>
      <c r="AA353" s="46"/>
      <c r="AB353" s="26"/>
      <c r="AC353" s="51" t="s">
        <v>1686</v>
      </c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</row>
    <row r="354">
      <c r="A354" s="35">
        <v>46088.0</v>
      </c>
      <c r="B354" s="36" t="s">
        <v>2614</v>
      </c>
      <c r="C354" s="37" t="s">
        <v>2615</v>
      </c>
      <c r="D354" s="37" t="s">
        <v>2616</v>
      </c>
      <c r="E354" s="54">
        <v>4740063780</v>
      </c>
      <c r="F354" s="39" t="s">
        <v>2617</v>
      </c>
      <c r="G354" s="37" t="str">
        <f>IF(NOT(ISERROR(MATCH(D354,'Tannbleking - Oppsalg US'!D:D, 0))), "Ja", "")</f>
        <v/>
      </c>
      <c r="H354" s="37" t="s">
        <v>50</v>
      </c>
      <c r="I354" s="37" t="s">
        <v>44</v>
      </c>
      <c r="J354" s="40"/>
      <c r="K354" s="41"/>
      <c r="L354" s="42" t="s">
        <v>128</v>
      </c>
      <c r="M354" s="43" t="s">
        <v>2197</v>
      </c>
      <c r="N354" s="44">
        <v>6.891296560137E12</v>
      </c>
      <c r="O354" s="53" t="str">
        <f t="shared" si="1"/>
        <v>07/03/2026</v>
      </c>
      <c r="P354" s="46">
        <f t="shared" si="2"/>
        <v>1772887560</v>
      </c>
      <c r="Q354" s="47"/>
      <c r="R354" s="48"/>
      <c r="S354" s="46"/>
      <c r="T354" s="49" t="s">
        <v>2618</v>
      </c>
      <c r="U354" s="49" t="s">
        <v>2619</v>
      </c>
      <c r="V354" s="49" t="s">
        <v>2620</v>
      </c>
      <c r="W354" s="46"/>
      <c r="X354" s="49" t="s">
        <v>132</v>
      </c>
      <c r="Y354" s="50" t="s">
        <v>133</v>
      </c>
      <c r="Z354" s="50" t="s">
        <v>134</v>
      </c>
      <c r="AA354" s="46"/>
      <c r="AB354" s="26"/>
      <c r="AC354" s="51" t="s">
        <v>135</v>
      </c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</row>
    <row r="355">
      <c r="A355" s="35">
        <v>46089.0</v>
      </c>
      <c r="B355" s="36" t="s">
        <v>2621</v>
      </c>
      <c r="C355" s="37" t="s">
        <v>2622</v>
      </c>
      <c r="D355" s="37" t="s">
        <v>2623</v>
      </c>
      <c r="E355" s="54">
        <v>4794873710</v>
      </c>
      <c r="F355" s="39" t="s">
        <v>2624</v>
      </c>
      <c r="G355" s="37" t="str">
        <f>IF(NOT(ISERROR(MATCH(D355,'Tannbleking - Oppsalg US'!D:D, 0))), "Ja", "")</f>
        <v/>
      </c>
      <c r="H355" s="37" t="s">
        <v>50</v>
      </c>
      <c r="I355" s="37" t="s">
        <v>44</v>
      </c>
      <c r="J355" s="40"/>
      <c r="K355" s="41"/>
      <c r="L355" s="42" t="s">
        <v>128</v>
      </c>
      <c r="M355" s="43" t="s">
        <v>2197</v>
      </c>
      <c r="N355" s="44">
        <v>6.891296560137E12</v>
      </c>
      <c r="O355" s="53" t="str">
        <f t="shared" si="1"/>
        <v>08/03/2026</v>
      </c>
      <c r="P355" s="46">
        <f t="shared" si="2"/>
        <v>1772945640</v>
      </c>
      <c r="Q355" s="47"/>
      <c r="R355" s="48"/>
      <c r="S355" s="46"/>
      <c r="T355" s="49" t="s">
        <v>2625</v>
      </c>
      <c r="U355" s="49" t="s">
        <v>2626</v>
      </c>
      <c r="V355" s="49" t="s">
        <v>2627</v>
      </c>
      <c r="W355" s="46"/>
      <c r="X355" s="49" t="s">
        <v>132</v>
      </c>
      <c r="Y355" s="50" t="s">
        <v>133</v>
      </c>
      <c r="Z355" s="50" t="s">
        <v>134</v>
      </c>
      <c r="AA355" s="46"/>
      <c r="AB355" s="26"/>
      <c r="AC355" s="51" t="s">
        <v>144</v>
      </c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</row>
    <row r="356">
      <c r="A356" s="35">
        <v>46089.0</v>
      </c>
      <c r="B356" s="36" t="s">
        <v>2628</v>
      </c>
      <c r="C356" s="37" t="s">
        <v>2629</v>
      </c>
      <c r="D356" s="37" t="s">
        <v>2630</v>
      </c>
      <c r="E356" s="54">
        <v>4799860871</v>
      </c>
      <c r="F356" s="39" t="s">
        <v>2631</v>
      </c>
      <c r="G356" s="37" t="str">
        <f>IF(NOT(ISERROR(MATCH(D356,'Tannbleking - Oppsalg US'!D:D, 0))), "Ja", "")</f>
        <v/>
      </c>
      <c r="H356" s="37" t="s">
        <v>676</v>
      </c>
      <c r="I356" s="37" t="s">
        <v>44</v>
      </c>
      <c r="J356" s="40" t="s">
        <v>2632</v>
      </c>
      <c r="K356" s="41"/>
      <c r="L356" s="42" t="s">
        <v>128</v>
      </c>
      <c r="M356" s="43" t="s">
        <v>2197</v>
      </c>
      <c r="N356" s="44">
        <v>6.891296560137E12</v>
      </c>
      <c r="O356" s="53" t="str">
        <f t="shared" si="1"/>
        <v>08/03/2026</v>
      </c>
      <c r="P356" s="46">
        <f t="shared" si="2"/>
        <v>1772974440</v>
      </c>
      <c r="Q356" s="47"/>
      <c r="R356" s="48"/>
      <c r="S356" s="46"/>
      <c r="T356" s="49" t="s">
        <v>2633</v>
      </c>
      <c r="U356" s="49" t="s">
        <v>2634</v>
      </c>
      <c r="V356" s="49" t="s">
        <v>2635</v>
      </c>
      <c r="W356" s="46"/>
      <c r="X356" s="49" t="s">
        <v>132</v>
      </c>
      <c r="Y356" s="50" t="s">
        <v>133</v>
      </c>
      <c r="Z356" s="50" t="s">
        <v>134</v>
      </c>
      <c r="AA356" s="46"/>
      <c r="AB356" s="26"/>
      <c r="AC356" s="51" t="s">
        <v>135</v>
      </c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</row>
    <row r="357">
      <c r="A357" s="35">
        <v>46090.0</v>
      </c>
      <c r="B357" s="36" t="s">
        <v>2636</v>
      </c>
      <c r="C357" s="37" t="s">
        <v>1869</v>
      </c>
      <c r="D357" s="37" t="s">
        <v>1870</v>
      </c>
      <c r="E357" s="54">
        <v>4796716877</v>
      </c>
      <c r="F357" s="39" t="s">
        <v>2617</v>
      </c>
      <c r="G357" s="37" t="str">
        <f>IF(NOT(ISERROR(MATCH(D357,'Tannbleking - Oppsalg US'!D:D, 0))), "Ja", "")</f>
        <v/>
      </c>
      <c r="H357" s="37" t="s">
        <v>50</v>
      </c>
      <c r="I357" s="37" t="s">
        <v>44</v>
      </c>
      <c r="J357" s="40"/>
      <c r="K357" s="41"/>
      <c r="L357" s="42" t="s">
        <v>128</v>
      </c>
      <c r="M357" s="43" t="s">
        <v>2197</v>
      </c>
      <c r="N357" s="44">
        <v>6.891296560137E12</v>
      </c>
      <c r="O357" s="53" t="str">
        <f t="shared" si="1"/>
        <v>09/03/2026</v>
      </c>
      <c r="P357" s="46">
        <f t="shared" si="2"/>
        <v>1773063360</v>
      </c>
      <c r="Q357" s="47"/>
      <c r="R357" s="48"/>
      <c r="S357" s="46"/>
      <c r="T357" s="49" t="s">
        <v>1873</v>
      </c>
      <c r="U357" s="49" t="s">
        <v>1874</v>
      </c>
      <c r="V357" s="49" t="s">
        <v>2637</v>
      </c>
      <c r="W357" s="46"/>
      <c r="X357" s="49" t="s">
        <v>132</v>
      </c>
      <c r="Y357" s="50" t="s">
        <v>133</v>
      </c>
      <c r="Z357" s="50" t="s">
        <v>134</v>
      </c>
      <c r="AA357" s="46"/>
      <c r="AB357" s="26"/>
      <c r="AC357" s="51" t="s">
        <v>144</v>
      </c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</row>
    <row r="358">
      <c r="A358" s="35">
        <v>46090.0</v>
      </c>
      <c r="B358" s="36" t="s">
        <v>2638</v>
      </c>
      <c r="C358" s="37" t="s">
        <v>2639</v>
      </c>
      <c r="D358" s="37" t="s">
        <v>2640</v>
      </c>
      <c r="E358" s="54">
        <v>4790079163</v>
      </c>
      <c r="F358" s="39" t="s">
        <v>2641</v>
      </c>
      <c r="G358" s="37" t="str">
        <f>IF(NOT(ISERROR(MATCH(D358,'Tannbleking - Oppsalg US'!D:D, 0))), "Ja", "")</f>
        <v/>
      </c>
      <c r="H358" s="37" t="s">
        <v>50</v>
      </c>
      <c r="I358" s="37" t="s">
        <v>44</v>
      </c>
      <c r="J358" s="40"/>
      <c r="K358" s="41"/>
      <c r="L358" s="42" t="s">
        <v>128</v>
      </c>
      <c r="M358" s="43" t="s">
        <v>2197</v>
      </c>
      <c r="N358" s="44">
        <v>6.891296560137E12</v>
      </c>
      <c r="O358" s="53" t="str">
        <f t="shared" si="1"/>
        <v>09/03/2026</v>
      </c>
      <c r="P358" s="46">
        <f t="shared" si="2"/>
        <v>1773078660</v>
      </c>
      <c r="Q358" s="47"/>
      <c r="R358" s="48"/>
      <c r="S358" s="46"/>
      <c r="T358" s="49" t="s">
        <v>2642</v>
      </c>
      <c r="U358" s="49" t="s">
        <v>2643</v>
      </c>
      <c r="V358" s="49" t="s">
        <v>2644</v>
      </c>
      <c r="W358" s="46"/>
      <c r="X358" s="49" t="s">
        <v>132</v>
      </c>
      <c r="Y358" s="50" t="s">
        <v>133</v>
      </c>
      <c r="Z358" s="50" t="s">
        <v>134</v>
      </c>
      <c r="AA358" s="46"/>
      <c r="AB358" s="26"/>
      <c r="AC358" s="51" t="s">
        <v>135</v>
      </c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</row>
    <row r="359">
      <c r="A359" s="35">
        <v>46091.0</v>
      </c>
      <c r="B359" s="36" t="s">
        <v>2645</v>
      </c>
      <c r="C359" s="37" t="s">
        <v>2646</v>
      </c>
      <c r="D359" s="37" t="s">
        <v>2647</v>
      </c>
      <c r="E359" s="54">
        <v>4792097183</v>
      </c>
      <c r="F359" s="39" t="s">
        <v>2648</v>
      </c>
      <c r="G359" s="37" t="str">
        <f>IF(NOT(ISERROR(MATCH(D359,'Tannbleking - Oppsalg US'!D:D, 0))), "Ja", "")</f>
        <v/>
      </c>
      <c r="H359" s="37" t="s">
        <v>50</v>
      </c>
      <c r="I359" s="37" t="s">
        <v>44</v>
      </c>
      <c r="J359" s="40"/>
      <c r="K359" s="41"/>
      <c r="L359" s="42" t="s">
        <v>128</v>
      </c>
      <c r="M359" s="43" t="s">
        <v>2388</v>
      </c>
      <c r="N359" s="44">
        <v>6.891296559537E12</v>
      </c>
      <c r="O359" s="53" t="str">
        <f t="shared" si="1"/>
        <v>10/03/2026</v>
      </c>
      <c r="P359" s="46">
        <f t="shared" si="2"/>
        <v>1773102120</v>
      </c>
      <c r="Q359" s="47"/>
      <c r="R359" s="48"/>
      <c r="S359" s="46"/>
      <c r="T359" s="49" t="s">
        <v>2649</v>
      </c>
      <c r="U359" s="49" t="s">
        <v>2650</v>
      </c>
      <c r="V359" s="49" t="s">
        <v>2651</v>
      </c>
      <c r="W359" s="46"/>
      <c r="X359" s="49" t="s">
        <v>132</v>
      </c>
      <c r="Y359" s="50" t="s">
        <v>133</v>
      </c>
      <c r="Z359" s="50" t="s">
        <v>134</v>
      </c>
      <c r="AA359" s="46"/>
      <c r="AB359" s="26"/>
      <c r="AC359" s="51" t="s">
        <v>144</v>
      </c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</row>
    <row r="360">
      <c r="A360" s="35">
        <v>46092.0</v>
      </c>
      <c r="B360" s="36" t="s">
        <v>2652</v>
      </c>
      <c r="C360" s="37" t="s">
        <v>2653</v>
      </c>
      <c r="D360" s="37" t="s">
        <v>2654</v>
      </c>
      <c r="E360" s="54">
        <v>4748676155</v>
      </c>
      <c r="F360" s="39" t="s">
        <v>2655</v>
      </c>
      <c r="G360" s="37" t="str">
        <f>IF(NOT(ISERROR(MATCH(D360,'Tannbleking - Oppsalg US'!D:D, 0))), "Ja", "")</f>
        <v/>
      </c>
      <c r="H360" s="37" t="s">
        <v>43</v>
      </c>
      <c r="I360" s="37" t="s">
        <v>72</v>
      </c>
      <c r="J360" s="40" t="s">
        <v>2656</v>
      </c>
      <c r="K360" s="41"/>
      <c r="L360" s="42" t="s">
        <v>128</v>
      </c>
      <c r="M360" s="43" t="s">
        <v>2439</v>
      </c>
      <c r="N360" s="44">
        <v>6.906750046937E12</v>
      </c>
      <c r="O360" s="53" t="str">
        <f t="shared" si="1"/>
        <v>11/03/2026</v>
      </c>
      <c r="P360" s="46">
        <f t="shared" si="2"/>
        <v>1773236760</v>
      </c>
      <c r="Q360" s="47"/>
      <c r="R360" s="48"/>
      <c r="S360" s="46"/>
      <c r="T360" s="49" t="s">
        <v>2657</v>
      </c>
      <c r="U360" s="49" t="s">
        <v>2658</v>
      </c>
      <c r="V360" s="49" t="s">
        <v>2659</v>
      </c>
      <c r="W360" s="46"/>
      <c r="X360" s="49" t="s">
        <v>132</v>
      </c>
      <c r="Y360" s="50" t="s">
        <v>133</v>
      </c>
      <c r="Z360" s="50" t="s">
        <v>134</v>
      </c>
      <c r="AA360" s="46"/>
      <c r="AB360" s="26"/>
      <c r="AC360" s="51" t="s">
        <v>144</v>
      </c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</row>
    <row r="361">
      <c r="A361" s="35">
        <v>46092.0</v>
      </c>
      <c r="B361" s="36" t="s">
        <v>2660</v>
      </c>
      <c r="C361" s="37" t="s">
        <v>2661</v>
      </c>
      <c r="D361" s="37" t="s">
        <v>2662</v>
      </c>
      <c r="E361" s="54">
        <v>4747908442</v>
      </c>
      <c r="F361" s="39" t="s">
        <v>2663</v>
      </c>
      <c r="G361" s="37" t="str">
        <f>IF(NOT(ISERROR(MATCH(D361,'Tannbleking - Oppsalg US'!D:D, 0))), "Ja", "")</f>
        <v/>
      </c>
      <c r="H361" s="37" t="s">
        <v>50</v>
      </c>
      <c r="I361" s="37" t="s">
        <v>44</v>
      </c>
      <c r="J361" s="40"/>
      <c r="K361" s="41"/>
      <c r="L361" s="42" t="s">
        <v>128</v>
      </c>
      <c r="M361" s="43" t="s">
        <v>2081</v>
      </c>
      <c r="N361" s="44">
        <v>6.906750050537E12</v>
      </c>
      <c r="O361" s="53" t="str">
        <f t="shared" si="1"/>
        <v>11/03/2026</v>
      </c>
      <c r="P361" s="46">
        <f t="shared" si="2"/>
        <v>1773252660</v>
      </c>
      <c r="Q361" s="47"/>
      <c r="R361" s="48"/>
      <c r="S361" s="46"/>
      <c r="T361" s="49" t="s">
        <v>2664</v>
      </c>
      <c r="U361" s="49" t="s">
        <v>2665</v>
      </c>
      <c r="V361" s="49" t="s">
        <v>2666</v>
      </c>
      <c r="W361" s="46"/>
      <c r="X361" s="49" t="s">
        <v>132</v>
      </c>
      <c r="Y361" s="50" t="s">
        <v>133</v>
      </c>
      <c r="Z361" s="50" t="s">
        <v>134</v>
      </c>
      <c r="AA361" s="46"/>
      <c r="AB361" s="26"/>
      <c r="AC361" s="51" t="s">
        <v>135</v>
      </c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</row>
    <row r="362">
      <c r="A362" s="35">
        <v>46093.0</v>
      </c>
      <c r="B362" s="36" t="s">
        <v>2667</v>
      </c>
      <c r="C362" s="37" t="s">
        <v>2668</v>
      </c>
      <c r="D362" s="37" t="s">
        <v>2669</v>
      </c>
      <c r="E362" s="54">
        <v>4790785818</v>
      </c>
      <c r="F362" s="39" t="s">
        <v>2670</v>
      </c>
      <c r="G362" s="37" t="str">
        <f>IF(NOT(ISERROR(MATCH(D362,'Tannbleking - Oppsalg US'!D:D, 0))), "Ja", "")</f>
        <v/>
      </c>
      <c r="H362" s="37" t="s">
        <v>50</v>
      </c>
      <c r="I362" s="37" t="s">
        <v>44</v>
      </c>
      <c r="J362" s="40"/>
      <c r="K362" s="41"/>
      <c r="L362" s="42" t="s">
        <v>128</v>
      </c>
      <c r="M362" s="43" t="s">
        <v>2671</v>
      </c>
      <c r="N362" s="44">
        <v>6.906750047337E12</v>
      </c>
      <c r="O362" s="53" t="str">
        <f t="shared" si="1"/>
        <v>12/03/2026</v>
      </c>
      <c r="P362" s="46">
        <f t="shared" si="2"/>
        <v>1773320580</v>
      </c>
      <c r="Q362" s="47"/>
      <c r="R362" s="48"/>
      <c r="S362" s="46"/>
      <c r="T362" s="49" t="s">
        <v>2672</v>
      </c>
      <c r="U362" s="49" t="s">
        <v>2673</v>
      </c>
      <c r="V362" s="49" t="s">
        <v>2674</v>
      </c>
      <c r="W362" s="46"/>
      <c r="X362" s="49" t="s">
        <v>132</v>
      </c>
      <c r="Y362" s="50" t="s">
        <v>133</v>
      </c>
      <c r="Z362" s="50" t="s">
        <v>134</v>
      </c>
      <c r="AA362" s="46"/>
      <c r="AB362" s="26"/>
      <c r="AC362" s="51" t="s">
        <v>423</v>
      </c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</row>
    <row r="363">
      <c r="A363" s="35">
        <v>46093.0</v>
      </c>
      <c r="B363" s="36" t="s">
        <v>2636</v>
      </c>
      <c r="C363" s="37" t="s">
        <v>2675</v>
      </c>
      <c r="D363" s="37" t="s">
        <v>2676</v>
      </c>
      <c r="E363" s="54">
        <v>479865437</v>
      </c>
      <c r="F363" s="39" t="s">
        <v>2677</v>
      </c>
      <c r="G363" s="37" t="str">
        <f>IF(NOT(ISERROR(MATCH(D363,'Tannbleking - Oppsalg US'!D:D, 0))), "Ja", "")</f>
        <v>Ja</v>
      </c>
      <c r="H363" s="37" t="s">
        <v>43</v>
      </c>
      <c r="I363" s="37" t="s">
        <v>44</v>
      </c>
      <c r="J363" s="40" t="s">
        <v>2678</v>
      </c>
      <c r="K363" s="41"/>
      <c r="L363" s="42" t="s">
        <v>128</v>
      </c>
      <c r="M363" s="43" t="s">
        <v>2388</v>
      </c>
      <c r="N363" s="44">
        <v>6.906750048937E12</v>
      </c>
      <c r="O363" s="53" t="str">
        <f t="shared" si="1"/>
        <v>12/03/2026</v>
      </c>
      <c r="P363" s="46">
        <f t="shared" si="2"/>
        <v>1773322560</v>
      </c>
      <c r="Q363" s="47"/>
      <c r="R363" s="48"/>
      <c r="S363" s="46"/>
      <c r="T363" s="49" t="s">
        <v>2679</v>
      </c>
      <c r="U363" s="49" t="s">
        <v>2680</v>
      </c>
      <c r="V363" s="49" t="s">
        <v>2681</v>
      </c>
      <c r="W363" s="46"/>
      <c r="X363" s="49" t="s">
        <v>132</v>
      </c>
      <c r="Y363" s="50" t="s">
        <v>133</v>
      </c>
      <c r="Z363" s="50" t="s">
        <v>134</v>
      </c>
      <c r="AA363" s="46"/>
      <c r="AB363" s="26"/>
      <c r="AC363" s="51" t="s">
        <v>144</v>
      </c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</row>
    <row r="364">
      <c r="A364" s="35">
        <v>46094.0</v>
      </c>
      <c r="B364" s="36" t="s">
        <v>665</v>
      </c>
      <c r="C364" s="37" t="s">
        <v>2682</v>
      </c>
      <c r="D364" s="37" t="s">
        <v>2683</v>
      </c>
      <c r="E364" s="54">
        <v>4746677027</v>
      </c>
      <c r="F364" s="39" t="s">
        <v>2684</v>
      </c>
      <c r="G364" s="37" t="str">
        <f>IF(NOT(ISERROR(MATCH(D364,'Tannbleking - Oppsalg US'!D:D, 0))), "Ja", "")</f>
        <v/>
      </c>
      <c r="H364" s="37" t="s">
        <v>50</v>
      </c>
      <c r="I364" s="37" t="s">
        <v>107</v>
      </c>
      <c r="J364" s="40"/>
      <c r="K364" s="41"/>
      <c r="L364" s="42" t="s">
        <v>128</v>
      </c>
      <c r="M364" s="43" t="s">
        <v>2081</v>
      </c>
      <c r="N364" s="44">
        <v>6.906750050537E12</v>
      </c>
      <c r="O364" s="53" t="str">
        <f t="shared" si="1"/>
        <v>13/03/2026</v>
      </c>
      <c r="P364" s="46">
        <f t="shared" si="2"/>
        <v>1773403500</v>
      </c>
      <c r="Q364" s="47"/>
      <c r="R364" s="48"/>
      <c r="S364" s="46"/>
      <c r="T364" s="49" t="s">
        <v>2685</v>
      </c>
      <c r="U364" s="49" t="s">
        <v>2686</v>
      </c>
      <c r="V364" s="49" t="s">
        <v>2687</v>
      </c>
      <c r="W364" s="46"/>
      <c r="X364" s="49" t="s">
        <v>132</v>
      </c>
      <c r="Y364" s="50" t="s">
        <v>133</v>
      </c>
      <c r="Z364" s="50" t="s">
        <v>134</v>
      </c>
      <c r="AA364" s="46"/>
      <c r="AB364" s="26"/>
      <c r="AC364" s="51" t="s">
        <v>135</v>
      </c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</row>
    <row r="365">
      <c r="A365" s="35">
        <v>46095.0</v>
      </c>
      <c r="B365" s="36" t="s">
        <v>2013</v>
      </c>
      <c r="C365" s="37" t="s">
        <v>2688</v>
      </c>
      <c r="D365" s="37" t="s">
        <v>2689</v>
      </c>
      <c r="E365" s="54">
        <v>4748040662</v>
      </c>
      <c r="F365" s="39" t="s">
        <v>2690</v>
      </c>
      <c r="G365" s="37" t="str">
        <f>IF(NOT(ISERROR(MATCH(D365,'Tannbleking - Oppsalg US'!D:D, 0))), "Ja", "")</f>
        <v>Ja</v>
      </c>
      <c r="H365" s="37" t="s">
        <v>50</v>
      </c>
      <c r="I365" s="37" t="s">
        <v>44</v>
      </c>
      <c r="J365" s="40"/>
      <c r="K365" s="41"/>
      <c r="L365" s="42" t="s">
        <v>128</v>
      </c>
      <c r="M365" s="43" t="s">
        <v>2081</v>
      </c>
      <c r="N365" s="44">
        <v>6.906750050537E12</v>
      </c>
      <c r="O365" s="53" t="str">
        <f t="shared" si="1"/>
        <v>14/03/2026</v>
      </c>
      <c r="P365" s="46">
        <f t="shared" si="2"/>
        <v>1773486900</v>
      </c>
      <c r="Q365" s="47"/>
      <c r="R365" s="48"/>
      <c r="S365" s="46"/>
      <c r="T365" s="49" t="s">
        <v>2691</v>
      </c>
      <c r="U365" s="49" t="s">
        <v>2692</v>
      </c>
      <c r="V365" s="49" t="s">
        <v>2693</v>
      </c>
      <c r="W365" s="46"/>
      <c r="X365" s="49" t="s">
        <v>132</v>
      </c>
      <c r="Y365" s="50" t="s">
        <v>133</v>
      </c>
      <c r="Z365" s="50" t="s">
        <v>134</v>
      </c>
      <c r="AA365" s="46"/>
      <c r="AB365" s="26"/>
      <c r="AC365" s="51" t="s">
        <v>280</v>
      </c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</row>
    <row r="366">
      <c r="A366" s="35">
        <v>46095.0</v>
      </c>
      <c r="B366" s="36" t="s">
        <v>570</v>
      </c>
      <c r="C366" s="37" t="s">
        <v>2694</v>
      </c>
      <c r="D366" s="37" t="s">
        <v>2695</v>
      </c>
      <c r="E366" s="54">
        <v>4746123554</v>
      </c>
      <c r="F366" s="39" t="s">
        <v>2696</v>
      </c>
      <c r="G366" s="37" t="str">
        <f>IF(NOT(ISERROR(MATCH(D366,'Tannbleking - Oppsalg US'!D:D, 0))), "Ja", "")</f>
        <v/>
      </c>
      <c r="H366" s="37" t="s">
        <v>50</v>
      </c>
      <c r="I366" s="37" t="s">
        <v>44</v>
      </c>
      <c r="J366" s="40"/>
      <c r="K366" s="41"/>
      <c r="L366" s="42" t="s">
        <v>128</v>
      </c>
      <c r="M366" s="43" t="s">
        <v>2081</v>
      </c>
      <c r="N366" s="44">
        <v>6.906750050537E12</v>
      </c>
      <c r="O366" s="53" t="str">
        <f t="shared" si="1"/>
        <v>14/03/2026</v>
      </c>
      <c r="P366" s="46">
        <f t="shared" si="2"/>
        <v>1773524040</v>
      </c>
      <c r="Q366" s="47"/>
      <c r="R366" s="48"/>
      <c r="S366" s="46"/>
      <c r="T366" s="49" t="s">
        <v>2697</v>
      </c>
      <c r="U366" s="49" t="s">
        <v>2698</v>
      </c>
      <c r="V366" s="49" t="s">
        <v>2699</v>
      </c>
      <c r="W366" s="46"/>
      <c r="X366" s="49" t="s">
        <v>132</v>
      </c>
      <c r="Y366" s="50" t="s">
        <v>133</v>
      </c>
      <c r="Z366" s="50" t="s">
        <v>134</v>
      </c>
      <c r="AA366" s="46"/>
      <c r="AB366" s="26"/>
      <c r="AC366" s="51" t="s">
        <v>151</v>
      </c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</row>
    <row r="367">
      <c r="A367" s="35">
        <v>46096.0</v>
      </c>
      <c r="B367" s="36" t="s">
        <v>1359</v>
      </c>
      <c r="C367" s="37" t="s">
        <v>2700</v>
      </c>
      <c r="D367" s="37" t="s">
        <v>2701</v>
      </c>
      <c r="E367" s="54">
        <v>4745171770</v>
      </c>
      <c r="F367" s="39" t="s">
        <v>2702</v>
      </c>
      <c r="G367" s="37" t="str">
        <f>IF(NOT(ISERROR(MATCH(D367,'Tannbleking - Oppsalg US'!D:D, 0))), "Ja", "")</f>
        <v/>
      </c>
      <c r="H367" s="37" t="s">
        <v>50</v>
      </c>
      <c r="I367" s="37" t="s">
        <v>44</v>
      </c>
      <c r="J367" s="40"/>
      <c r="K367" s="41"/>
      <c r="L367" s="42" t="s">
        <v>128</v>
      </c>
      <c r="M367" s="43" t="s">
        <v>2081</v>
      </c>
      <c r="N367" s="44">
        <v>6.906750050537E12</v>
      </c>
      <c r="O367" s="53" t="str">
        <f t="shared" si="1"/>
        <v>15/03/2026</v>
      </c>
      <c r="P367" s="46">
        <f t="shared" si="2"/>
        <v>1773535980</v>
      </c>
      <c r="Q367" s="47"/>
      <c r="R367" s="48"/>
      <c r="S367" s="46"/>
      <c r="T367" s="49" t="s">
        <v>2703</v>
      </c>
      <c r="U367" s="49" t="s">
        <v>2704</v>
      </c>
      <c r="V367" s="49" t="s">
        <v>2705</v>
      </c>
      <c r="W367" s="46"/>
      <c r="X367" s="49" t="s">
        <v>132</v>
      </c>
      <c r="Y367" s="50" t="s">
        <v>133</v>
      </c>
      <c r="Z367" s="50" t="s">
        <v>134</v>
      </c>
      <c r="AA367" s="46"/>
      <c r="AB367" s="26"/>
      <c r="AC367" s="51" t="s">
        <v>135</v>
      </c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</row>
    <row r="368">
      <c r="A368" s="35">
        <v>46096.0</v>
      </c>
      <c r="B368" s="36" t="s">
        <v>2706</v>
      </c>
      <c r="C368" s="37" t="s">
        <v>2707</v>
      </c>
      <c r="D368" s="37" t="s">
        <v>2708</v>
      </c>
      <c r="E368" s="54">
        <v>4793818498</v>
      </c>
      <c r="F368" s="39" t="s">
        <v>2709</v>
      </c>
      <c r="G368" s="37" t="str">
        <f>IF(NOT(ISERROR(MATCH(D368,'Tannbleking - Oppsalg US'!D:D, 0))), "Ja", "")</f>
        <v/>
      </c>
      <c r="H368" s="37" t="s">
        <v>50</v>
      </c>
      <c r="I368" s="37" t="s">
        <v>44</v>
      </c>
      <c r="J368" s="40"/>
      <c r="K368" s="41"/>
      <c r="L368" s="42" t="s">
        <v>128</v>
      </c>
      <c r="M368" s="43" t="s">
        <v>2089</v>
      </c>
      <c r="N368" s="44">
        <v>6.906750048137E12</v>
      </c>
      <c r="O368" s="53" t="str">
        <f t="shared" si="1"/>
        <v>15/03/2026</v>
      </c>
      <c r="P368" s="46">
        <f t="shared" si="2"/>
        <v>1773552000</v>
      </c>
      <c r="Q368" s="47"/>
      <c r="R368" s="48"/>
      <c r="S368" s="46"/>
      <c r="T368" s="49" t="s">
        <v>2710</v>
      </c>
      <c r="U368" s="49" t="s">
        <v>2711</v>
      </c>
      <c r="V368" s="49" t="s">
        <v>2712</v>
      </c>
      <c r="W368" s="46"/>
      <c r="X368" s="49" t="s">
        <v>132</v>
      </c>
      <c r="Y368" s="50" t="s">
        <v>133</v>
      </c>
      <c r="Z368" s="50" t="s">
        <v>134</v>
      </c>
      <c r="AA368" s="46"/>
      <c r="AB368" s="26"/>
      <c r="AC368" s="51" t="s">
        <v>135</v>
      </c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</row>
    <row r="369">
      <c r="A369" s="35">
        <v>46097.0</v>
      </c>
      <c r="B369" s="36" t="s">
        <v>2713</v>
      </c>
      <c r="C369" s="37" t="s">
        <v>2714</v>
      </c>
      <c r="D369" s="37" t="s">
        <v>2715</v>
      </c>
      <c r="E369" s="54">
        <v>4748380978</v>
      </c>
      <c r="F369" s="39" t="s">
        <v>2716</v>
      </c>
      <c r="G369" s="37" t="str">
        <f>IF(NOT(ISERROR(MATCH(D369,'Tannbleking - Oppsalg US'!D:D, 0))), "Ja", "")</f>
        <v/>
      </c>
      <c r="H369" s="37" t="s">
        <v>50</v>
      </c>
      <c r="I369" s="37" t="s">
        <v>44</v>
      </c>
      <c r="J369" s="40"/>
      <c r="K369" s="41"/>
      <c r="L369" s="42" t="s">
        <v>128</v>
      </c>
      <c r="M369" s="43" t="s">
        <v>2429</v>
      </c>
      <c r="N369" s="44">
        <v>6.906750049737E12</v>
      </c>
      <c r="O369" s="53" t="str">
        <f t="shared" si="1"/>
        <v>16/03/2026</v>
      </c>
      <c r="P369" s="46">
        <f t="shared" si="2"/>
        <v>1773661680</v>
      </c>
      <c r="Q369" s="47"/>
      <c r="R369" s="48"/>
      <c r="S369" s="46"/>
      <c r="T369" s="49" t="s">
        <v>2717</v>
      </c>
      <c r="U369" s="49" t="s">
        <v>2718</v>
      </c>
      <c r="V369" s="49" t="s">
        <v>2719</v>
      </c>
      <c r="W369" s="46"/>
      <c r="X369" s="49" t="s">
        <v>132</v>
      </c>
      <c r="Y369" s="50" t="s">
        <v>133</v>
      </c>
      <c r="Z369" s="50" t="s">
        <v>134</v>
      </c>
      <c r="AA369" s="46"/>
      <c r="AB369" s="26"/>
      <c r="AC369" s="51" t="s">
        <v>280</v>
      </c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</row>
    <row r="370">
      <c r="A370" s="35">
        <v>46098.0</v>
      </c>
      <c r="B370" s="36" t="s">
        <v>2720</v>
      </c>
      <c r="C370" s="37" t="s">
        <v>2721</v>
      </c>
      <c r="D370" s="37" t="s">
        <v>2722</v>
      </c>
      <c r="E370" s="54">
        <v>4796748952</v>
      </c>
      <c r="F370" s="39" t="s">
        <v>2723</v>
      </c>
      <c r="G370" s="37" t="str">
        <f>IF(NOT(ISERROR(MATCH(D370,'Tannbleking - Oppsalg US'!D:D, 0))), "Ja", "")</f>
        <v/>
      </c>
      <c r="H370" s="37" t="s">
        <v>50</v>
      </c>
      <c r="I370" s="37" t="s">
        <v>44</v>
      </c>
      <c r="J370" s="40"/>
      <c r="K370" s="41"/>
      <c r="L370" s="42" t="s">
        <v>128</v>
      </c>
      <c r="M370" s="43" t="s">
        <v>2081</v>
      </c>
      <c r="N370" s="44">
        <v>6.909891506537E12</v>
      </c>
      <c r="O370" s="53" t="str">
        <f t="shared" si="1"/>
        <v>17/03/2026</v>
      </c>
      <c r="P370" s="46">
        <f t="shared" si="2"/>
        <v>1773741240</v>
      </c>
      <c r="Q370" s="47"/>
      <c r="R370" s="48"/>
      <c r="S370" s="46"/>
      <c r="T370" s="49" t="s">
        <v>2724</v>
      </c>
      <c r="U370" s="49" t="s">
        <v>2725</v>
      </c>
      <c r="V370" s="49" t="s">
        <v>2726</v>
      </c>
      <c r="W370" s="46"/>
      <c r="X370" s="49" t="s">
        <v>132</v>
      </c>
      <c r="Y370" s="50" t="s">
        <v>133</v>
      </c>
      <c r="Z370" s="50" t="s">
        <v>134</v>
      </c>
      <c r="AA370" s="46"/>
      <c r="AB370" s="26"/>
      <c r="AC370" s="51" t="s">
        <v>135</v>
      </c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</row>
    <row r="371">
      <c r="A371" s="35">
        <v>46098.0</v>
      </c>
      <c r="B371" s="36" t="s">
        <v>2727</v>
      </c>
      <c r="C371" s="37" t="s">
        <v>2728</v>
      </c>
      <c r="D371" s="37" t="s">
        <v>2729</v>
      </c>
      <c r="E371" s="54">
        <v>4793937084</v>
      </c>
      <c r="F371" s="39" t="s">
        <v>2730</v>
      </c>
      <c r="G371" s="37" t="str">
        <f>IF(NOT(ISERROR(MATCH(D371,'Tannbleking - Oppsalg US'!D:D, 0))), "Ja", "")</f>
        <v/>
      </c>
      <c r="H371" s="37" t="s">
        <v>43</v>
      </c>
      <c r="I371" s="37" t="s">
        <v>107</v>
      </c>
      <c r="J371" s="40"/>
      <c r="K371" s="41"/>
      <c r="L371" s="42" t="s">
        <v>128</v>
      </c>
      <c r="M371" s="43" t="s">
        <v>2731</v>
      </c>
      <c r="N371" s="44">
        <v>6.909891509537E12</v>
      </c>
      <c r="O371" s="53" t="str">
        <f t="shared" si="1"/>
        <v>17/03/2026</v>
      </c>
      <c r="P371" s="46">
        <f t="shared" si="2"/>
        <v>1773747660</v>
      </c>
      <c r="Q371" s="47"/>
      <c r="R371" s="48"/>
      <c r="S371" s="46"/>
      <c r="T371" s="49" t="s">
        <v>2732</v>
      </c>
      <c r="U371" s="49" t="s">
        <v>2733</v>
      </c>
      <c r="V371" s="49" t="s">
        <v>2734</v>
      </c>
      <c r="W371" s="46"/>
      <c r="X371" s="49" t="s">
        <v>132</v>
      </c>
      <c r="Y371" s="50" t="s">
        <v>133</v>
      </c>
      <c r="Z371" s="50" t="s">
        <v>134</v>
      </c>
      <c r="AA371" s="46"/>
      <c r="AB371" s="26"/>
      <c r="AC371" s="51" t="s">
        <v>135</v>
      </c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</row>
    <row r="372">
      <c r="A372" s="35">
        <v>46099.0</v>
      </c>
      <c r="B372" s="36" t="s">
        <v>1352</v>
      </c>
      <c r="C372" s="37" t="s">
        <v>2735</v>
      </c>
      <c r="D372" s="37" t="s">
        <v>2736</v>
      </c>
      <c r="E372" s="54">
        <v>4792872872</v>
      </c>
      <c r="F372" s="39" t="s">
        <v>2737</v>
      </c>
      <c r="G372" s="37" t="str">
        <f>IF(NOT(ISERROR(MATCH(D372,'Tannbleking - Oppsalg US'!D:D, 0))), "Ja", "")</f>
        <v/>
      </c>
      <c r="H372" s="37" t="s">
        <v>50</v>
      </c>
      <c r="I372" s="37" t="s">
        <v>44</v>
      </c>
      <c r="J372" s="40"/>
      <c r="K372" s="41"/>
      <c r="L372" s="42" t="s">
        <v>128</v>
      </c>
      <c r="M372" s="43" t="s">
        <v>2738</v>
      </c>
      <c r="N372" s="44">
        <v>6.909891506337E12</v>
      </c>
      <c r="O372" s="53" t="str">
        <f t="shared" si="1"/>
        <v>18/03/2026</v>
      </c>
      <c r="P372" s="46">
        <f t="shared" si="2"/>
        <v>1773793920</v>
      </c>
      <c r="Q372" s="47"/>
      <c r="R372" s="48"/>
      <c r="S372" s="46"/>
      <c r="T372" s="49" t="s">
        <v>2739</v>
      </c>
      <c r="U372" s="49" t="s">
        <v>2740</v>
      </c>
      <c r="V372" s="49" t="s">
        <v>2741</v>
      </c>
      <c r="W372" s="46"/>
      <c r="X372" s="49" t="s">
        <v>132</v>
      </c>
      <c r="Y372" s="50" t="s">
        <v>133</v>
      </c>
      <c r="Z372" s="50" t="s">
        <v>134</v>
      </c>
      <c r="AA372" s="46"/>
      <c r="AB372" s="26"/>
      <c r="AC372" s="51" t="s">
        <v>1686</v>
      </c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</row>
    <row r="373">
      <c r="A373" s="35">
        <v>46099.0</v>
      </c>
      <c r="B373" s="36" t="s">
        <v>2742</v>
      </c>
      <c r="C373" s="37" t="s">
        <v>2743</v>
      </c>
      <c r="D373" s="37" t="s">
        <v>2744</v>
      </c>
      <c r="E373" s="54">
        <v>4740311111</v>
      </c>
      <c r="F373" s="39" t="s">
        <v>2745</v>
      </c>
      <c r="G373" s="37" t="str">
        <f>IF(NOT(ISERROR(MATCH(D373,'Tannbleking - Oppsalg US'!D:D, 0))), "Ja", "")</f>
        <v/>
      </c>
      <c r="H373" s="37" t="s">
        <v>50</v>
      </c>
      <c r="I373" s="37" t="s">
        <v>44</v>
      </c>
      <c r="J373" s="40"/>
      <c r="K373" s="41"/>
      <c r="L373" s="42" t="s">
        <v>128</v>
      </c>
      <c r="M373" s="43" t="s">
        <v>2746</v>
      </c>
      <c r="N373" s="44">
        <v>6.909891506937E12</v>
      </c>
      <c r="O373" s="53" t="str">
        <f t="shared" si="1"/>
        <v>18/03/2026</v>
      </c>
      <c r="P373" s="46">
        <f t="shared" si="2"/>
        <v>1773822000</v>
      </c>
      <c r="Q373" s="47"/>
      <c r="R373" s="48"/>
      <c r="S373" s="46"/>
      <c r="T373" s="49" t="s">
        <v>2747</v>
      </c>
      <c r="U373" s="49" t="s">
        <v>2748</v>
      </c>
      <c r="V373" s="49" t="s">
        <v>2749</v>
      </c>
      <c r="W373" s="46"/>
      <c r="X373" s="49" t="s">
        <v>132</v>
      </c>
      <c r="Y373" s="50" t="s">
        <v>133</v>
      </c>
      <c r="Z373" s="50" t="s">
        <v>134</v>
      </c>
      <c r="AA373" s="46"/>
      <c r="AB373" s="26"/>
      <c r="AC373" s="51" t="s">
        <v>135</v>
      </c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>
      <c r="A374" s="35">
        <v>46100.0</v>
      </c>
      <c r="B374" s="36" t="s">
        <v>2750</v>
      </c>
      <c r="C374" s="37" t="s">
        <v>2751</v>
      </c>
      <c r="D374" s="37" t="s">
        <v>2752</v>
      </c>
      <c r="E374" s="54">
        <v>4798026644</v>
      </c>
      <c r="F374" s="39" t="s">
        <v>2753</v>
      </c>
      <c r="G374" s="37" t="str">
        <f>IF(NOT(ISERROR(MATCH(D374,'Tannbleking - Oppsalg US'!D:D, 0))), "Ja", "")</f>
        <v/>
      </c>
      <c r="H374" s="37" t="s">
        <v>50</v>
      </c>
      <c r="I374" s="37" t="s">
        <v>44</v>
      </c>
      <c r="J374" s="40"/>
      <c r="K374" s="41"/>
      <c r="L374" s="42" t="s">
        <v>128</v>
      </c>
      <c r="M374" s="43" t="s">
        <v>2746</v>
      </c>
      <c r="N374" s="44">
        <v>6.909891506937E12</v>
      </c>
      <c r="O374" s="53" t="str">
        <f t="shared" si="1"/>
        <v>19/03/2026</v>
      </c>
      <c r="P374" s="46">
        <f t="shared" si="2"/>
        <v>1773884160</v>
      </c>
      <c r="Q374" s="47"/>
      <c r="R374" s="48"/>
      <c r="S374" s="46"/>
      <c r="T374" s="49" t="s">
        <v>2754</v>
      </c>
      <c r="U374" s="49" t="s">
        <v>2755</v>
      </c>
      <c r="V374" s="49" t="s">
        <v>2756</v>
      </c>
      <c r="W374" s="46"/>
      <c r="X374" s="49" t="s">
        <v>132</v>
      </c>
      <c r="Y374" s="50" t="s">
        <v>133</v>
      </c>
      <c r="Z374" s="50" t="s">
        <v>134</v>
      </c>
      <c r="AA374" s="46"/>
      <c r="AB374" s="26"/>
      <c r="AC374" s="51" t="s">
        <v>135</v>
      </c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>
      <c r="A375" s="35">
        <v>46100.0</v>
      </c>
      <c r="B375" s="36" t="s">
        <v>2757</v>
      </c>
      <c r="C375" s="37" t="s">
        <v>2751</v>
      </c>
      <c r="D375" s="37" t="s">
        <v>2752</v>
      </c>
      <c r="E375" s="54">
        <v>4798026644</v>
      </c>
      <c r="F375" s="39" t="s">
        <v>2758</v>
      </c>
      <c r="G375" s="37" t="str">
        <f>IF(NOT(ISERROR(MATCH(D375,'Tannbleking - Oppsalg US'!D:D, 0))), "Ja", "")</f>
        <v/>
      </c>
      <c r="H375" s="37" t="s">
        <v>90</v>
      </c>
      <c r="I375" s="37"/>
      <c r="J375" s="40"/>
      <c r="K375" s="41"/>
      <c r="L375" s="42" t="s">
        <v>128</v>
      </c>
      <c r="M375" s="43" t="s">
        <v>2746</v>
      </c>
      <c r="N375" s="44">
        <v>6.909891506937E12</v>
      </c>
      <c r="O375" s="53" t="str">
        <f t="shared" si="1"/>
        <v>19/03/2026</v>
      </c>
      <c r="P375" s="46">
        <f t="shared" si="2"/>
        <v>1773884220</v>
      </c>
      <c r="Q375" s="47"/>
      <c r="R375" s="48"/>
      <c r="S375" s="46"/>
      <c r="T375" s="49" t="s">
        <v>2754</v>
      </c>
      <c r="U375" s="49" t="s">
        <v>2755</v>
      </c>
      <c r="V375" s="49" t="s">
        <v>2759</v>
      </c>
      <c r="W375" s="46"/>
      <c r="X375" s="49" t="s">
        <v>132</v>
      </c>
      <c r="Y375" s="50" t="s">
        <v>133</v>
      </c>
      <c r="Z375" s="50" t="s">
        <v>134</v>
      </c>
      <c r="AA375" s="46"/>
      <c r="AB375" s="26"/>
      <c r="AC375" s="51" t="s">
        <v>135</v>
      </c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>
      <c r="A376" s="35">
        <v>46101.0</v>
      </c>
      <c r="B376" s="36" t="s">
        <v>2760</v>
      </c>
      <c r="C376" s="37" t="s">
        <v>2761</v>
      </c>
      <c r="D376" s="37" t="s">
        <v>2762</v>
      </c>
      <c r="E376" s="54">
        <v>4790012233</v>
      </c>
      <c r="F376" s="39" t="s">
        <v>2763</v>
      </c>
      <c r="G376" s="37" t="str">
        <f>IF(NOT(ISERROR(MATCH(D376,'Tannbleking - Oppsalg US'!D:D, 0))), "Ja", "")</f>
        <v/>
      </c>
      <c r="H376" s="37" t="s">
        <v>676</v>
      </c>
      <c r="I376" s="37" t="s">
        <v>44</v>
      </c>
      <c r="J376" s="40" t="s">
        <v>2764</v>
      </c>
      <c r="K376" s="41"/>
      <c r="L376" s="42" t="s">
        <v>128</v>
      </c>
      <c r="M376" s="43" t="s">
        <v>2738</v>
      </c>
      <c r="N376" s="44">
        <v>6.909891506337E12</v>
      </c>
      <c r="O376" s="53" t="str">
        <f t="shared" si="1"/>
        <v>20/03/2026</v>
      </c>
      <c r="P376" s="46">
        <f t="shared" si="2"/>
        <v>1774004280</v>
      </c>
      <c r="Q376" s="47"/>
      <c r="R376" s="48"/>
      <c r="S376" s="46"/>
      <c r="T376" s="49" t="s">
        <v>2765</v>
      </c>
      <c r="U376" s="49" t="s">
        <v>2766</v>
      </c>
      <c r="V376" s="49" t="s">
        <v>2767</v>
      </c>
      <c r="W376" s="46"/>
      <c r="X376" s="49" t="s">
        <v>132</v>
      </c>
      <c r="Y376" s="50" t="s">
        <v>133</v>
      </c>
      <c r="Z376" s="50" t="s">
        <v>134</v>
      </c>
      <c r="AA376" s="46"/>
      <c r="AB376" s="26"/>
      <c r="AC376" s="51" t="s">
        <v>135</v>
      </c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>
      <c r="A377" s="35">
        <v>46101.0</v>
      </c>
      <c r="B377" s="36" t="s">
        <v>824</v>
      </c>
      <c r="C377" s="37" t="s">
        <v>2768</v>
      </c>
      <c r="D377" s="37" t="s">
        <v>2769</v>
      </c>
      <c r="E377" s="54">
        <v>4790080215</v>
      </c>
      <c r="F377" s="39" t="s">
        <v>2770</v>
      </c>
      <c r="G377" s="37" t="str">
        <f>IF(NOT(ISERROR(MATCH(D377,'Tannbleking - Oppsalg US'!D:D, 0))), "Ja", "")</f>
        <v/>
      </c>
      <c r="H377" s="37" t="s">
        <v>50</v>
      </c>
      <c r="I377" s="37" t="s">
        <v>44</v>
      </c>
      <c r="J377" s="40"/>
      <c r="K377" s="41"/>
      <c r="L377" s="42" t="s">
        <v>128</v>
      </c>
      <c r="M377" s="43" t="s">
        <v>2738</v>
      </c>
      <c r="N377" s="44">
        <v>6.909891506337E12</v>
      </c>
      <c r="O377" s="53" t="str">
        <f t="shared" si="1"/>
        <v>20/03/2026</v>
      </c>
      <c r="P377" s="46">
        <f t="shared" si="2"/>
        <v>1774004340</v>
      </c>
      <c r="Q377" s="47"/>
      <c r="R377" s="48"/>
      <c r="S377" s="46"/>
      <c r="T377" s="49" t="s">
        <v>2771</v>
      </c>
      <c r="U377" s="49" t="s">
        <v>2772</v>
      </c>
      <c r="V377" s="49" t="s">
        <v>2773</v>
      </c>
      <c r="W377" s="46"/>
      <c r="X377" s="49" t="s">
        <v>132</v>
      </c>
      <c r="Y377" s="50" t="s">
        <v>133</v>
      </c>
      <c r="Z377" s="50" t="s">
        <v>134</v>
      </c>
      <c r="AA377" s="46"/>
      <c r="AB377" s="26"/>
      <c r="AC377" s="51" t="s">
        <v>144</v>
      </c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>
      <c r="A378" s="35">
        <v>46102.0</v>
      </c>
      <c r="B378" s="36" t="s">
        <v>2774</v>
      </c>
      <c r="C378" s="37" t="s">
        <v>2775</v>
      </c>
      <c r="D378" s="37" t="s">
        <v>2776</v>
      </c>
      <c r="E378" s="54">
        <v>4740563543</v>
      </c>
      <c r="F378" s="39" t="s">
        <v>2777</v>
      </c>
      <c r="G378" s="37" t="str">
        <f>IF(NOT(ISERROR(MATCH(D378,'Tannbleking - Oppsalg US'!D:D, 0))), "Ja", "")</f>
        <v/>
      </c>
      <c r="H378" s="37" t="s">
        <v>676</v>
      </c>
      <c r="I378" s="37"/>
      <c r="J378" s="40" t="s">
        <v>2778</v>
      </c>
      <c r="K378" s="41"/>
      <c r="L378" s="42" t="s">
        <v>128</v>
      </c>
      <c r="M378" s="43" t="s">
        <v>2089</v>
      </c>
      <c r="N378" s="44">
        <v>6.909891507737E12</v>
      </c>
      <c r="O378" s="53" t="str">
        <f t="shared" si="1"/>
        <v>21/03/2026</v>
      </c>
      <c r="P378" s="46">
        <f t="shared" si="2"/>
        <v>1774051980</v>
      </c>
      <c r="Q378" s="47"/>
      <c r="R378" s="48"/>
      <c r="S378" s="46"/>
      <c r="T378" s="49" t="s">
        <v>2779</v>
      </c>
      <c r="U378" s="49" t="s">
        <v>2780</v>
      </c>
      <c r="V378" s="49" t="s">
        <v>2781</v>
      </c>
      <c r="W378" s="46"/>
      <c r="X378" s="49" t="s">
        <v>132</v>
      </c>
      <c r="Y378" s="50" t="s">
        <v>133</v>
      </c>
      <c r="Z378" s="50" t="s">
        <v>134</v>
      </c>
      <c r="AA378" s="46"/>
      <c r="AB378" s="26"/>
      <c r="AC378" s="51" t="s">
        <v>280</v>
      </c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>
      <c r="A379" s="35">
        <v>46102.0</v>
      </c>
      <c r="B379" s="36" t="s">
        <v>2496</v>
      </c>
      <c r="C379" s="37" t="s">
        <v>2782</v>
      </c>
      <c r="D379" s="37" t="s">
        <v>2783</v>
      </c>
      <c r="E379" s="54">
        <v>4745806687</v>
      </c>
      <c r="F379" s="39" t="s">
        <v>2784</v>
      </c>
      <c r="G379" s="37" t="str">
        <f>IF(NOT(ISERROR(MATCH(D379,'Tannbleking - Oppsalg US'!D:D, 0))), "Ja", "")</f>
        <v/>
      </c>
      <c r="H379" s="37" t="s">
        <v>50</v>
      </c>
      <c r="I379" s="37"/>
      <c r="J379" s="40"/>
      <c r="K379" s="41"/>
      <c r="L379" s="42" t="s">
        <v>128</v>
      </c>
      <c r="M379" s="43" t="s">
        <v>2746</v>
      </c>
      <c r="N379" s="44">
        <v>6.909891506937E12</v>
      </c>
      <c r="O379" s="53" t="str">
        <f t="shared" si="1"/>
        <v>21/03/2026</v>
      </c>
      <c r="P379" s="46">
        <f t="shared" si="2"/>
        <v>1774052700</v>
      </c>
      <c r="Q379" s="47"/>
      <c r="R379" s="48"/>
      <c r="S379" s="46"/>
      <c r="T379" s="49" t="s">
        <v>2785</v>
      </c>
      <c r="U379" s="49" t="s">
        <v>2786</v>
      </c>
      <c r="V379" s="49" t="s">
        <v>2787</v>
      </c>
      <c r="W379" s="46"/>
      <c r="X379" s="49" t="s">
        <v>132</v>
      </c>
      <c r="Y379" s="50" t="s">
        <v>133</v>
      </c>
      <c r="Z379" s="50" t="s">
        <v>134</v>
      </c>
      <c r="AA379" s="46"/>
      <c r="AB379" s="26"/>
      <c r="AC379" s="51" t="s">
        <v>135</v>
      </c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>
      <c r="A380" s="35">
        <v>46103.0</v>
      </c>
      <c r="B380" s="36" t="s">
        <v>1504</v>
      </c>
      <c r="C380" s="37" t="s">
        <v>2788</v>
      </c>
      <c r="D380" s="37" t="s">
        <v>2752</v>
      </c>
      <c r="E380" s="54">
        <v>4798026644</v>
      </c>
      <c r="F380" s="39" t="s">
        <v>2789</v>
      </c>
      <c r="G380" s="37" t="str">
        <f>IF(NOT(ISERROR(MATCH(D380,'Tannbleking - Oppsalg US'!D:D, 0))), "Ja", "")</f>
        <v/>
      </c>
      <c r="H380" s="37" t="s">
        <v>90</v>
      </c>
      <c r="I380" s="37"/>
      <c r="J380" s="40"/>
      <c r="K380" s="41"/>
      <c r="L380" s="42" t="s">
        <v>128</v>
      </c>
      <c r="M380" s="43" t="s">
        <v>2738</v>
      </c>
      <c r="N380" s="44">
        <v>6.909891506337E12</v>
      </c>
      <c r="O380" s="53" t="str">
        <f t="shared" si="1"/>
        <v>22/03/2026</v>
      </c>
      <c r="P380" s="46">
        <f t="shared" si="2"/>
        <v>1774139340</v>
      </c>
      <c r="Q380" s="47"/>
      <c r="R380" s="48"/>
      <c r="S380" s="46"/>
      <c r="T380" s="49" t="s">
        <v>2754</v>
      </c>
      <c r="U380" s="49" t="s">
        <v>2755</v>
      </c>
      <c r="V380" s="49" t="s">
        <v>2790</v>
      </c>
      <c r="W380" s="46"/>
      <c r="X380" s="49" t="s">
        <v>132</v>
      </c>
      <c r="Y380" s="50" t="s">
        <v>133</v>
      </c>
      <c r="Z380" s="50" t="s">
        <v>134</v>
      </c>
      <c r="AA380" s="46"/>
      <c r="AB380" s="26"/>
      <c r="AC380" s="51" t="s">
        <v>135</v>
      </c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>
      <c r="A381" s="35">
        <v>46103.0</v>
      </c>
      <c r="B381" s="36" t="s">
        <v>2791</v>
      </c>
      <c r="C381" s="37" t="s">
        <v>2792</v>
      </c>
      <c r="D381" s="37" t="s">
        <v>2793</v>
      </c>
      <c r="E381" s="54">
        <v>4799261800</v>
      </c>
      <c r="F381" s="39" t="s">
        <v>2794</v>
      </c>
      <c r="G381" s="37" t="str">
        <f>IF(NOT(ISERROR(MATCH(D381,'Tannbleking - Oppsalg US'!D:D, 0))), "Ja", "")</f>
        <v/>
      </c>
      <c r="H381" s="37" t="s">
        <v>50</v>
      </c>
      <c r="I381" s="37"/>
      <c r="J381" s="40"/>
      <c r="K381" s="41"/>
      <c r="L381" s="42" t="s">
        <v>128</v>
      </c>
      <c r="M381" s="43" t="s">
        <v>2738</v>
      </c>
      <c r="N381" s="44">
        <v>6.909891506337E12</v>
      </c>
      <c r="O381" s="53" t="str">
        <f t="shared" si="1"/>
        <v>22/03/2026</v>
      </c>
      <c r="P381" s="46">
        <f t="shared" si="2"/>
        <v>1774162500</v>
      </c>
      <c r="Q381" s="47"/>
      <c r="R381" s="48"/>
      <c r="S381" s="46"/>
      <c r="T381" s="49" t="s">
        <v>2795</v>
      </c>
      <c r="U381" s="49" t="s">
        <v>2796</v>
      </c>
      <c r="V381" s="49" t="s">
        <v>2797</v>
      </c>
      <c r="W381" s="46"/>
      <c r="X381" s="49" t="s">
        <v>132</v>
      </c>
      <c r="Y381" s="50" t="s">
        <v>133</v>
      </c>
      <c r="Z381" s="50" t="s">
        <v>134</v>
      </c>
      <c r="AA381" s="46"/>
      <c r="AB381" s="26"/>
      <c r="AC381" s="51" t="s">
        <v>135</v>
      </c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>
      <c r="A382" s="35">
        <v>46104.0</v>
      </c>
      <c r="B382" s="36" t="s">
        <v>2798</v>
      </c>
      <c r="C382" s="37" t="s">
        <v>2799</v>
      </c>
      <c r="D382" s="37" t="s">
        <v>2800</v>
      </c>
      <c r="E382" s="54">
        <v>4798042908</v>
      </c>
      <c r="F382" s="39" t="s">
        <v>2801</v>
      </c>
      <c r="G382" s="37" t="str">
        <f>IF(NOT(ISERROR(MATCH(D382,'Tannbleking - Oppsalg US'!D:D, 0))), "Ja", "")</f>
        <v/>
      </c>
      <c r="H382" s="37" t="s">
        <v>50</v>
      </c>
      <c r="I382" s="37" t="s">
        <v>44</v>
      </c>
      <c r="J382" s="40" t="s">
        <v>2802</v>
      </c>
      <c r="K382" s="41"/>
      <c r="L382" s="42" t="s">
        <v>128</v>
      </c>
      <c r="M382" s="43" t="s">
        <v>2738</v>
      </c>
      <c r="N382" s="44">
        <v>6.909891506337E12</v>
      </c>
      <c r="O382" s="53" t="str">
        <f t="shared" si="1"/>
        <v>23/03/2026</v>
      </c>
      <c r="P382" s="46">
        <f t="shared" si="2"/>
        <v>1774259700</v>
      </c>
      <c r="Q382" s="47"/>
      <c r="R382" s="48"/>
      <c r="S382" s="46"/>
      <c r="T382" s="49" t="s">
        <v>2803</v>
      </c>
      <c r="U382" s="49" t="s">
        <v>2804</v>
      </c>
      <c r="V382" s="49" t="s">
        <v>2805</v>
      </c>
      <c r="W382" s="46"/>
      <c r="X382" s="49" t="s">
        <v>132</v>
      </c>
      <c r="Y382" s="50" t="s">
        <v>133</v>
      </c>
      <c r="Z382" s="50" t="s">
        <v>134</v>
      </c>
      <c r="AA382" s="46"/>
      <c r="AB382" s="26"/>
      <c r="AC382" s="51" t="s">
        <v>135</v>
      </c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>
      <c r="A383" s="35">
        <v>46104.0</v>
      </c>
      <c r="B383" s="36" t="s">
        <v>2806</v>
      </c>
      <c r="C383" s="37" t="s">
        <v>2807</v>
      </c>
      <c r="D383" s="37" t="s">
        <v>2808</v>
      </c>
      <c r="E383" s="54">
        <v>4794442494</v>
      </c>
      <c r="F383" s="39" t="s">
        <v>2809</v>
      </c>
      <c r="G383" s="37" t="str">
        <f>IF(NOT(ISERROR(MATCH(D383,'Tannbleking - Oppsalg US'!D:D, 0))), "Ja", "")</f>
        <v>Ja</v>
      </c>
      <c r="H383" s="37" t="s">
        <v>676</v>
      </c>
      <c r="I383" s="37" t="s">
        <v>44</v>
      </c>
      <c r="J383" s="40" t="s">
        <v>2810</v>
      </c>
      <c r="K383" s="41"/>
      <c r="L383" s="42" t="s">
        <v>128</v>
      </c>
      <c r="M383" s="43" t="s">
        <v>2738</v>
      </c>
      <c r="N383" s="44">
        <v>6.909891506337E12</v>
      </c>
      <c r="O383" s="53" t="str">
        <f t="shared" si="1"/>
        <v>23/03/2026</v>
      </c>
      <c r="P383" s="46">
        <f t="shared" si="2"/>
        <v>1774274100</v>
      </c>
      <c r="Q383" s="47"/>
      <c r="R383" s="48"/>
      <c r="S383" s="46"/>
      <c r="T383" s="49" t="s">
        <v>2811</v>
      </c>
      <c r="U383" s="49" t="s">
        <v>2812</v>
      </c>
      <c r="V383" s="49" t="s">
        <v>2813</v>
      </c>
      <c r="W383" s="46"/>
      <c r="X383" s="49" t="s">
        <v>132</v>
      </c>
      <c r="Y383" s="50" t="s">
        <v>133</v>
      </c>
      <c r="Z383" s="50" t="s">
        <v>134</v>
      </c>
      <c r="AA383" s="46"/>
      <c r="AB383" s="26"/>
      <c r="AC383" s="51" t="s">
        <v>135</v>
      </c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>
      <c r="A384" s="35">
        <v>46105.0</v>
      </c>
      <c r="B384" s="36" t="s">
        <v>2814</v>
      </c>
      <c r="C384" s="37" t="s">
        <v>2815</v>
      </c>
      <c r="D384" s="37" t="s">
        <v>2816</v>
      </c>
      <c r="E384" s="54">
        <v>4792304714</v>
      </c>
      <c r="F384" s="39" t="s">
        <v>2817</v>
      </c>
      <c r="G384" s="37" t="str">
        <f>IF(NOT(ISERROR(MATCH(D384,'Tannbleking - Oppsalg US'!D:D, 0))), "Ja", "")</f>
        <v/>
      </c>
      <c r="H384" s="37"/>
      <c r="I384" s="37" t="s">
        <v>44</v>
      </c>
      <c r="J384" s="40" t="s">
        <v>2818</v>
      </c>
      <c r="K384" s="41"/>
      <c r="L384" s="42" t="s">
        <v>128</v>
      </c>
      <c r="M384" s="43" t="s">
        <v>2731</v>
      </c>
      <c r="N384" s="44">
        <v>6.909891509537E12</v>
      </c>
      <c r="O384" s="53" t="str">
        <f t="shared" si="1"/>
        <v>24/03/2026</v>
      </c>
      <c r="P384" s="46">
        <f t="shared" si="2"/>
        <v>1774335420</v>
      </c>
      <c r="Q384" s="47"/>
      <c r="R384" s="48"/>
      <c r="S384" s="46"/>
      <c r="T384" s="49" t="s">
        <v>2819</v>
      </c>
      <c r="U384" s="49" t="s">
        <v>2820</v>
      </c>
      <c r="V384" s="49" t="s">
        <v>2821</v>
      </c>
      <c r="W384" s="46"/>
      <c r="X384" s="49" t="s">
        <v>132</v>
      </c>
      <c r="Y384" s="50" t="s">
        <v>133</v>
      </c>
      <c r="Z384" s="50" t="s">
        <v>134</v>
      </c>
      <c r="AA384" s="46"/>
      <c r="AB384" s="26"/>
      <c r="AC384" s="51" t="s">
        <v>1282</v>
      </c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>
      <c r="A385" s="35">
        <v>46105.0</v>
      </c>
      <c r="B385" s="36" t="s">
        <v>2822</v>
      </c>
      <c r="C385" s="37" t="s">
        <v>2823</v>
      </c>
      <c r="D385" s="37" t="s">
        <v>2824</v>
      </c>
      <c r="E385" s="54">
        <v>4740098972</v>
      </c>
      <c r="F385" s="39" t="s">
        <v>2825</v>
      </c>
      <c r="G385" s="37" t="str">
        <f>IF(NOT(ISERROR(MATCH(D385,'Tannbleking - Oppsalg US'!D:D, 0))), "Ja", "")</f>
        <v/>
      </c>
      <c r="H385" s="37" t="s">
        <v>50</v>
      </c>
      <c r="I385" s="37" t="s">
        <v>107</v>
      </c>
      <c r="J385" s="40"/>
      <c r="K385" s="41"/>
      <c r="L385" s="42" t="s">
        <v>128</v>
      </c>
      <c r="M385" s="43" t="s">
        <v>2738</v>
      </c>
      <c r="N385" s="44">
        <v>6.909891506337E12</v>
      </c>
      <c r="O385" s="53" t="str">
        <f t="shared" si="1"/>
        <v>24/03/2026</v>
      </c>
      <c r="P385" s="46">
        <f t="shared" si="2"/>
        <v>1774356960</v>
      </c>
      <c r="Q385" s="47"/>
      <c r="R385" s="48"/>
      <c r="S385" s="46"/>
      <c r="T385" s="49" t="s">
        <v>2826</v>
      </c>
      <c r="U385" s="49" t="s">
        <v>2827</v>
      </c>
      <c r="V385" s="49" t="s">
        <v>2828</v>
      </c>
      <c r="W385" s="46"/>
      <c r="X385" s="49" t="s">
        <v>132</v>
      </c>
      <c r="Y385" s="50" t="s">
        <v>133</v>
      </c>
      <c r="Z385" s="50" t="s">
        <v>134</v>
      </c>
      <c r="AA385" s="46"/>
      <c r="AB385" s="26"/>
      <c r="AC385" s="51" t="s">
        <v>144</v>
      </c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>
      <c r="A386" s="35">
        <v>46106.0</v>
      </c>
      <c r="B386" s="36" t="s">
        <v>288</v>
      </c>
      <c r="C386" s="37" t="s">
        <v>2829</v>
      </c>
      <c r="D386" s="37" t="s">
        <v>2830</v>
      </c>
      <c r="E386" s="54">
        <v>4793224818</v>
      </c>
      <c r="F386" s="39" t="s">
        <v>2831</v>
      </c>
      <c r="G386" s="37" t="str">
        <f>IF(NOT(ISERROR(MATCH(D386,'Tannbleking - Oppsalg US'!D:D, 0))), "Ja", "")</f>
        <v/>
      </c>
      <c r="H386" s="37" t="s">
        <v>50</v>
      </c>
      <c r="I386" s="37" t="s">
        <v>44</v>
      </c>
      <c r="J386" s="40"/>
      <c r="K386" s="41"/>
      <c r="L386" s="42" t="s">
        <v>128</v>
      </c>
      <c r="M386" s="43" t="s">
        <v>2738</v>
      </c>
      <c r="N386" s="44">
        <v>6.909891506337E12</v>
      </c>
      <c r="O386" s="53" t="str">
        <f t="shared" si="1"/>
        <v>25/03/2026</v>
      </c>
      <c r="P386" s="46">
        <f t="shared" si="2"/>
        <v>1774419480</v>
      </c>
      <c r="Q386" s="47"/>
      <c r="R386" s="48"/>
      <c r="S386" s="46"/>
      <c r="T386" s="49" t="s">
        <v>2832</v>
      </c>
      <c r="U386" s="49" t="s">
        <v>2833</v>
      </c>
      <c r="V386" s="49" t="s">
        <v>2834</v>
      </c>
      <c r="W386" s="46"/>
      <c r="X386" s="49" t="s">
        <v>132</v>
      </c>
      <c r="Y386" s="50" t="s">
        <v>133</v>
      </c>
      <c r="Z386" s="50" t="s">
        <v>134</v>
      </c>
      <c r="AA386" s="46"/>
      <c r="AB386" s="26"/>
      <c r="AC386" s="51" t="s">
        <v>135</v>
      </c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>
      <c r="A387" s="35">
        <v>46106.0</v>
      </c>
      <c r="B387" s="36" t="s">
        <v>2835</v>
      </c>
      <c r="C387" s="37" t="s">
        <v>2252</v>
      </c>
      <c r="D387" s="37" t="s">
        <v>2253</v>
      </c>
      <c r="E387" s="54">
        <v>4745925154</v>
      </c>
      <c r="F387" s="39" t="s">
        <v>2836</v>
      </c>
      <c r="G387" s="37" t="str">
        <f>IF(NOT(ISERROR(MATCH(D387,'Tannbleking - Oppsalg US'!D:D, 0))), "Ja", "")</f>
        <v/>
      </c>
      <c r="H387" s="37" t="s">
        <v>50</v>
      </c>
      <c r="I387" s="37" t="s">
        <v>44</v>
      </c>
      <c r="J387" s="40"/>
      <c r="K387" s="41"/>
      <c r="L387" s="42" t="s">
        <v>128</v>
      </c>
      <c r="M387" s="43" t="s">
        <v>2520</v>
      </c>
      <c r="N387" s="44">
        <v>6.909891509737E12</v>
      </c>
      <c r="O387" s="53" t="str">
        <f t="shared" si="1"/>
        <v>25/03/2026</v>
      </c>
      <c r="P387" s="46">
        <f t="shared" si="2"/>
        <v>1774423680</v>
      </c>
      <c r="Q387" s="47"/>
      <c r="R387" s="48"/>
      <c r="S387" s="46"/>
      <c r="T387" s="49" t="s">
        <v>2255</v>
      </c>
      <c r="U387" s="49" t="s">
        <v>2256</v>
      </c>
      <c r="V387" s="49" t="s">
        <v>2837</v>
      </c>
      <c r="W387" s="46"/>
      <c r="X387" s="49" t="s">
        <v>132</v>
      </c>
      <c r="Y387" s="50" t="s">
        <v>133</v>
      </c>
      <c r="Z387" s="50" t="s">
        <v>134</v>
      </c>
      <c r="AA387" s="46"/>
      <c r="AB387" s="26"/>
      <c r="AC387" s="51" t="s">
        <v>144</v>
      </c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>
      <c r="A388" s="35">
        <v>46107.0</v>
      </c>
      <c r="B388" s="36" t="s">
        <v>2085</v>
      </c>
      <c r="C388" s="37" t="s">
        <v>2838</v>
      </c>
      <c r="D388" s="37" t="s">
        <v>2839</v>
      </c>
      <c r="E388" s="54">
        <v>4799226811</v>
      </c>
      <c r="F388" s="39" t="s">
        <v>2840</v>
      </c>
      <c r="G388" s="37" t="str">
        <f>IF(NOT(ISERROR(MATCH(D388,'Tannbleking - Oppsalg US'!D:D, 0))), "Ja", "")</f>
        <v/>
      </c>
      <c r="H388" s="37" t="s">
        <v>50</v>
      </c>
      <c r="I388" s="37" t="s">
        <v>44</v>
      </c>
      <c r="J388" s="40"/>
      <c r="K388" s="41"/>
      <c r="L388" s="42" t="s">
        <v>128</v>
      </c>
      <c r="M388" s="43" t="s">
        <v>2738</v>
      </c>
      <c r="N388" s="44">
        <v>6.909891506337E12</v>
      </c>
      <c r="O388" s="53" t="str">
        <f t="shared" si="1"/>
        <v>26/03/2026</v>
      </c>
      <c r="P388" s="46">
        <f t="shared" si="2"/>
        <v>1774523880</v>
      </c>
      <c r="Q388" s="47"/>
      <c r="R388" s="48"/>
      <c r="S388" s="46"/>
      <c r="T388" s="49" t="s">
        <v>2841</v>
      </c>
      <c r="U388" s="49" t="s">
        <v>2842</v>
      </c>
      <c r="V388" s="49" t="s">
        <v>2843</v>
      </c>
      <c r="W388" s="46"/>
      <c r="X388" s="49" t="s">
        <v>132</v>
      </c>
      <c r="Y388" s="50" t="s">
        <v>133</v>
      </c>
      <c r="Z388" s="50" t="s">
        <v>134</v>
      </c>
      <c r="AA388" s="46"/>
      <c r="AB388" s="26"/>
      <c r="AC388" s="51" t="s">
        <v>423</v>
      </c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>
      <c r="A389" s="35">
        <v>46107.0</v>
      </c>
      <c r="B389" s="36" t="s">
        <v>2844</v>
      </c>
      <c r="C389" s="37" t="s">
        <v>2845</v>
      </c>
      <c r="D389" s="37" t="s">
        <v>2846</v>
      </c>
      <c r="E389" s="54">
        <v>4746839554</v>
      </c>
      <c r="F389" s="39" t="s">
        <v>2847</v>
      </c>
      <c r="G389" s="37" t="str">
        <f>IF(NOT(ISERROR(MATCH(D389,'Tannbleking - Oppsalg US'!D:D, 0))), "Ja", "")</f>
        <v/>
      </c>
      <c r="H389" s="37" t="s">
        <v>50</v>
      </c>
      <c r="I389" s="37" t="s">
        <v>44</v>
      </c>
      <c r="J389" s="40"/>
      <c r="K389" s="41"/>
      <c r="L389" s="42" t="s">
        <v>128</v>
      </c>
      <c r="M389" s="43" t="s">
        <v>2738</v>
      </c>
      <c r="N389" s="44">
        <v>6.909891506337E12</v>
      </c>
      <c r="O389" s="53" t="str">
        <f t="shared" si="1"/>
        <v>26/03/2026</v>
      </c>
      <c r="P389" s="46">
        <f t="shared" si="2"/>
        <v>1774525620</v>
      </c>
      <c r="Q389" s="47"/>
      <c r="R389" s="48"/>
      <c r="S389" s="46"/>
      <c r="T389" s="49" t="s">
        <v>2848</v>
      </c>
      <c r="U389" s="49" t="s">
        <v>2849</v>
      </c>
      <c r="V389" s="49" t="s">
        <v>2850</v>
      </c>
      <c r="W389" s="46"/>
      <c r="X389" s="49" t="s">
        <v>132</v>
      </c>
      <c r="Y389" s="50" t="s">
        <v>133</v>
      </c>
      <c r="Z389" s="50" t="s">
        <v>134</v>
      </c>
      <c r="AA389" s="46"/>
      <c r="AB389" s="26"/>
      <c r="AC389" s="51" t="s">
        <v>135</v>
      </c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>
      <c r="A390" s="35">
        <v>46107.0</v>
      </c>
      <c r="B390" s="36" t="s">
        <v>2851</v>
      </c>
      <c r="C390" s="37" t="s">
        <v>2852</v>
      </c>
      <c r="D390" s="37" t="s">
        <v>2853</v>
      </c>
      <c r="E390" s="54">
        <v>4792953876</v>
      </c>
      <c r="F390" s="39" t="s">
        <v>2854</v>
      </c>
      <c r="G390" s="37" t="str">
        <f>IF(NOT(ISERROR(MATCH(D390,'Tannbleking - Oppsalg US'!D:D, 0))), "Ja", "")</f>
        <v/>
      </c>
      <c r="H390" s="37" t="s">
        <v>50</v>
      </c>
      <c r="I390" s="37" t="s">
        <v>107</v>
      </c>
      <c r="J390" s="40"/>
      <c r="K390" s="41"/>
      <c r="L390" s="42" t="s">
        <v>128</v>
      </c>
      <c r="M390" s="43" t="s">
        <v>2738</v>
      </c>
      <c r="N390" s="44">
        <v>6.909891506337E12</v>
      </c>
      <c r="O390" s="53" t="str">
        <f t="shared" si="1"/>
        <v>26/03/2026</v>
      </c>
      <c r="P390" s="46">
        <f t="shared" si="2"/>
        <v>1774530660</v>
      </c>
      <c r="Q390" s="47"/>
      <c r="R390" s="48"/>
      <c r="S390" s="46"/>
      <c r="T390" s="49" t="s">
        <v>2855</v>
      </c>
      <c r="U390" s="49" t="s">
        <v>2856</v>
      </c>
      <c r="V390" s="49" t="s">
        <v>2857</v>
      </c>
      <c r="W390" s="46"/>
      <c r="X390" s="49" t="s">
        <v>132</v>
      </c>
      <c r="Y390" s="50" t="s">
        <v>133</v>
      </c>
      <c r="Z390" s="50" t="s">
        <v>134</v>
      </c>
      <c r="AA390" s="46"/>
      <c r="AB390" s="26"/>
      <c r="AC390" s="51" t="s">
        <v>135</v>
      </c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>
      <c r="A391" s="35">
        <v>46108.0</v>
      </c>
      <c r="B391" s="36" t="s">
        <v>2858</v>
      </c>
      <c r="C391" s="37" t="s">
        <v>2859</v>
      </c>
      <c r="D391" s="37" t="s">
        <v>2860</v>
      </c>
      <c r="E391" s="54">
        <v>4795443850</v>
      </c>
      <c r="F391" s="39" t="s">
        <v>2709</v>
      </c>
      <c r="G391" s="37" t="str">
        <f>IF(NOT(ISERROR(MATCH(D391,'Tannbleking - Oppsalg US'!D:D, 0))), "Ja", "")</f>
        <v/>
      </c>
      <c r="H391" s="37" t="s">
        <v>50</v>
      </c>
      <c r="I391" s="37" t="s">
        <v>44</v>
      </c>
      <c r="J391" s="40"/>
      <c r="K391" s="41"/>
      <c r="L391" s="42" t="s">
        <v>128</v>
      </c>
      <c r="M391" s="43" t="s">
        <v>2746</v>
      </c>
      <c r="N391" s="44">
        <v>6.909891506937E12</v>
      </c>
      <c r="O391" s="53" t="str">
        <f t="shared" si="1"/>
        <v>27/03/2026</v>
      </c>
      <c r="P391" s="46">
        <f t="shared" si="2"/>
        <v>1774602360</v>
      </c>
      <c r="Q391" s="47"/>
      <c r="R391" s="48"/>
      <c r="S391" s="46"/>
      <c r="T391" s="49" t="s">
        <v>2861</v>
      </c>
      <c r="U391" s="49" t="s">
        <v>2862</v>
      </c>
      <c r="V391" s="49" t="s">
        <v>2863</v>
      </c>
      <c r="W391" s="46"/>
      <c r="X391" s="49" t="s">
        <v>132</v>
      </c>
      <c r="Y391" s="50" t="s">
        <v>133</v>
      </c>
      <c r="Z391" s="50" t="s">
        <v>134</v>
      </c>
      <c r="AA391" s="46"/>
      <c r="AB391" s="26"/>
      <c r="AC391" s="51" t="s">
        <v>135</v>
      </c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>
      <c r="A392" s="35">
        <v>46108.0</v>
      </c>
      <c r="B392" s="36" t="s">
        <v>2864</v>
      </c>
      <c r="C392" s="37" t="s">
        <v>2865</v>
      </c>
      <c r="D392" s="37" t="s">
        <v>2866</v>
      </c>
      <c r="E392" s="54">
        <v>4747670460</v>
      </c>
      <c r="F392" s="39" t="s">
        <v>2867</v>
      </c>
      <c r="G392" s="37" t="str">
        <f>IF(NOT(ISERROR(MATCH(D392,'Tannbleking - Oppsalg US'!D:D, 0))), "Ja", "")</f>
        <v/>
      </c>
      <c r="H392" s="37" t="s">
        <v>50</v>
      </c>
      <c r="I392" s="37" t="s">
        <v>107</v>
      </c>
      <c r="J392" s="40"/>
      <c r="K392" s="41"/>
      <c r="L392" s="42" t="s">
        <v>128</v>
      </c>
      <c r="M392" s="43" t="s">
        <v>2746</v>
      </c>
      <c r="N392" s="44">
        <v>6.909891506937E12</v>
      </c>
      <c r="O392" s="53" t="str">
        <f t="shared" si="1"/>
        <v>27/03/2026</v>
      </c>
      <c r="P392" s="46">
        <f t="shared" si="2"/>
        <v>1774607040</v>
      </c>
      <c r="Q392" s="47"/>
      <c r="R392" s="48"/>
      <c r="S392" s="46"/>
      <c r="T392" s="49" t="s">
        <v>2868</v>
      </c>
      <c r="U392" s="49" t="s">
        <v>2869</v>
      </c>
      <c r="V392" s="49" t="s">
        <v>2870</v>
      </c>
      <c r="W392" s="46"/>
      <c r="X392" s="49" t="s">
        <v>132</v>
      </c>
      <c r="Y392" s="50" t="s">
        <v>133</v>
      </c>
      <c r="Z392" s="50" t="s">
        <v>134</v>
      </c>
      <c r="AA392" s="46"/>
      <c r="AB392" s="26"/>
      <c r="AC392" s="51" t="s">
        <v>135</v>
      </c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>
      <c r="A393" s="35">
        <v>46109.0</v>
      </c>
      <c r="B393" s="36" t="s">
        <v>2871</v>
      </c>
      <c r="C393" s="37" t="s">
        <v>2872</v>
      </c>
      <c r="D393" s="37" t="s">
        <v>2873</v>
      </c>
      <c r="E393" s="54">
        <v>4741271349</v>
      </c>
      <c r="F393" s="39" t="s">
        <v>2874</v>
      </c>
      <c r="G393" s="37" t="str">
        <f>IF(NOT(ISERROR(MATCH(D393,'Tannbleking - Oppsalg US'!D:D, 0))), "Ja", "")</f>
        <v/>
      </c>
      <c r="H393" s="37" t="s">
        <v>50</v>
      </c>
      <c r="I393" s="37" t="s">
        <v>44</v>
      </c>
      <c r="J393" s="40"/>
      <c r="K393" s="41"/>
      <c r="L393" s="42" t="s">
        <v>128</v>
      </c>
      <c r="M393" s="43" t="s">
        <v>2738</v>
      </c>
      <c r="N393" s="44">
        <v>6.909891506337E12</v>
      </c>
      <c r="O393" s="53" t="str">
        <f t="shared" si="1"/>
        <v>28/03/2026</v>
      </c>
      <c r="P393" s="46">
        <f t="shared" si="2"/>
        <v>1774692000</v>
      </c>
      <c r="Q393" s="47"/>
      <c r="R393" s="48"/>
      <c r="S393" s="46"/>
      <c r="T393" s="49" t="s">
        <v>2875</v>
      </c>
      <c r="U393" s="49" t="s">
        <v>2876</v>
      </c>
      <c r="V393" s="49" t="s">
        <v>2877</v>
      </c>
      <c r="W393" s="46"/>
      <c r="X393" s="49" t="s">
        <v>132</v>
      </c>
      <c r="Y393" s="50" t="s">
        <v>133</v>
      </c>
      <c r="Z393" s="50" t="s">
        <v>134</v>
      </c>
      <c r="AA393" s="46"/>
      <c r="AB393" s="26"/>
      <c r="AC393" s="51" t="s">
        <v>135</v>
      </c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>
      <c r="A394" s="35">
        <v>46109.0</v>
      </c>
      <c r="B394" s="36" t="s">
        <v>2878</v>
      </c>
      <c r="C394" s="37" t="s">
        <v>2879</v>
      </c>
      <c r="D394" s="37" t="s">
        <v>2880</v>
      </c>
      <c r="E394" s="54">
        <v>4740844897</v>
      </c>
      <c r="F394" s="39" t="s">
        <v>2881</v>
      </c>
      <c r="G394" s="37" t="str">
        <f>IF(NOT(ISERROR(MATCH(D394,'Tannbleking - Oppsalg US'!D:D, 0))), "Ja", "")</f>
        <v/>
      </c>
      <c r="H394" s="37" t="s">
        <v>50</v>
      </c>
      <c r="I394" s="37" t="s">
        <v>44</v>
      </c>
      <c r="J394" s="40"/>
      <c r="K394" s="41"/>
      <c r="L394" s="42" t="s">
        <v>347</v>
      </c>
      <c r="M394" s="43">
        <v>6.909891506337E12</v>
      </c>
      <c r="N394" s="44"/>
      <c r="O394" s="53" t="str">
        <f t="shared" si="1"/>
        <v>28/03/2026</v>
      </c>
      <c r="P394" s="46">
        <f t="shared" si="2"/>
        <v>1774704780</v>
      </c>
      <c r="Q394" s="47"/>
      <c r="R394" s="48"/>
      <c r="S394" s="46"/>
      <c r="T394" s="49" t="s">
        <v>2882</v>
      </c>
      <c r="U394" s="49" t="s">
        <v>2883</v>
      </c>
      <c r="V394" s="49" t="s">
        <v>2884</v>
      </c>
      <c r="W394" s="46"/>
      <c r="X394" s="49" t="s">
        <v>132</v>
      </c>
      <c r="Y394" s="50" t="s">
        <v>133</v>
      </c>
      <c r="Z394" s="50" t="s">
        <v>134</v>
      </c>
      <c r="AA394" s="46"/>
      <c r="AB394" s="26"/>
      <c r="AC394" s="51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>
      <c r="A395" s="35">
        <v>46109.0</v>
      </c>
      <c r="B395" s="36" t="s">
        <v>2594</v>
      </c>
      <c r="C395" s="37" t="s">
        <v>2885</v>
      </c>
      <c r="D395" s="37" t="s">
        <v>2886</v>
      </c>
      <c r="E395" s="54">
        <v>4798447265</v>
      </c>
      <c r="F395" s="39" t="s">
        <v>2887</v>
      </c>
      <c r="G395" s="37" t="str">
        <f>IF(NOT(ISERROR(MATCH(D395,'Tannbleking - Oppsalg US'!D:D, 0))), "Ja", "")</f>
        <v/>
      </c>
      <c r="H395" s="37" t="s">
        <v>43</v>
      </c>
      <c r="I395" s="37" t="s">
        <v>107</v>
      </c>
      <c r="J395" s="40"/>
      <c r="K395" s="41"/>
      <c r="L395" s="42" t="s">
        <v>128</v>
      </c>
      <c r="M395" s="43" t="s">
        <v>2738</v>
      </c>
      <c r="N395" s="44">
        <v>6.909891506337E12</v>
      </c>
      <c r="O395" s="53" t="str">
        <f t="shared" si="1"/>
        <v>28/03/2026</v>
      </c>
      <c r="P395" s="46">
        <f t="shared" si="2"/>
        <v>1774709880</v>
      </c>
      <c r="Q395" s="47"/>
      <c r="R395" s="48"/>
      <c r="S395" s="46"/>
      <c r="T395" s="49" t="s">
        <v>2888</v>
      </c>
      <c r="U395" s="49" t="s">
        <v>2889</v>
      </c>
      <c r="V395" s="49" t="s">
        <v>2890</v>
      </c>
      <c r="W395" s="46"/>
      <c r="X395" s="49" t="s">
        <v>132</v>
      </c>
      <c r="Y395" s="50" t="s">
        <v>133</v>
      </c>
      <c r="Z395" s="50" t="s">
        <v>134</v>
      </c>
      <c r="AA395" s="46"/>
      <c r="AB395" s="26"/>
      <c r="AC395" s="51" t="s">
        <v>135</v>
      </c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>
      <c r="A396" s="35">
        <v>46110.0</v>
      </c>
      <c r="B396" s="36" t="s">
        <v>2891</v>
      </c>
      <c r="C396" s="37" t="s">
        <v>2892</v>
      </c>
      <c r="D396" s="37" t="s">
        <v>2893</v>
      </c>
      <c r="E396" s="54">
        <v>4745054413</v>
      </c>
      <c r="F396" s="39" t="s">
        <v>2894</v>
      </c>
      <c r="G396" s="37" t="str">
        <f>IF(NOT(ISERROR(MATCH(D396,'Tannbleking - Oppsalg US'!D:D, 0))), "Ja", "")</f>
        <v/>
      </c>
      <c r="H396" s="37" t="s">
        <v>43</v>
      </c>
      <c r="I396" s="37" t="s">
        <v>72</v>
      </c>
      <c r="J396" s="40"/>
      <c r="K396" s="41"/>
      <c r="L396" s="42" t="s">
        <v>128</v>
      </c>
      <c r="M396" s="43" t="s">
        <v>2738</v>
      </c>
      <c r="N396" s="44">
        <v>6.909891506337E12</v>
      </c>
      <c r="O396" s="53" t="str">
        <f t="shared" si="1"/>
        <v>29/03/2026</v>
      </c>
      <c r="P396" s="46">
        <f t="shared" si="2"/>
        <v>1774772160</v>
      </c>
      <c r="Q396" s="47"/>
      <c r="R396" s="48"/>
      <c r="S396" s="46"/>
      <c r="T396" s="49" t="s">
        <v>2895</v>
      </c>
      <c r="U396" s="49" t="s">
        <v>2896</v>
      </c>
      <c r="V396" s="49" t="s">
        <v>2897</v>
      </c>
      <c r="W396" s="46"/>
      <c r="X396" s="49" t="s">
        <v>132</v>
      </c>
      <c r="Y396" s="50" t="s">
        <v>133</v>
      </c>
      <c r="Z396" s="50" t="s">
        <v>134</v>
      </c>
      <c r="AA396" s="46"/>
      <c r="AB396" s="26"/>
      <c r="AC396" s="51" t="s">
        <v>135</v>
      </c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>
      <c r="A397" s="35">
        <v>46110.0</v>
      </c>
      <c r="B397" s="36" t="s">
        <v>2898</v>
      </c>
      <c r="C397" s="37" t="s">
        <v>2899</v>
      </c>
      <c r="D397" s="37" t="s">
        <v>2900</v>
      </c>
      <c r="E397" s="54">
        <v>4790691054</v>
      </c>
      <c r="F397" s="39" t="s">
        <v>2887</v>
      </c>
      <c r="G397" s="37" t="str">
        <f>IF(NOT(ISERROR(MATCH(D397,'Tannbleking - Oppsalg US'!D:D, 0))), "Ja", "")</f>
        <v/>
      </c>
      <c r="H397" s="37" t="s">
        <v>50</v>
      </c>
      <c r="I397" s="37" t="s">
        <v>44</v>
      </c>
      <c r="J397" s="40"/>
      <c r="K397" s="41"/>
      <c r="L397" s="42" t="s">
        <v>128</v>
      </c>
      <c r="M397" s="43" t="s">
        <v>2738</v>
      </c>
      <c r="N397" s="44">
        <v>6.909891506337E12</v>
      </c>
      <c r="O397" s="53" t="str">
        <f t="shared" si="1"/>
        <v>29/03/2026</v>
      </c>
      <c r="P397" s="46">
        <f t="shared" si="2"/>
        <v>1774800600</v>
      </c>
      <c r="Q397" s="47"/>
      <c r="R397" s="48"/>
      <c r="S397" s="46"/>
      <c r="T397" s="49" t="s">
        <v>2901</v>
      </c>
      <c r="U397" s="49" t="s">
        <v>2902</v>
      </c>
      <c r="V397" s="49" t="s">
        <v>2903</v>
      </c>
      <c r="W397" s="46"/>
      <c r="X397" s="49" t="s">
        <v>132</v>
      </c>
      <c r="Y397" s="50" t="s">
        <v>133</v>
      </c>
      <c r="Z397" s="50" t="s">
        <v>134</v>
      </c>
      <c r="AA397" s="46"/>
      <c r="AB397" s="26"/>
      <c r="AC397" s="51" t="s">
        <v>135</v>
      </c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>
      <c r="A398" s="35">
        <v>46111.0</v>
      </c>
      <c r="B398" s="36" t="s">
        <v>2904</v>
      </c>
      <c r="C398" s="37" t="s">
        <v>2905</v>
      </c>
      <c r="D398" s="37" t="s">
        <v>2906</v>
      </c>
      <c r="E398" s="54">
        <v>4799567772</v>
      </c>
      <c r="F398" s="39" t="s">
        <v>2881</v>
      </c>
      <c r="G398" s="37" t="str">
        <f>IF(NOT(ISERROR(MATCH(D398,'Tannbleking - Oppsalg US'!D:D, 0))), "Ja", "")</f>
        <v/>
      </c>
      <c r="H398" s="37" t="s">
        <v>50</v>
      </c>
      <c r="I398" s="37" t="s">
        <v>44</v>
      </c>
      <c r="J398" s="40"/>
      <c r="K398" s="41"/>
      <c r="L398" s="42" t="s">
        <v>128</v>
      </c>
      <c r="M398" s="43" t="s">
        <v>2327</v>
      </c>
      <c r="N398" s="44">
        <v>6.909891508137E12</v>
      </c>
      <c r="O398" s="53" t="str">
        <f t="shared" si="1"/>
        <v>30/03/2026</v>
      </c>
      <c r="P398" s="46">
        <f t="shared" si="2"/>
        <v>1774877820</v>
      </c>
      <c r="Q398" s="47"/>
      <c r="R398" s="48"/>
      <c r="S398" s="46"/>
      <c r="T398" s="49" t="s">
        <v>2907</v>
      </c>
      <c r="U398" s="49" t="s">
        <v>2908</v>
      </c>
      <c r="V398" s="49" t="s">
        <v>2909</v>
      </c>
      <c r="W398" s="46"/>
      <c r="X398" s="49" t="s">
        <v>132</v>
      </c>
      <c r="Y398" s="50" t="s">
        <v>133</v>
      </c>
      <c r="Z398" s="50" t="s">
        <v>134</v>
      </c>
      <c r="AA398" s="46"/>
      <c r="AB398" s="26"/>
      <c r="AC398" s="51" t="s">
        <v>135</v>
      </c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>
      <c r="A399" s="35">
        <v>46114.0</v>
      </c>
      <c r="B399" s="36" t="s">
        <v>2910</v>
      </c>
      <c r="C399" s="37" t="s">
        <v>2911</v>
      </c>
      <c r="D399" s="37" t="s">
        <v>2912</v>
      </c>
      <c r="E399" s="54">
        <v>4798486797</v>
      </c>
      <c r="F399" s="39" t="s">
        <v>2913</v>
      </c>
      <c r="G399" s="37" t="str">
        <f>IF(NOT(ISERROR(MATCH(D399,'Tannbleking - Oppsalg US'!D:D, 0))), "Ja", "")</f>
        <v/>
      </c>
      <c r="H399" s="37" t="s">
        <v>50</v>
      </c>
      <c r="I399" s="37" t="s">
        <v>44</v>
      </c>
      <c r="J399" s="40"/>
      <c r="K399" s="41"/>
      <c r="L399" s="42" t="s">
        <v>128</v>
      </c>
      <c r="M399" s="43" t="s">
        <v>2738</v>
      </c>
      <c r="N399" s="44">
        <v>6.920645523737E12</v>
      </c>
      <c r="O399" s="53" t="str">
        <f t="shared" si="1"/>
        <v>02/04/2026</v>
      </c>
      <c r="P399" s="46">
        <f t="shared" si="2"/>
        <v>1775091060</v>
      </c>
      <c r="Q399" s="47"/>
      <c r="R399" s="48"/>
      <c r="S399" s="46"/>
      <c r="T399" s="49" t="s">
        <v>2914</v>
      </c>
      <c r="U399" s="49" t="s">
        <v>2915</v>
      </c>
      <c r="V399" s="49" t="s">
        <v>2916</v>
      </c>
      <c r="W399" s="46"/>
      <c r="X399" s="49" t="s">
        <v>132</v>
      </c>
      <c r="Y399" s="50" t="s">
        <v>133</v>
      </c>
      <c r="Z399" s="50" t="s">
        <v>134</v>
      </c>
      <c r="AA399" s="46"/>
      <c r="AB399" s="26"/>
      <c r="AC399" s="51" t="s">
        <v>135</v>
      </c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>
      <c r="A400" s="35">
        <v>46114.0</v>
      </c>
      <c r="B400" s="36" t="s">
        <v>2917</v>
      </c>
      <c r="C400" s="37" t="s">
        <v>2918</v>
      </c>
      <c r="D400" s="37" t="s">
        <v>2919</v>
      </c>
      <c r="E400" s="54">
        <v>4793896836</v>
      </c>
      <c r="F400" s="39" t="s">
        <v>2920</v>
      </c>
      <c r="G400" s="37" t="str">
        <f>IF(NOT(ISERROR(MATCH(D400,'Tannbleking - Oppsalg US'!D:D, 0))), "Ja", "")</f>
        <v/>
      </c>
      <c r="H400" s="37" t="s">
        <v>50</v>
      </c>
      <c r="I400" s="37" t="s">
        <v>107</v>
      </c>
      <c r="J400" s="40"/>
      <c r="K400" s="41"/>
      <c r="L400" s="42" t="s">
        <v>128</v>
      </c>
      <c r="M400" s="43" t="s">
        <v>2089</v>
      </c>
      <c r="N400" s="44">
        <v>6.920645521537E12</v>
      </c>
      <c r="O400" s="53" t="str">
        <f t="shared" si="1"/>
        <v>02/04/2026</v>
      </c>
      <c r="P400" s="46">
        <f t="shared" si="2"/>
        <v>1775093640</v>
      </c>
      <c r="Q400" s="47"/>
      <c r="R400" s="48"/>
      <c r="S400" s="46"/>
      <c r="T400" s="49" t="s">
        <v>2921</v>
      </c>
      <c r="U400" s="49" t="s">
        <v>2922</v>
      </c>
      <c r="V400" s="49" t="s">
        <v>2923</v>
      </c>
      <c r="W400" s="46"/>
      <c r="X400" s="49" t="s">
        <v>132</v>
      </c>
      <c r="Y400" s="50" t="s">
        <v>133</v>
      </c>
      <c r="Z400" s="50" t="s">
        <v>134</v>
      </c>
      <c r="AA400" s="46"/>
      <c r="AB400" s="26"/>
      <c r="AC400" s="51" t="s">
        <v>1282</v>
      </c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>
      <c r="A401" s="35">
        <v>46115.0</v>
      </c>
      <c r="B401" s="36" t="s">
        <v>2814</v>
      </c>
      <c r="C401" s="37" t="s">
        <v>2924</v>
      </c>
      <c r="D401" s="37" t="s">
        <v>2925</v>
      </c>
      <c r="E401" s="54">
        <v>4794488780</v>
      </c>
      <c r="F401" s="39" t="s">
        <v>2926</v>
      </c>
      <c r="G401" s="37" t="str">
        <f>IF(NOT(ISERROR(MATCH(D401,'Tannbleking - Oppsalg US'!D:D, 0))), "Ja", "")</f>
        <v/>
      </c>
      <c r="H401" s="37" t="s">
        <v>90</v>
      </c>
      <c r="I401" s="37" t="s">
        <v>107</v>
      </c>
      <c r="J401" s="40"/>
      <c r="K401" s="41"/>
      <c r="L401" s="42" t="s">
        <v>128</v>
      </c>
      <c r="M401" s="43" t="s">
        <v>2429</v>
      </c>
      <c r="N401" s="44">
        <v>6.920645521937E12</v>
      </c>
      <c r="O401" s="53" t="str">
        <f t="shared" si="1"/>
        <v>03/04/2026</v>
      </c>
      <c r="P401" s="46">
        <f t="shared" si="2"/>
        <v>1775199420</v>
      </c>
      <c r="Q401" s="47"/>
      <c r="R401" s="48"/>
      <c r="S401" s="46"/>
      <c r="T401" s="49" t="s">
        <v>2927</v>
      </c>
      <c r="U401" s="49" t="s">
        <v>2928</v>
      </c>
      <c r="V401" s="49" t="s">
        <v>2929</v>
      </c>
      <c r="W401" s="46"/>
      <c r="X401" s="49" t="s">
        <v>132</v>
      </c>
      <c r="Y401" s="50" t="s">
        <v>133</v>
      </c>
      <c r="Z401" s="50" t="s">
        <v>134</v>
      </c>
      <c r="AA401" s="46"/>
      <c r="AB401" s="26"/>
      <c r="AC401" s="51" t="s">
        <v>144</v>
      </c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>
      <c r="A402" s="35">
        <v>46115.0</v>
      </c>
      <c r="B402" s="36" t="s">
        <v>2930</v>
      </c>
      <c r="C402" s="37" t="s">
        <v>2931</v>
      </c>
      <c r="D402" s="37" t="s">
        <v>2932</v>
      </c>
      <c r="E402" s="54">
        <v>4799210879</v>
      </c>
      <c r="F402" s="39" t="s">
        <v>2933</v>
      </c>
      <c r="G402" s="37" t="str">
        <f>IF(NOT(ISERROR(MATCH(D402,'Tannbleking - Oppsalg US'!D:D, 0))), "Ja", "")</f>
        <v/>
      </c>
      <c r="H402" s="37" t="s">
        <v>50</v>
      </c>
      <c r="I402" s="37" t="s">
        <v>44</v>
      </c>
      <c r="J402" s="40"/>
      <c r="K402" s="41"/>
      <c r="L402" s="42" t="s">
        <v>128</v>
      </c>
      <c r="M402" s="43" t="s">
        <v>2738</v>
      </c>
      <c r="N402" s="44">
        <v>6.920645523737E12</v>
      </c>
      <c r="O402" s="53" t="str">
        <f t="shared" si="1"/>
        <v>03/04/2026</v>
      </c>
      <c r="P402" s="46">
        <f t="shared" si="2"/>
        <v>1775203680</v>
      </c>
      <c r="Q402" s="47"/>
      <c r="R402" s="48"/>
      <c r="S402" s="46"/>
      <c r="T402" s="49" t="s">
        <v>2934</v>
      </c>
      <c r="U402" s="49" t="s">
        <v>2935</v>
      </c>
      <c r="V402" s="49" t="s">
        <v>2936</v>
      </c>
      <c r="W402" s="46"/>
      <c r="X402" s="49" t="s">
        <v>132</v>
      </c>
      <c r="Y402" s="50" t="s">
        <v>133</v>
      </c>
      <c r="Z402" s="50" t="s">
        <v>134</v>
      </c>
      <c r="AA402" s="46"/>
      <c r="AB402" s="26"/>
      <c r="AC402" s="51" t="s">
        <v>135</v>
      </c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>
      <c r="A403" s="35">
        <v>46116.0</v>
      </c>
      <c r="B403" s="36" t="s">
        <v>2937</v>
      </c>
      <c r="C403" s="37" t="s">
        <v>2938</v>
      </c>
      <c r="D403" s="37" t="s">
        <v>2939</v>
      </c>
      <c r="E403" s="54">
        <v>4796511015</v>
      </c>
      <c r="F403" s="39" t="s">
        <v>2940</v>
      </c>
      <c r="G403" s="37" t="str">
        <f>IF(NOT(ISERROR(MATCH(D403,'Tannbleking - Oppsalg US'!D:D, 0))), "Ja", "")</f>
        <v/>
      </c>
      <c r="H403" s="37" t="s">
        <v>50</v>
      </c>
      <c r="I403" s="37" t="s">
        <v>107</v>
      </c>
      <c r="J403" s="40"/>
      <c r="K403" s="41"/>
      <c r="L403" s="42" t="s">
        <v>128</v>
      </c>
      <c r="M403" s="43" t="s">
        <v>2671</v>
      </c>
      <c r="N403" s="44">
        <v>6.920645524337E12</v>
      </c>
      <c r="O403" s="53" t="str">
        <f t="shared" si="1"/>
        <v>04/04/2026</v>
      </c>
      <c r="P403" s="46">
        <f t="shared" si="2"/>
        <v>1775307660</v>
      </c>
      <c r="Q403" s="47"/>
      <c r="R403" s="48"/>
      <c r="S403" s="46"/>
      <c r="T403" s="49" t="s">
        <v>2941</v>
      </c>
      <c r="U403" s="49" t="s">
        <v>2942</v>
      </c>
      <c r="V403" s="49" t="s">
        <v>2943</v>
      </c>
      <c r="W403" s="46"/>
      <c r="X403" s="49" t="s">
        <v>132</v>
      </c>
      <c r="Y403" s="50" t="s">
        <v>133</v>
      </c>
      <c r="Z403" s="50" t="s">
        <v>134</v>
      </c>
      <c r="AA403" s="46"/>
      <c r="AB403" s="26"/>
      <c r="AC403" s="51" t="s">
        <v>135</v>
      </c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>
      <c r="A404" s="35">
        <v>46116.0</v>
      </c>
      <c r="B404" s="36" t="s">
        <v>1422</v>
      </c>
      <c r="C404" s="37" t="s">
        <v>2944</v>
      </c>
      <c r="D404" s="37" t="s">
        <v>2945</v>
      </c>
      <c r="E404" s="54">
        <v>4794437949</v>
      </c>
      <c r="F404" s="39" t="s">
        <v>2946</v>
      </c>
      <c r="G404" s="37" t="str">
        <f>IF(NOT(ISERROR(MATCH(D404,'Tannbleking - Oppsalg US'!D:D, 0))), "Ja", "")</f>
        <v/>
      </c>
      <c r="H404" s="37" t="s">
        <v>50</v>
      </c>
      <c r="I404" s="37" t="s">
        <v>44</v>
      </c>
      <c r="J404" s="40"/>
      <c r="K404" s="41"/>
      <c r="L404" s="42" t="s">
        <v>128</v>
      </c>
      <c r="M404" s="43" t="s">
        <v>2731</v>
      </c>
      <c r="N404" s="44">
        <v>6.920645524937E12</v>
      </c>
      <c r="O404" s="53" t="str">
        <f t="shared" si="1"/>
        <v>04/04/2026</v>
      </c>
      <c r="P404" s="46">
        <f t="shared" si="2"/>
        <v>1775319840</v>
      </c>
      <c r="Q404" s="47"/>
      <c r="R404" s="48"/>
      <c r="S404" s="46"/>
      <c r="T404" s="49" t="s">
        <v>2947</v>
      </c>
      <c r="U404" s="49" t="s">
        <v>2948</v>
      </c>
      <c r="V404" s="49" t="s">
        <v>2949</v>
      </c>
      <c r="W404" s="46"/>
      <c r="X404" s="49" t="s">
        <v>132</v>
      </c>
      <c r="Y404" s="50" t="s">
        <v>133</v>
      </c>
      <c r="Z404" s="50" t="s">
        <v>134</v>
      </c>
      <c r="AA404" s="46"/>
      <c r="AB404" s="26"/>
      <c r="AC404" s="51" t="s">
        <v>135</v>
      </c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>
      <c r="A405" s="35">
        <v>46117.0</v>
      </c>
      <c r="B405" s="36" t="s">
        <v>2950</v>
      </c>
      <c r="C405" s="37" t="s">
        <v>2951</v>
      </c>
      <c r="D405" s="37" t="s">
        <v>2952</v>
      </c>
      <c r="E405" s="54">
        <v>4792818217</v>
      </c>
      <c r="F405" s="39" t="s">
        <v>2953</v>
      </c>
      <c r="G405" s="37" t="str">
        <f>IF(NOT(ISERROR(MATCH(D405,'Tannbleking - Oppsalg US'!D:D, 0))), "Ja", "")</f>
        <v/>
      </c>
      <c r="H405" s="37" t="s">
        <v>50</v>
      </c>
      <c r="I405" s="37" t="s">
        <v>44</v>
      </c>
      <c r="J405" s="40"/>
      <c r="K405" s="41"/>
      <c r="L405" s="42" t="s">
        <v>128</v>
      </c>
      <c r="M405" s="43" t="s">
        <v>2738</v>
      </c>
      <c r="N405" s="44">
        <v>6.920645523737E12</v>
      </c>
      <c r="O405" s="53" t="str">
        <f t="shared" si="1"/>
        <v>05/04/2026</v>
      </c>
      <c r="P405" s="46">
        <f t="shared" si="2"/>
        <v>1775381580</v>
      </c>
      <c r="Q405" s="47"/>
      <c r="R405" s="48"/>
      <c r="S405" s="46"/>
      <c r="T405" s="49" t="s">
        <v>2954</v>
      </c>
      <c r="U405" s="49" t="s">
        <v>2955</v>
      </c>
      <c r="V405" s="49" t="s">
        <v>2956</v>
      </c>
      <c r="W405" s="46"/>
      <c r="X405" s="49" t="s">
        <v>132</v>
      </c>
      <c r="Y405" s="50" t="s">
        <v>133</v>
      </c>
      <c r="Z405" s="50" t="s">
        <v>134</v>
      </c>
      <c r="AA405" s="46"/>
      <c r="AB405" s="26"/>
      <c r="AC405" s="51" t="s">
        <v>135</v>
      </c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>
      <c r="A406" s="35">
        <v>46117.0</v>
      </c>
      <c r="B406" s="36" t="s">
        <v>2957</v>
      </c>
      <c r="C406" s="37" t="s">
        <v>2958</v>
      </c>
      <c r="D406" s="37" t="s">
        <v>2959</v>
      </c>
      <c r="E406" s="54">
        <v>4795993447</v>
      </c>
      <c r="F406" s="39" t="s">
        <v>2960</v>
      </c>
      <c r="G406" s="37" t="str">
        <f>IF(NOT(ISERROR(MATCH(D406,'Tannbleking - Oppsalg US'!D:D, 0))), "Ja", "")</f>
        <v/>
      </c>
      <c r="H406" s="37" t="s">
        <v>50</v>
      </c>
      <c r="I406" s="37" t="s">
        <v>44</v>
      </c>
      <c r="J406" s="40"/>
      <c r="K406" s="41"/>
      <c r="L406" s="42" t="s">
        <v>128</v>
      </c>
      <c r="M406" s="43" t="s">
        <v>2089</v>
      </c>
      <c r="N406" s="44">
        <v>6.920645521537E12</v>
      </c>
      <c r="O406" s="53" t="str">
        <f t="shared" si="1"/>
        <v>05/04/2026</v>
      </c>
      <c r="P406" s="46">
        <f t="shared" si="2"/>
        <v>1775411280</v>
      </c>
      <c r="Q406" s="47"/>
      <c r="R406" s="48"/>
      <c r="S406" s="46"/>
      <c r="T406" s="49" t="s">
        <v>2961</v>
      </c>
      <c r="U406" s="49" t="s">
        <v>2962</v>
      </c>
      <c r="V406" s="49" t="s">
        <v>2963</v>
      </c>
      <c r="W406" s="46"/>
      <c r="X406" s="49" t="s">
        <v>132</v>
      </c>
      <c r="Y406" s="50" t="s">
        <v>133</v>
      </c>
      <c r="Z406" s="50" t="s">
        <v>134</v>
      </c>
      <c r="AA406" s="46"/>
      <c r="AB406" s="26"/>
      <c r="AC406" s="51" t="s">
        <v>135</v>
      </c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>
      <c r="A407" s="35">
        <v>46118.0</v>
      </c>
      <c r="B407" s="36" t="s">
        <v>2964</v>
      </c>
      <c r="C407" s="37" t="s">
        <v>2965</v>
      </c>
      <c r="D407" s="37" t="s">
        <v>2966</v>
      </c>
      <c r="E407" s="54">
        <v>4792526517</v>
      </c>
      <c r="F407" s="39" t="s">
        <v>2967</v>
      </c>
      <c r="G407" s="37" t="str">
        <f>IF(NOT(ISERROR(MATCH(D407,'Tannbleking - Oppsalg US'!D:D, 0))), "Ja", "")</f>
        <v/>
      </c>
      <c r="H407" s="37" t="s">
        <v>43</v>
      </c>
      <c r="I407" s="37" t="s">
        <v>107</v>
      </c>
      <c r="J407" s="40"/>
      <c r="K407" s="41"/>
      <c r="L407" s="42" t="s">
        <v>128</v>
      </c>
      <c r="M407" s="43" t="s">
        <v>2089</v>
      </c>
      <c r="N407" s="44">
        <v>6.920645521537E12</v>
      </c>
      <c r="O407" s="53" t="str">
        <f t="shared" si="1"/>
        <v>06/04/2026</v>
      </c>
      <c r="P407" s="46">
        <f t="shared" si="2"/>
        <v>1775437140</v>
      </c>
      <c r="Q407" s="47"/>
      <c r="R407" s="48"/>
      <c r="S407" s="46"/>
      <c r="T407" s="49" t="s">
        <v>2968</v>
      </c>
      <c r="U407" s="49" t="s">
        <v>2969</v>
      </c>
      <c r="V407" s="49" t="s">
        <v>2970</v>
      </c>
      <c r="W407" s="46"/>
      <c r="X407" s="49" t="s">
        <v>132</v>
      </c>
      <c r="Y407" s="50" t="s">
        <v>133</v>
      </c>
      <c r="Z407" s="50" t="s">
        <v>134</v>
      </c>
      <c r="AA407" s="46"/>
      <c r="AB407" s="26"/>
      <c r="AC407" s="51" t="s">
        <v>280</v>
      </c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>
      <c r="A408" s="35">
        <v>46118.0</v>
      </c>
      <c r="B408" s="36" t="s">
        <v>2971</v>
      </c>
      <c r="C408" s="37" t="s">
        <v>2972</v>
      </c>
      <c r="D408" s="37" t="s">
        <v>2816</v>
      </c>
      <c r="E408" s="54">
        <v>4792304714</v>
      </c>
      <c r="F408" s="39" t="s">
        <v>2973</v>
      </c>
      <c r="G408" s="37" t="str">
        <f>IF(NOT(ISERROR(MATCH(D408,'Tannbleking - Oppsalg US'!D:D, 0))), "Ja", "")</f>
        <v/>
      </c>
      <c r="H408" s="37" t="s">
        <v>50</v>
      </c>
      <c r="I408" s="37" t="s">
        <v>44</v>
      </c>
      <c r="J408" s="40"/>
      <c r="K408" s="41"/>
      <c r="L408" s="42" t="s">
        <v>128</v>
      </c>
      <c r="M408" s="43" t="s">
        <v>2731</v>
      </c>
      <c r="N408" s="44">
        <v>6.920645524937E12</v>
      </c>
      <c r="O408" s="53" t="str">
        <f t="shared" si="1"/>
        <v>06/04/2026</v>
      </c>
      <c r="P408" s="46">
        <f t="shared" si="2"/>
        <v>1775464920</v>
      </c>
      <c r="Q408" s="47"/>
      <c r="R408" s="48"/>
      <c r="S408" s="46"/>
      <c r="T408" s="49" t="s">
        <v>2974</v>
      </c>
      <c r="U408" s="49" t="s">
        <v>2820</v>
      </c>
      <c r="V408" s="49" t="s">
        <v>2975</v>
      </c>
      <c r="W408" s="46"/>
      <c r="X408" s="49" t="s">
        <v>132</v>
      </c>
      <c r="Y408" s="50" t="s">
        <v>133</v>
      </c>
      <c r="Z408" s="50" t="s">
        <v>134</v>
      </c>
      <c r="AA408" s="46"/>
      <c r="AB408" s="26"/>
      <c r="AC408" s="51" t="s">
        <v>135</v>
      </c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>
      <c r="A409" s="35">
        <v>46119.0</v>
      </c>
      <c r="B409" s="36" t="s">
        <v>2976</v>
      </c>
      <c r="C409" s="37" t="s">
        <v>2977</v>
      </c>
      <c r="D409" s="37" t="s">
        <v>2978</v>
      </c>
      <c r="E409" s="54">
        <v>4748685354</v>
      </c>
      <c r="F409" s="39" t="s">
        <v>2979</v>
      </c>
      <c r="G409" s="37" t="str">
        <f>IF(NOT(ISERROR(MATCH(D409,'Tannbleking - Oppsalg US'!D:D, 0))), "Ja", "")</f>
        <v/>
      </c>
      <c r="H409" s="37" t="s">
        <v>50</v>
      </c>
      <c r="I409" s="37" t="s">
        <v>107</v>
      </c>
      <c r="J409" s="40" t="s">
        <v>2980</v>
      </c>
      <c r="K409" s="41"/>
      <c r="L409" s="42"/>
      <c r="M409" s="43"/>
      <c r="N409" s="44"/>
      <c r="O409" s="53" t="str">
        <f t="shared" si="1"/>
        <v>07/04/2026</v>
      </c>
      <c r="P409" s="46">
        <f t="shared" si="2"/>
        <v>1775556300</v>
      </c>
      <c r="Q409" s="47"/>
      <c r="R409" s="48"/>
      <c r="S409" s="46"/>
      <c r="T409" s="49" t="s">
        <v>2981</v>
      </c>
      <c r="U409" s="49" t="s">
        <v>2982</v>
      </c>
      <c r="V409" s="49" t="s">
        <v>2983</v>
      </c>
      <c r="W409" s="46"/>
      <c r="X409" s="49" t="s">
        <v>132</v>
      </c>
      <c r="Y409" s="50" t="s">
        <v>133</v>
      </c>
      <c r="Z409" s="50" t="s">
        <v>134</v>
      </c>
      <c r="AA409" s="46"/>
      <c r="AB409" s="26"/>
      <c r="AC409" s="51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>
      <c r="A410" s="35">
        <v>46119.0</v>
      </c>
      <c r="B410" s="36" t="s">
        <v>2984</v>
      </c>
      <c r="C410" s="37" t="s">
        <v>2985</v>
      </c>
      <c r="D410" s="37" t="s">
        <v>2986</v>
      </c>
      <c r="E410" s="54">
        <v>4748194291</v>
      </c>
      <c r="F410" s="39" t="s">
        <v>2987</v>
      </c>
      <c r="G410" s="37" t="str">
        <f>IF(NOT(ISERROR(MATCH(D410,'Tannbleking - Oppsalg US'!D:D, 0))), "Ja", "")</f>
        <v/>
      </c>
      <c r="H410" s="37" t="s">
        <v>50</v>
      </c>
      <c r="I410" s="37" t="s">
        <v>72</v>
      </c>
      <c r="J410" s="40"/>
      <c r="K410" s="41"/>
      <c r="L410" s="42" t="s">
        <v>128</v>
      </c>
      <c r="M410" s="43" t="s">
        <v>2089</v>
      </c>
      <c r="N410" s="44">
        <v>6.920645521537E12</v>
      </c>
      <c r="O410" s="53" t="str">
        <f t="shared" si="1"/>
        <v>07/04/2026</v>
      </c>
      <c r="P410" s="46">
        <f t="shared" si="2"/>
        <v>1775557860</v>
      </c>
      <c r="Q410" s="47"/>
      <c r="R410" s="48"/>
      <c r="S410" s="46"/>
      <c r="T410" s="49" t="s">
        <v>2988</v>
      </c>
      <c r="U410" s="49" t="s">
        <v>2989</v>
      </c>
      <c r="V410" s="49" t="s">
        <v>2990</v>
      </c>
      <c r="W410" s="46"/>
      <c r="X410" s="49" t="s">
        <v>132</v>
      </c>
      <c r="Y410" s="50" t="s">
        <v>133</v>
      </c>
      <c r="Z410" s="50" t="s">
        <v>134</v>
      </c>
      <c r="AA410" s="46"/>
      <c r="AB410" s="26"/>
      <c r="AC410" s="51" t="s">
        <v>135</v>
      </c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>
      <c r="A411" s="35">
        <v>46120.0</v>
      </c>
      <c r="B411" s="36" t="s">
        <v>2991</v>
      </c>
      <c r="C411" s="37" t="s">
        <v>2992</v>
      </c>
      <c r="D411" s="37" t="s">
        <v>2993</v>
      </c>
      <c r="E411" s="54">
        <v>4741294667</v>
      </c>
      <c r="F411" s="39" t="s">
        <v>2994</v>
      </c>
      <c r="G411" s="37" t="str">
        <f>IF(NOT(ISERROR(MATCH(D411,'Tannbleking - Oppsalg US'!D:D, 0))), "Ja", "")</f>
        <v/>
      </c>
      <c r="H411" s="37" t="s">
        <v>50</v>
      </c>
      <c r="I411" s="37" t="s">
        <v>107</v>
      </c>
      <c r="J411" s="40"/>
      <c r="K411" s="41"/>
      <c r="L411" s="42" t="s">
        <v>128</v>
      </c>
      <c r="M411" s="43" t="s">
        <v>2738</v>
      </c>
      <c r="N411" s="44">
        <v>6.920645523737E12</v>
      </c>
      <c r="O411" s="53" t="str">
        <f t="shared" si="1"/>
        <v>08/04/2026</v>
      </c>
      <c r="P411" s="46">
        <f t="shared" si="2"/>
        <v>1775656200</v>
      </c>
      <c r="Q411" s="47"/>
      <c r="R411" s="48"/>
      <c r="S411" s="46"/>
      <c r="T411" s="49" t="s">
        <v>2995</v>
      </c>
      <c r="U411" s="49" t="s">
        <v>2996</v>
      </c>
      <c r="V411" s="49" t="s">
        <v>2997</v>
      </c>
      <c r="W411" s="46"/>
      <c r="X411" s="49" t="s">
        <v>132</v>
      </c>
      <c r="Y411" s="50" t="s">
        <v>133</v>
      </c>
      <c r="Z411" s="50" t="s">
        <v>134</v>
      </c>
      <c r="AA411" s="46"/>
      <c r="AB411" s="26"/>
      <c r="AC411" s="51" t="s">
        <v>423</v>
      </c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>
      <c r="A412" s="35">
        <v>46120.0</v>
      </c>
      <c r="B412" s="36" t="s">
        <v>852</v>
      </c>
      <c r="C412" s="37" t="s">
        <v>2998</v>
      </c>
      <c r="D412" s="37" t="s">
        <v>61</v>
      </c>
      <c r="E412" s="54">
        <v>4748344774</v>
      </c>
      <c r="F412" s="39" t="s">
        <v>2999</v>
      </c>
      <c r="G412" s="37" t="str">
        <f>IF(NOT(ISERROR(MATCH(D412,'Tannbleking - Oppsalg US'!D:D, 0))), "Ja", "")</f>
        <v/>
      </c>
      <c r="H412" s="37" t="s">
        <v>43</v>
      </c>
      <c r="I412" s="37" t="s">
        <v>72</v>
      </c>
      <c r="J412" s="40"/>
      <c r="K412" s="41"/>
      <c r="L412" s="42" t="s">
        <v>347</v>
      </c>
      <c r="M412" s="43">
        <v>6.920645523737E12</v>
      </c>
      <c r="N412" s="44"/>
      <c r="O412" s="53" t="str">
        <f t="shared" si="1"/>
        <v>08/04/2026</v>
      </c>
      <c r="P412" s="46">
        <f t="shared" si="2"/>
        <v>1775669940</v>
      </c>
      <c r="Q412" s="47"/>
      <c r="R412" s="48"/>
      <c r="S412" s="46"/>
      <c r="T412" s="49" t="s">
        <v>3000</v>
      </c>
      <c r="U412" s="49" t="s">
        <v>3001</v>
      </c>
      <c r="V412" s="49" t="s">
        <v>3002</v>
      </c>
      <c r="W412" s="46"/>
      <c r="X412" s="49" t="s">
        <v>132</v>
      </c>
      <c r="Y412" s="50" t="s">
        <v>133</v>
      </c>
      <c r="Z412" s="50" t="s">
        <v>134</v>
      </c>
      <c r="AA412" s="46"/>
      <c r="AB412" s="26"/>
      <c r="AC412" s="51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>
      <c r="A413" s="35">
        <v>46121.0</v>
      </c>
      <c r="B413" s="36" t="s">
        <v>1216</v>
      </c>
      <c r="C413" s="37" t="s">
        <v>3003</v>
      </c>
      <c r="D413" s="37" t="s">
        <v>3004</v>
      </c>
      <c r="E413" s="54">
        <v>4791616007</v>
      </c>
      <c r="F413" s="39" t="s">
        <v>3005</v>
      </c>
      <c r="G413" s="37" t="str">
        <f>IF(NOT(ISERROR(MATCH(D413,'Tannbleking - Oppsalg US'!D:D, 0))), "Ja", "")</f>
        <v/>
      </c>
      <c r="H413" s="37" t="s">
        <v>50</v>
      </c>
      <c r="I413" s="37" t="s">
        <v>44</v>
      </c>
      <c r="J413" s="40"/>
      <c r="K413" s="41"/>
      <c r="L413" s="42" t="s">
        <v>128</v>
      </c>
      <c r="M413" s="43" t="s">
        <v>2746</v>
      </c>
      <c r="N413" s="44">
        <v>6.920645524737E12</v>
      </c>
      <c r="O413" s="53" t="str">
        <f t="shared" si="1"/>
        <v>09/04/2026</v>
      </c>
      <c r="P413" s="46">
        <f t="shared" si="2"/>
        <v>1775720220</v>
      </c>
      <c r="Q413" s="47"/>
      <c r="R413" s="48"/>
      <c r="S413" s="46"/>
      <c r="T413" s="49" t="s">
        <v>3006</v>
      </c>
      <c r="U413" s="49" t="s">
        <v>3007</v>
      </c>
      <c r="V413" s="49" t="s">
        <v>3008</v>
      </c>
      <c r="W413" s="46"/>
      <c r="X413" s="49" t="s">
        <v>132</v>
      </c>
      <c r="Y413" s="50" t="s">
        <v>133</v>
      </c>
      <c r="Z413" s="50" t="s">
        <v>134</v>
      </c>
      <c r="AA413" s="46"/>
      <c r="AB413" s="26"/>
      <c r="AC413" s="51" t="s">
        <v>135</v>
      </c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>
      <c r="A414" s="35">
        <v>46121.0</v>
      </c>
      <c r="B414" s="36" t="s">
        <v>3009</v>
      </c>
      <c r="C414" s="37" t="s">
        <v>3010</v>
      </c>
      <c r="D414" s="37" t="s">
        <v>3011</v>
      </c>
      <c r="E414" s="54">
        <v>4793929517</v>
      </c>
      <c r="F414" s="39" t="s">
        <v>3012</v>
      </c>
      <c r="G414" s="37" t="str">
        <f>IF(NOT(ISERROR(MATCH(D414,'Tannbleking - Oppsalg US'!D:D, 0))), "Ja", "")</f>
        <v/>
      </c>
      <c r="H414" s="37" t="s">
        <v>50</v>
      </c>
      <c r="I414" s="37" t="s">
        <v>44</v>
      </c>
      <c r="J414" s="40"/>
      <c r="K414" s="41"/>
      <c r="L414" s="42" t="s">
        <v>128</v>
      </c>
      <c r="M414" s="43" t="s">
        <v>2671</v>
      </c>
      <c r="N414" s="44">
        <v>6.920645524337E12</v>
      </c>
      <c r="O414" s="53" t="str">
        <f t="shared" si="1"/>
        <v>09/04/2026</v>
      </c>
      <c r="P414" s="46">
        <f t="shared" si="2"/>
        <v>1775759280</v>
      </c>
      <c r="Q414" s="47"/>
      <c r="R414" s="48"/>
      <c r="S414" s="46"/>
      <c r="T414" s="49" t="s">
        <v>3013</v>
      </c>
      <c r="U414" s="49" t="s">
        <v>3014</v>
      </c>
      <c r="V414" s="49" t="s">
        <v>3015</v>
      </c>
      <c r="W414" s="46"/>
      <c r="X414" s="49" t="s">
        <v>132</v>
      </c>
      <c r="Y414" s="50" t="s">
        <v>133</v>
      </c>
      <c r="Z414" s="50" t="s">
        <v>134</v>
      </c>
      <c r="AA414" s="46"/>
      <c r="AB414" s="26"/>
      <c r="AC414" s="51" t="s">
        <v>144</v>
      </c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>
      <c r="A415" s="35">
        <v>46122.0</v>
      </c>
      <c r="B415" s="36" t="s">
        <v>335</v>
      </c>
      <c r="C415" s="37" t="s">
        <v>3016</v>
      </c>
      <c r="D415" s="37" t="s">
        <v>3017</v>
      </c>
      <c r="E415" s="54">
        <v>4798803568</v>
      </c>
      <c r="F415" s="39" t="s">
        <v>3018</v>
      </c>
      <c r="G415" s="37" t="str">
        <f>IF(NOT(ISERROR(MATCH(D415,'Tannbleking - Oppsalg US'!D:D, 0))), "Ja", "")</f>
        <v/>
      </c>
      <c r="H415" s="37" t="s">
        <v>50</v>
      </c>
      <c r="I415" s="37" t="s">
        <v>44</v>
      </c>
      <c r="J415" s="40"/>
      <c r="K415" s="41"/>
      <c r="L415" s="42" t="s">
        <v>347</v>
      </c>
      <c r="M415" s="43">
        <v>6.920645524737E12</v>
      </c>
      <c r="N415" s="44"/>
      <c r="O415" s="53" t="str">
        <f t="shared" si="1"/>
        <v>10/04/2026</v>
      </c>
      <c r="P415" s="46">
        <f t="shared" si="2"/>
        <v>1775782680</v>
      </c>
      <c r="Q415" s="47"/>
      <c r="R415" s="48"/>
      <c r="S415" s="46"/>
      <c r="T415" s="49" t="s">
        <v>3019</v>
      </c>
      <c r="U415" s="49" t="s">
        <v>3020</v>
      </c>
      <c r="V415" s="49" t="s">
        <v>3021</v>
      </c>
      <c r="W415" s="46"/>
      <c r="X415" s="49" t="s">
        <v>132</v>
      </c>
      <c r="Y415" s="50" t="s">
        <v>133</v>
      </c>
      <c r="Z415" s="50" t="s">
        <v>134</v>
      </c>
      <c r="AA415" s="46"/>
      <c r="AB415" s="26"/>
      <c r="AC415" s="51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>
      <c r="A416" s="35">
        <v>46122.0</v>
      </c>
      <c r="B416" s="36" t="s">
        <v>3022</v>
      </c>
      <c r="C416" s="37" t="s">
        <v>3023</v>
      </c>
      <c r="D416" s="37" t="s">
        <v>3024</v>
      </c>
      <c r="E416" s="54">
        <v>4797756509</v>
      </c>
      <c r="F416" s="39" t="s">
        <v>3025</v>
      </c>
      <c r="G416" s="37" t="str">
        <f>IF(NOT(ISERROR(MATCH(D416,'Tannbleking - Oppsalg US'!D:D, 0))), "Ja", "")</f>
        <v/>
      </c>
      <c r="H416" s="37" t="s">
        <v>50</v>
      </c>
      <c r="I416" s="37" t="s">
        <v>44</v>
      </c>
      <c r="J416" s="40"/>
      <c r="K416" s="41"/>
      <c r="L416" s="42" t="s">
        <v>128</v>
      </c>
      <c r="M416" s="43" t="s">
        <v>2671</v>
      </c>
      <c r="N416" s="44">
        <v>6.920645524337E12</v>
      </c>
      <c r="O416" s="53" t="str">
        <f t="shared" si="1"/>
        <v>10/04/2026</v>
      </c>
      <c r="P416" s="46">
        <f t="shared" si="2"/>
        <v>1775801220</v>
      </c>
      <c r="Q416" s="47"/>
      <c r="R416" s="48"/>
      <c r="S416" s="46"/>
      <c r="T416" s="49" t="s">
        <v>3026</v>
      </c>
      <c r="U416" s="49" t="s">
        <v>3027</v>
      </c>
      <c r="V416" s="49" t="s">
        <v>3028</v>
      </c>
      <c r="W416" s="46"/>
      <c r="X416" s="49" t="s">
        <v>132</v>
      </c>
      <c r="Y416" s="50" t="s">
        <v>133</v>
      </c>
      <c r="Z416" s="50" t="s">
        <v>134</v>
      </c>
      <c r="AA416" s="46"/>
      <c r="AB416" s="26"/>
      <c r="AC416" s="51" t="s">
        <v>423</v>
      </c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>
      <c r="A417" s="35">
        <v>46123.0</v>
      </c>
      <c r="B417" s="36" t="s">
        <v>3029</v>
      </c>
      <c r="C417" s="37" t="s">
        <v>3030</v>
      </c>
      <c r="D417" s="37" t="s">
        <v>3031</v>
      </c>
      <c r="E417" s="54">
        <v>4792207973</v>
      </c>
      <c r="F417" s="39" t="s">
        <v>3032</v>
      </c>
      <c r="G417" s="37" t="str">
        <f>IF(NOT(ISERROR(MATCH(D417,'Tannbleking - Oppsalg US'!D:D, 0))), "Ja", "")</f>
        <v/>
      </c>
      <c r="H417" s="37" t="s">
        <v>50</v>
      </c>
      <c r="I417" s="37" t="s">
        <v>44</v>
      </c>
      <c r="J417" s="40"/>
      <c r="K417" s="41"/>
      <c r="L417" s="42" t="s">
        <v>128</v>
      </c>
      <c r="M417" s="43" t="s">
        <v>2429</v>
      </c>
      <c r="N417" s="44">
        <v>6.920645521937E12</v>
      </c>
      <c r="O417" s="53" t="str">
        <f t="shared" si="1"/>
        <v>11/04/2026</v>
      </c>
      <c r="P417" s="46">
        <f t="shared" si="2"/>
        <v>1775897160</v>
      </c>
      <c r="Q417" s="47"/>
      <c r="R417" s="48"/>
      <c r="S417" s="46"/>
      <c r="T417" s="49" t="s">
        <v>3033</v>
      </c>
      <c r="U417" s="49" t="s">
        <v>3034</v>
      </c>
      <c r="V417" s="49" t="s">
        <v>3035</v>
      </c>
      <c r="W417" s="46"/>
      <c r="X417" s="49" t="s">
        <v>132</v>
      </c>
      <c r="Y417" s="50" t="s">
        <v>133</v>
      </c>
      <c r="Z417" s="50" t="s">
        <v>134</v>
      </c>
      <c r="AA417" s="46"/>
      <c r="AB417" s="26"/>
      <c r="AC417" s="51" t="s">
        <v>2433</v>
      </c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</row>
    <row r="418">
      <c r="A418" s="35">
        <v>46123.0</v>
      </c>
      <c r="B418" s="36" t="s">
        <v>3036</v>
      </c>
      <c r="C418" s="37" t="s">
        <v>3037</v>
      </c>
      <c r="D418" s="37" t="s">
        <v>3038</v>
      </c>
      <c r="E418" s="54">
        <v>4791576721</v>
      </c>
      <c r="F418" s="39" t="s">
        <v>3039</v>
      </c>
      <c r="G418" s="37" t="str">
        <f>IF(NOT(ISERROR(MATCH(D418,'Tannbleking - Oppsalg US'!D:D, 0))), "Ja", "")</f>
        <v/>
      </c>
      <c r="H418" s="37" t="s">
        <v>50</v>
      </c>
      <c r="I418" s="37" t="s">
        <v>44</v>
      </c>
      <c r="J418" s="40"/>
      <c r="K418" s="41"/>
      <c r="L418" s="42" t="s">
        <v>128</v>
      </c>
      <c r="M418" s="43" t="s">
        <v>2671</v>
      </c>
      <c r="N418" s="44">
        <v>6.920645524337E12</v>
      </c>
      <c r="O418" s="53" t="str">
        <f t="shared" si="1"/>
        <v>11/04/2026</v>
      </c>
      <c r="P418" s="46">
        <f t="shared" si="2"/>
        <v>1775899200</v>
      </c>
      <c r="Q418" s="47"/>
      <c r="R418" s="48"/>
      <c r="S418" s="46"/>
      <c r="T418" s="49" t="s">
        <v>3040</v>
      </c>
      <c r="U418" s="49" t="s">
        <v>3041</v>
      </c>
      <c r="V418" s="49" t="s">
        <v>3042</v>
      </c>
      <c r="W418" s="46"/>
      <c r="X418" s="49" t="s">
        <v>132</v>
      </c>
      <c r="Y418" s="50" t="s">
        <v>133</v>
      </c>
      <c r="Z418" s="50" t="s">
        <v>134</v>
      </c>
      <c r="AA418" s="46"/>
      <c r="AB418" s="26"/>
      <c r="AC418" s="51" t="s">
        <v>144</v>
      </c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</row>
    <row r="419">
      <c r="A419" s="35">
        <v>46123.0</v>
      </c>
      <c r="B419" s="36" t="s">
        <v>3043</v>
      </c>
      <c r="C419" s="37" t="s">
        <v>3044</v>
      </c>
      <c r="D419" s="37" t="s">
        <v>3045</v>
      </c>
      <c r="E419" s="54">
        <v>4741188724</v>
      </c>
      <c r="F419" s="39" t="s">
        <v>3046</v>
      </c>
      <c r="G419" s="37" t="str">
        <f>IF(NOT(ISERROR(MATCH(D419,'Tannbleking - Oppsalg US'!D:D, 0))), "Ja", "")</f>
        <v/>
      </c>
      <c r="H419" s="37" t="s">
        <v>50</v>
      </c>
      <c r="I419" s="37" t="s">
        <v>107</v>
      </c>
      <c r="J419" s="40"/>
      <c r="K419" s="41"/>
      <c r="L419" s="42" t="s">
        <v>128</v>
      </c>
      <c r="M419" s="43" t="s">
        <v>2429</v>
      </c>
      <c r="N419" s="44">
        <v>6.920645521937E12</v>
      </c>
      <c r="O419" s="53" t="str">
        <f t="shared" si="1"/>
        <v>11/04/2026</v>
      </c>
      <c r="P419" s="46">
        <f t="shared" si="2"/>
        <v>1775899440</v>
      </c>
      <c r="Q419" s="47"/>
      <c r="R419" s="48"/>
      <c r="S419" s="46"/>
      <c r="T419" s="49" t="s">
        <v>3047</v>
      </c>
      <c r="U419" s="49" t="s">
        <v>3048</v>
      </c>
      <c r="V419" s="49" t="s">
        <v>3049</v>
      </c>
      <c r="W419" s="46"/>
      <c r="X419" s="49" t="s">
        <v>132</v>
      </c>
      <c r="Y419" s="50" t="s">
        <v>133</v>
      </c>
      <c r="Z419" s="50" t="s">
        <v>134</v>
      </c>
      <c r="AA419" s="46"/>
      <c r="AB419" s="26"/>
      <c r="AC419" s="51" t="s">
        <v>135</v>
      </c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</row>
    <row r="420">
      <c r="A420" s="35">
        <v>46124.0</v>
      </c>
      <c r="B420" s="36" t="s">
        <v>2466</v>
      </c>
      <c r="C420" s="37" t="s">
        <v>3050</v>
      </c>
      <c r="D420" s="37" t="s">
        <v>3051</v>
      </c>
      <c r="E420" s="54">
        <v>4798679199</v>
      </c>
      <c r="F420" s="39" t="s">
        <v>3052</v>
      </c>
      <c r="G420" s="37" t="str">
        <f>IF(NOT(ISERROR(MATCH(D420,'Tannbleking - Oppsalg US'!D:D, 0))), "Ja", "")</f>
        <v/>
      </c>
      <c r="H420" s="37" t="s">
        <v>50</v>
      </c>
      <c r="I420" s="37" t="s">
        <v>107</v>
      </c>
      <c r="J420" s="40"/>
      <c r="K420" s="41"/>
      <c r="L420" s="42" t="s">
        <v>128</v>
      </c>
      <c r="M420" s="43" t="s">
        <v>2671</v>
      </c>
      <c r="N420" s="44">
        <v>6.920645524337E12</v>
      </c>
      <c r="O420" s="53" t="str">
        <f t="shared" si="1"/>
        <v>12/04/2026</v>
      </c>
      <c r="P420" s="46">
        <f t="shared" si="2"/>
        <v>1775979960</v>
      </c>
      <c r="Q420" s="47"/>
      <c r="R420" s="48"/>
      <c r="S420" s="46"/>
      <c r="T420" s="49" t="s">
        <v>3053</v>
      </c>
      <c r="U420" s="49" t="s">
        <v>3054</v>
      </c>
      <c r="V420" s="49" t="s">
        <v>3055</v>
      </c>
      <c r="W420" s="46"/>
      <c r="X420" s="49" t="s">
        <v>132</v>
      </c>
      <c r="Y420" s="50" t="s">
        <v>133</v>
      </c>
      <c r="Z420" s="50" t="s">
        <v>134</v>
      </c>
      <c r="AA420" s="46"/>
      <c r="AB420" s="26"/>
      <c r="AC420" s="51" t="s">
        <v>144</v>
      </c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</row>
    <row r="421">
      <c r="A421" s="35">
        <v>46124.0</v>
      </c>
      <c r="B421" s="36" t="s">
        <v>120</v>
      </c>
      <c r="C421" s="37" t="s">
        <v>3056</v>
      </c>
      <c r="D421" s="37" t="s">
        <v>3057</v>
      </c>
      <c r="E421" s="54">
        <v>4798066484</v>
      </c>
      <c r="F421" s="39" t="s">
        <v>3058</v>
      </c>
      <c r="G421" s="37" t="str">
        <f>IF(NOT(ISERROR(MATCH(D421,'Tannbleking - Oppsalg US'!D:D, 0))), "Ja", "")</f>
        <v/>
      </c>
      <c r="H421" s="37" t="s">
        <v>676</v>
      </c>
      <c r="I421" s="37" t="s">
        <v>107</v>
      </c>
      <c r="J421" s="40" t="s">
        <v>1316</v>
      </c>
      <c r="K421" s="41"/>
      <c r="L421" s="42" t="s">
        <v>128</v>
      </c>
      <c r="M421" s="43" t="s">
        <v>2671</v>
      </c>
      <c r="N421" s="44">
        <v>6.920645524337E12</v>
      </c>
      <c r="O421" s="53" t="str">
        <f t="shared" si="1"/>
        <v>12/04/2026</v>
      </c>
      <c r="P421" s="46">
        <f t="shared" si="2"/>
        <v>1776024240</v>
      </c>
      <c r="Q421" s="47"/>
      <c r="R421" s="48"/>
      <c r="S421" s="46"/>
      <c r="T421" s="49" t="s">
        <v>3059</v>
      </c>
      <c r="U421" s="49" t="s">
        <v>3060</v>
      </c>
      <c r="V421" s="49" t="s">
        <v>3061</v>
      </c>
      <c r="W421" s="46"/>
      <c r="X421" s="49" t="s">
        <v>132</v>
      </c>
      <c r="Y421" s="50" t="s">
        <v>133</v>
      </c>
      <c r="Z421" s="50" t="s">
        <v>134</v>
      </c>
      <c r="AA421" s="46"/>
      <c r="AB421" s="26"/>
      <c r="AC421" s="51" t="s">
        <v>280</v>
      </c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</row>
    <row r="422">
      <c r="A422" s="35">
        <v>46125.0</v>
      </c>
      <c r="B422" s="36" t="s">
        <v>1352</v>
      </c>
      <c r="C422" s="37" t="s">
        <v>3062</v>
      </c>
      <c r="D422" s="37" t="s">
        <v>3063</v>
      </c>
      <c r="E422" s="54">
        <v>4745038102</v>
      </c>
      <c r="F422" s="39" t="s">
        <v>3064</v>
      </c>
      <c r="G422" s="37" t="str">
        <f>IF(NOT(ISERROR(MATCH(D422,'Tannbleking - Oppsalg US'!D:D, 0))), "Ja", "")</f>
        <v/>
      </c>
      <c r="H422" s="37" t="s">
        <v>50</v>
      </c>
      <c r="I422" s="37" t="s">
        <v>44</v>
      </c>
      <c r="J422" s="40"/>
      <c r="K422" s="41"/>
      <c r="L422" s="42" t="s">
        <v>128</v>
      </c>
      <c r="M422" s="43" t="s">
        <v>2089</v>
      </c>
      <c r="N422" s="44">
        <v>6.920645521537E12</v>
      </c>
      <c r="O422" s="53" t="str">
        <f t="shared" si="1"/>
        <v>13/04/2026</v>
      </c>
      <c r="P422" s="46">
        <f t="shared" si="2"/>
        <v>1776040320</v>
      </c>
      <c r="Q422" s="47"/>
      <c r="R422" s="48"/>
      <c r="S422" s="46"/>
      <c r="T422" s="49" t="s">
        <v>3065</v>
      </c>
      <c r="U422" s="49" t="s">
        <v>3066</v>
      </c>
      <c r="V422" s="49" t="s">
        <v>3067</v>
      </c>
      <c r="W422" s="46"/>
      <c r="X422" s="49" t="s">
        <v>132</v>
      </c>
      <c r="Y422" s="50" t="s">
        <v>133</v>
      </c>
      <c r="Z422" s="50" t="s">
        <v>134</v>
      </c>
      <c r="AA422" s="46"/>
      <c r="AB422" s="26"/>
      <c r="AC422" s="51" t="s">
        <v>135</v>
      </c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</row>
    <row r="423">
      <c r="A423" s="35">
        <v>46125.0</v>
      </c>
      <c r="B423" s="36" t="s">
        <v>1291</v>
      </c>
      <c r="C423" s="37" t="s">
        <v>3068</v>
      </c>
      <c r="D423" s="37" t="s">
        <v>3069</v>
      </c>
      <c r="E423" s="54">
        <v>4790593564</v>
      </c>
      <c r="F423" s="39" t="s">
        <v>3070</v>
      </c>
      <c r="G423" s="37" t="str">
        <f>IF(NOT(ISERROR(MATCH(D423,'Tannbleking - Oppsalg US'!D:D, 0))), "Ja", "")</f>
        <v/>
      </c>
      <c r="H423" s="37" t="s">
        <v>50</v>
      </c>
      <c r="I423" s="37" t="s">
        <v>44</v>
      </c>
      <c r="J423" s="40"/>
      <c r="K423" s="41"/>
      <c r="L423" s="42" t="s">
        <v>128</v>
      </c>
      <c r="M423" s="43" t="s">
        <v>2671</v>
      </c>
      <c r="N423" s="44">
        <v>6.920645524337E12</v>
      </c>
      <c r="O423" s="53" t="str">
        <f t="shared" si="1"/>
        <v>13/04/2026</v>
      </c>
      <c r="P423" s="46">
        <f t="shared" si="2"/>
        <v>1776094020</v>
      </c>
      <c r="Q423" s="47"/>
      <c r="R423" s="48"/>
      <c r="S423" s="46"/>
      <c r="T423" s="49" t="s">
        <v>3071</v>
      </c>
      <c r="U423" s="49" t="s">
        <v>3072</v>
      </c>
      <c r="V423" s="49" t="s">
        <v>3073</v>
      </c>
      <c r="W423" s="46"/>
      <c r="X423" s="49" t="s">
        <v>132</v>
      </c>
      <c r="Y423" s="50" t="s">
        <v>133</v>
      </c>
      <c r="Z423" s="50" t="s">
        <v>134</v>
      </c>
      <c r="AA423" s="46"/>
      <c r="AB423" s="26"/>
      <c r="AC423" s="51" t="s">
        <v>135</v>
      </c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</row>
    <row r="424">
      <c r="A424" s="35">
        <v>46126.0</v>
      </c>
      <c r="B424" s="36" t="s">
        <v>3074</v>
      </c>
      <c r="C424" s="37" t="s">
        <v>3075</v>
      </c>
      <c r="D424" s="37" t="s">
        <v>3076</v>
      </c>
      <c r="E424" s="54">
        <v>4790237746</v>
      </c>
      <c r="F424" s="39" t="s">
        <v>3077</v>
      </c>
      <c r="G424" s="37" t="str">
        <f>IF(NOT(ISERROR(MATCH(D424,'Tannbleking - Oppsalg US'!D:D, 0))), "Ja", "")</f>
        <v/>
      </c>
      <c r="H424" s="37" t="s">
        <v>50</v>
      </c>
      <c r="I424" s="37" t="s">
        <v>44</v>
      </c>
      <c r="J424" s="40"/>
      <c r="K424" s="41"/>
      <c r="L424" s="42" t="s">
        <v>128</v>
      </c>
      <c r="M424" s="43" t="s">
        <v>2746</v>
      </c>
      <c r="N424" s="44">
        <v>6.920645524737E12</v>
      </c>
      <c r="O424" s="53" t="str">
        <f t="shared" si="1"/>
        <v>14/04/2026</v>
      </c>
      <c r="P424" s="46">
        <f t="shared" si="2"/>
        <v>1776127260</v>
      </c>
      <c r="Q424" s="47"/>
      <c r="R424" s="48"/>
      <c r="S424" s="46"/>
      <c r="T424" s="49" t="s">
        <v>3078</v>
      </c>
      <c r="U424" s="49" t="s">
        <v>3079</v>
      </c>
      <c r="V424" s="49" t="s">
        <v>3080</v>
      </c>
      <c r="W424" s="46"/>
      <c r="X424" s="49" t="s">
        <v>132</v>
      </c>
      <c r="Y424" s="50" t="s">
        <v>133</v>
      </c>
      <c r="Z424" s="50" t="s">
        <v>134</v>
      </c>
      <c r="AA424" s="46"/>
      <c r="AB424" s="26"/>
      <c r="AC424" s="51" t="s">
        <v>135</v>
      </c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</row>
    <row r="425">
      <c r="A425" s="35">
        <v>46126.0</v>
      </c>
      <c r="B425" s="36" t="s">
        <v>1147</v>
      </c>
      <c r="C425" s="37" t="s">
        <v>3081</v>
      </c>
      <c r="D425" s="37" t="s">
        <v>3082</v>
      </c>
      <c r="E425" s="54">
        <v>4796698307</v>
      </c>
      <c r="F425" s="39" t="s">
        <v>3083</v>
      </c>
      <c r="G425" s="37" t="str">
        <f>IF(NOT(ISERROR(MATCH(D425,'Tannbleking - Oppsalg US'!D:D, 0))), "Ja", "")</f>
        <v/>
      </c>
      <c r="H425" s="37" t="s">
        <v>50</v>
      </c>
      <c r="I425" s="37" t="s">
        <v>44</v>
      </c>
      <c r="J425" s="40"/>
      <c r="K425" s="41"/>
      <c r="L425" s="42" t="s">
        <v>128</v>
      </c>
      <c r="M425" s="43" t="s">
        <v>2089</v>
      </c>
      <c r="N425" s="44">
        <v>6.920645521537E12</v>
      </c>
      <c r="O425" s="53" t="str">
        <f t="shared" si="1"/>
        <v>14/04/2026</v>
      </c>
      <c r="P425" s="46">
        <f t="shared" si="2"/>
        <v>1776135120</v>
      </c>
      <c r="Q425" s="47"/>
      <c r="R425" s="48"/>
      <c r="S425" s="46"/>
      <c r="T425" s="49" t="s">
        <v>3084</v>
      </c>
      <c r="U425" s="49" t="s">
        <v>3085</v>
      </c>
      <c r="V425" s="49" t="s">
        <v>3086</v>
      </c>
      <c r="W425" s="46"/>
      <c r="X425" s="49" t="s">
        <v>132</v>
      </c>
      <c r="Y425" s="50" t="s">
        <v>133</v>
      </c>
      <c r="Z425" s="50" t="s">
        <v>134</v>
      </c>
      <c r="AA425" s="46"/>
      <c r="AB425" s="26"/>
      <c r="AC425" s="51" t="s">
        <v>135</v>
      </c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</row>
    <row r="426">
      <c r="A426" s="35">
        <v>46127.0</v>
      </c>
      <c r="B426" s="36" t="s">
        <v>3087</v>
      </c>
      <c r="C426" s="37" t="s">
        <v>3088</v>
      </c>
      <c r="D426" s="37" t="s">
        <v>3089</v>
      </c>
      <c r="E426" s="54">
        <v>4795051955</v>
      </c>
      <c r="F426" s="39" t="s">
        <v>3090</v>
      </c>
      <c r="G426" s="37" t="str">
        <f>IF(NOT(ISERROR(MATCH(D426,'Tannbleking - Oppsalg US'!D:D, 0))), "Ja", "")</f>
        <v/>
      </c>
      <c r="H426" s="37" t="s">
        <v>50</v>
      </c>
      <c r="I426" s="37" t="s">
        <v>44</v>
      </c>
      <c r="J426" s="40"/>
      <c r="K426" s="41"/>
      <c r="L426" s="42" t="s">
        <v>128</v>
      </c>
      <c r="M426" s="43" t="s">
        <v>2081</v>
      </c>
      <c r="N426" s="44">
        <v>6.920645521737E12</v>
      </c>
      <c r="O426" s="53" t="str">
        <f t="shared" si="1"/>
        <v>15/04/2026</v>
      </c>
      <c r="P426" s="46">
        <f t="shared" si="2"/>
        <v>1776241680</v>
      </c>
      <c r="Q426" s="47"/>
      <c r="R426" s="48"/>
      <c r="S426" s="46"/>
      <c r="T426" s="49" t="s">
        <v>3091</v>
      </c>
      <c r="U426" s="49" t="s">
        <v>3092</v>
      </c>
      <c r="V426" s="49" t="s">
        <v>3093</v>
      </c>
      <c r="W426" s="46"/>
      <c r="X426" s="49" t="s">
        <v>132</v>
      </c>
      <c r="Y426" s="50" t="s">
        <v>133</v>
      </c>
      <c r="Z426" s="50" t="s">
        <v>134</v>
      </c>
      <c r="AA426" s="46"/>
      <c r="AB426" s="26"/>
      <c r="AC426" s="51" t="s">
        <v>135</v>
      </c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</row>
    <row r="427">
      <c r="A427" s="35">
        <v>46127.0</v>
      </c>
      <c r="B427" s="36" t="s">
        <v>3094</v>
      </c>
      <c r="C427" s="37" t="s">
        <v>3095</v>
      </c>
      <c r="D427" s="37" t="s">
        <v>3096</v>
      </c>
      <c r="E427" s="54">
        <v>4794987345</v>
      </c>
      <c r="F427" s="39" t="s">
        <v>3097</v>
      </c>
      <c r="G427" s="37" t="str">
        <f>IF(NOT(ISERROR(MATCH(D427,'Tannbleking - Oppsalg US'!D:D, 0))), "Ja", "")</f>
        <v/>
      </c>
      <c r="H427" s="37" t="s">
        <v>50</v>
      </c>
      <c r="I427" s="37" t="s">
        <v>44</v>
      </c>
      <c r="J427" s="40"/>
      <c r="K427" s="41"/>
      <c r="L427" s="42" t="s">
        <v>128</v>
      </c>
      <c r="M427" s="43" t="s">
        <v>2089</v>
      </c>
      <c r="N427" s="44">
        <v>6.920645521537E12</v>
      </c>
      <c r="O427" s="53" t="str">
        <f t="shared" si="1"/>
        <v>15/04/2026</v>
      </c>
      <c r="P427" s="46">
        <f t="shared" si="2"/>
        <v>1776269580</v>
      </c>
      <c r="Q427" s="47"/>
      <c r="R427" s="48"/>
      <c r="S427" s="46"/>
      <c r="T427" s="49" t="s">
        <v>3098</v>
      </c>
      <c r="U427" s="49" t="s">
        <v>3099</v>
      </c>
      <c r="V427" s="49" t="s">
        <v>3100</v>
      </c>
      <c r="W427" s="46"/>
      <c r="X427" s="49" t="s">
        <v>132</v>
      </c>
      <c r="Y427" s="50" t="s">
        <v>133</v>
      </c>
      <c r="Z427" s="50" t="s">
        <v>134</v>
      </c>
      <c r="AA427" s="46"/>
      <c r="AB427" s="26"/>
      <c r="AC427" s="51" t="s">
        <v>135</v>
      </c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</row>
    <row r="428">
      <c r="A428" s="35">
        <v>46128.0</v>
      </c>
      <c r="B428" s="36" t="s">
        <v>2720</v>
      </c>
      <c r="C428" s="37" t="s">
        <v>3101</v>
      </c>
      <c r="D428" s="37" t="s">
        <v>3102</v>
      </c>
      <c r="E428" s="54">
        <v>4794155513</v>
      </c>
      <c r="F428" s="39" t="s">
        <v>3103</v>
      </c>
      <c r="G428" s="37" t="str">
        <f>IF(NOT(ISERROR(MATCH(D428,'Tannbleking - Oppsalg US'!D:D, 0))), "Ja", "")</f>
        <v/>
      </c>
      <c r="H428" s="37" t="s">
        <v>90</v>
      </c>
      <c r="I428" s="37" t="s">
        <v>322</v>
      </c>
      <c r="J428" s="40"/>
      <c r="K428" s="41"/>
      <c r="L428" s="42" t="s">
        <v>128</v>
      </c>
      <c r="M428" s="43" t="s">
        <v>2429</v>
      </c>
      <c r="N428" s="44">
        <v>6.920645521937E12</v>
      </c>
      <c r="O428" s="53" t="str">
        <f t="shared" si="1"/>
        <v>16/04/2026</v>
      </c>
      <c r="P428" s="46">
        <f t="shared" si="2"/>
        <v>1776333240</v>
      </c>
      <c r="Q428" s="47"/>
      <c r="R428" s="48"/>
      <c r="S428" s="46"/>
      <c r="T428" s="49" t="s">
        <v>3104</v>
      </c>
      <c r="U428" s="49" t="s">
        <v>3105</v>
      </c>
      <c r="V428" s="49" t="s">
        <v>3106</v>
      </c>
      <c r="W428" s="46"/>
      <c r="X428" s="49" t="s">
        <v>132</v>
      </c>
      <c r="Y428" s="50" t="s">
        <v>133</v>
      </c>
      <c r="Z428" s="50" t="s">
        <v>134</v>
      </c>
      <c r="AA428" s="46"/>
      <c r="AB428" s="26"/>
      <c r="AC428" s="51" t="s">
        <v>135</v>
      </c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</row>
    <row r="429">
      <c r="A429" s="35">
        <v>46128.0</v>
      </c>
      <c r="B429" s="36" t="s">
        <v>396</v>
      </c>
      <c r="C429" s="37" t="s">
        <v>3107</v>
      </c>
      <c r="D429" s="37" t="s">
        <v>3108</v>
      </c>
      <c r="E429" s="54">
        <v>4747851649</v>
      </c>
      <c r="F429" s="39" t="s">
        <v>716</v>
      </c>
      <c r="G429" s="37" t="str">
        <f>IF(NOT(ISERROR(MATCH(D429,'Tannbleking - Oppsalg US'!D:D, 0))), "Ja", "")</f>
        <v/>
      </c>
      <c r="H429" s="37" t="s">
        <v>50</v>
      </c>
      <c r="I429" s="37" t="s">
        <v>44</v>
      </c>
      <c r="J429" s="40"/>
      <c r="K429" s="41"/>
      <c r="L429" s="42" t="s">
        <v>128</v>
      </c>
      <c r="M429" s="43" t="s">
        <v>2327</v>
      </c>
      <c r="N429" s="44">
        <v>6.920645522337E12</v>
      </c>
      <c r="O429" s="53" t="str">
        <f t="shared" si="1"/>
        <v>16/04/2026</v>
      </c>
      <c r="P429" s="46">
        <f t="shared" si="2"/>
        <v>1776345180</v>
      </c>
      <c r="Q429" s="47"/>
      <c r="R429" s="48"/>
      <c r="S429" s="46"/>
      <c r="T429" s="49" t="s">
        <v>3109</v>
      </c>
      <c r="U429" s="49" t="s">
        <v>3110</v>
      </c>
      <c r="V429" s="49" t="s">
        <v>3111</v>
      </c>
      <c r="W429" s="46"/>
      <c r="X429" s="49" t="s">
        <v>132</v>
      </c>
      <c r="Y429" s="50" t="s">
        <v>133</v>
      </c>
      <c r="Z429" s="50" t="s">
        <v>134</v>
      </c>
      <c r="AA429" s="46"/>
      <c r="AB429" s="26"/>
      <c r="AC429" s="51" t="s">
        <v>135</v>
      </c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</row>
    <row r="430">
      <c r="A430" s="35">
        <v>46129.0</v>
      </c>
      <c r="B430" s="36" t="s">
        <v>2579</v>
      </c>
      <c r="C430" s="37" t="s">
        <v>3112</v>
      </c>
      <c r="D430" s="37" t="s">
        <v>3113</v>
      </c>
      <c r="E430" s="54">
        <v>4740051785</v>
      </c>
      <c r="F430" s="39" t="s">
        <v>3114</v>
      </c>
      <c r="G430" s="37" t="str">
        <f>IF(NOT(ISERROR(MATCH(D430,'Tannbleking - Oppsalg US'!D:D, 0))), "Ja", "")</f>
        <v/>
      </c>
      <c r="H430" s="37" t="s">
        <v>50</v>
      </c>
      <c r="I430" s="37" t="s">
        <v>44</v>
      </c>
      <c r="J430" s="40"/>
      <c r="K430" s="41"/>
      <c r="L430" s="42" t="s">
        <v>128</v>
      </c>
      <c r="M430" s="43" t="s">
        <v>2429</v>
      </c>
      <c r="N430" s="44">
        <v>6.920645521937E12</v>
      </c>
      <c r="O430" s="53" t="str">
        <f t="shared" si="1"/>
        <v>17/04/2026</v>
      </c>
      <c r="P430" s="46">
        <f t="shared" si="2"/>
        <v>1776454200</v>
      </c>
      <c r="Q430" s="47"/>
      <c r="R430" s="48"/>
      <c r="S430" s="46"/>
      <c r="T430" s="49" t="s">
        <v>3115</v>
      </c>
      <c r="U430" s="49" t="s">
        <v>3116</v>
      </c>
      <c r="V430" s="49" t="s">
        <v>3117</v>
      </c>
      <c r="W430" s="46"/>
      <c r="X430" s="49" t="s">
        <v>132</v>
      </c>
      <c r="Y430" s="50" t="s">
        <v>133</v>
      </c>
      <c r="Z430" s="50" t="s">
        <v>134</v>
      </c>
      <c r="AA430" s="46"/>
      <c r="AB430" s="26"/>
      <c r="AC430" s="51" t="s">
        <v>144</v>
      </c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</row>
    <row r="431">
      <c r="A431" s="35">
        <v>46130.0</v>
      </c>
      <c r="B431" s="36" t="s">
        <v>210</v>
      </c>
      <c r="C431" s="37" t="s">
        <v>3118</v>
      </c>
      <c r="D431" s="37" t="s">
        <v>3119</v>
      </c>
      <c r="E431" s="54">
        <v>4792250214</v>
      </c>
      <c r="F431" s="39" t="s">
        <v>3120</v>
      </c>
      <c r="G431" s="37" t="str">
        <f>IF(NOT(ISERROR(MATCH(D431,'Tannbleking - Oppsalg US'!D:D, 0))), "Ja", "")</f>
        <v>Ja</v>
      </c>
      <c r="H431" s="37" t="s">
        <v>50</v>
      </c>
      <c r="I431" s="37" t="s">
        <v>44</v>
      </c>
      <c r="J431" s="40"/>
      <c r="K431" s="41"/>
      <c r="L431" s="42" t="s">
        <v>128</v>
      </c>
      <c r="M431" s="43" t="s">
        <v>2731</v>
      </c>
      <c r="N431" s="44">
        <v>6.920645524937E12</v>
      </c>
      <c r="O431" s="53" t="str">
        <f t="shared" si="1"/>
        <v>18/04/2026</v>
      </c>
      <c r="P431" s="46">
        <f t="shared" si="2"/>
        <v>1776475320</v>
      </c>
      <c r="Q431" s="47"/>
      <c r="R431" s="48"/>
      <c r="S431" s="46"/>
      <c r="T431" s="49" t="s">
        <v>3121</v>
      </c>
      <c r="U431" s="49" t="s">
        <v>3122</v>
      </c>
      <c r="V431" s="49" t="s">
        <v>3123</v>
      </c>
      <c r="W431" s="46"/>
      <c r="X431" s="49" t="s">
        <v>132</v>
      </c>
      <c r="Y431" s="50" t="s">
        <v>133</v>
      </c>
      <c r="Z431" s="50" t="s">
        <v>134</v>
      </c>
      <c r="AA431" s="46"/>
      <c r="AB431" s="26"/>
      <c r="AC431" s="51" t="s">
        <v>1282</v>
      </c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</row>
    <row r="432">
      <c r="A432" s="35">
        <v>46130.0</v>
      </c>
      <c r="B432" s="36" t="s">
        <v>2136</v>
      </c>
      <c r="C432" s="37" t="s">
        <v>3124</v>
      </c>
      <c r="D432" s="37" t="s">
        <v>3125</v>
      </c>
      <c r="E432" s="54">
        <v>4790106972</v>
      </c>
      <c r="F432" s="39" t="s">
        <v>3126</v>
      </c>
      <c r="G432" s="37" t="str">
        <f>IF(NOT(ISERROR(MATCH(D432,'Tannbleking - Oppsalg US'!D:D, 0))), "Ja", "")</f>
        <v/>
      </c>
      <c r="H432" s="37" t="s">
        <v>50</v>
      </c>
      <c r="I432" s="37" t="s">
        <v>107</v>
      </c>
      <c r="J432" s="40"/>
      <c r="K432" s="41"/>
      <c r="L432" s="42" t="s">
        <v>128</v>
      </c>
      <c r="M432" s="43" t="s">
        <v>2429</v>
      </c>
      <c r="N432" s="44">
        <v>6.920645521937E12</v>
      </c>
      <c r="O432" s="53" t="str">
        <f t="shared" si="1"/>
        <v>18/04/2026</v>
      </c>
      <c r="P432" s="46">
        <f t="shared" si="2"/>
        <v>1776498780</v>
      </c>
      <c r="Q432" s="47"/>
      <c r="R432" s="48"/>
      <c r="S432" s="46"/>
      <c r="T432" s="49" t="s">
        <v>3127</v>
      </c>
      <c r="U432" s="49" t="s">
        <v>3128</v>
      </c>
      <c r="V432" s="49" t="s">
        <v>3129</v>
      </c>
      <c r="W432" s="46"/>
      <c r="X432" s="49" t="s">
        <v>132</v>
      </c>
      <c r="Y432" s="50" t="s">
        <v>133</v>
      </c>
      <c r="Z432" s="50" t="s">
        <v>134</v>
      </c>
      <c r="AA432" s="46"/>
      <c r="AB432" s="26"/>
      <c r="AC432" s="51" t="s">
        <v>135</v>
      </c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</row>
    <row r="433">
      <c r="A433" s="35">
        <v>46131.0</v>
      </c>
      <c r="B433" s="36" t="s">
        <v>3130</v>
      </c>
      <c r="C433" s="37" t="s">
        <v>3131</v>
      </c>
      <c r="D433" s="37" t="s">
        <v>3132</v>
      </c>
      <c r="E433" s="54">
        <v>4745032601</v>
      </c>
      <c r="F433" s="39" t="s">
        <v>3133</v>
      </c>
      <c r="G433" s="37" t="str">
        <f>IF(NOT(ISERROR(MATCH(D433,'Tannbleking - Oppsalg US'!D:D, 0))), "Ja", "")</f>
        <v/>
      </c>
      <c r="H433" s="37" t="s">
        <v>50</v>
      </c>
      <c r="I433" s="37" t="s">
        <v>44</v>
      </c>
      <c r="J433" s="40"/>
      <c r="K433" s="41"/>
      <c r="L433" s="42" t="s">
        <v>347</v>
      </c>
      <c r="M433" s="43">
        <v>6.920645521937E12</v>
      </c>
      <c r="N433" s="44"/>
      <c r="O433" s="53" t="str">
        <f t="shared" si="1"/>
        <v>19/04/2026</v>
      </c>
      <c r="P433" s="46">
        <f t="shared" si="2"/>
        <v>1776592620</v>
      </c>
      <c r="Q433" s="47"/>
      <c r="R433" s="48"/>
      <c r="S433" s="46"/>
      <c r="T433" s="49" t="s">
        <v>3134</v>
      </c>
      <c r="U433" s="49" t="s">
        <v>3135</v>
      </c>
      <c r="V433" s="49" t="s">
        <v>3136</v>
      </c>
      <c r="W433" s="46"/>
      <c r="X433" s="49" t="s">
        <v>132</v>
      </c>
      <c r="Y433" s="50" t="s">
        <v>133</v>
      </c>
      <c r="Z433" s="50" t="s">
        <v>134</v>
      </c>
      <c r="AA433" s="46"/>
      <c r="AB433" s="26"/>
      <c r="AC433" s="51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</row>
    <row r="434">
      <c r="A434" s="35">
        <v>46131.0</v>
      </c>
      <c r="B434" s="36" t="s">
        <v>824</v>
      </c>
      <c r="C434" s="37" t="s">
        <v>3137</v>
      </c>
      <c r="D434" s="37" t="s">
        <v>3138</v>
      </c>
      <c r="E434" s="54">
        <v>4798488475</v>
      </c>
      <c r="F434" s="39" t="s">
        <v>3139</v>
      </c>
      <c r="G434" s="37" t="str">
        <f>IF(NOT(ISERROR(MATCH(D434,'Tannbleking - Oppsalg US'!D:D, 0))), "Ja", "")</f>
        <v/>
      </c>
      <c r="H434" s="37" t="s">
        <v>50</v>
      </c>
      <c r="I434" s="37" t="s">
        <v>44</v>
      </c>
      <c r="J434" s="40"/>
      <c r="K434" s="41"/>
      <c r="L434" s="42" t="s">
        <v>128</v>
      </c>
      <c r="M434" s="43" t="s">
        <v>2429</v>
      </c>
      <c r="N434" s="44">
        <v>6.920645521937E12</v>
      </c>
      <c r="O434" s="53" t="str">
        <f t="shared" si="1"/>
        <v>19/04/2026</v>
      </c>
      <c r="P434" s="46">
        <f t="shared" si="2"/>
        <v>1776596340</v>
      </c>
      <c r="Q434" s="47"/>
      <c r="R434" s="48"/>
      <c r="S434" s="46"/>
      <c r="T434" s="49" t="s">
        <v>3140</v>
      </c>
      <c r="U434" s="49" t="s">
        <v>3141</v>
      </c>
      <c r="V434" s="49" t="s">
        <v>3142</v>
      </c>
      <c r="W434" s="46"/>
      <c r="X434" s="49" t="s">
        <v>132</v>
      </c>
      <c r="Y434" s="50" t="s">
        <v>133</v>
      </c>
      <c r="Z434" s="50" t="s">
        <v>134</v>
      </c>
      <c r="AA434" s="46"/>
      <c r="AB434" s="26"/>
      <c r="AC434" s="51" t="s">
        <v>135</v>
      </c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</row>
    <row r="435">
      <c r="A435" s="35">
        <v>46132.0</v>
      </c>
      <c r="B435" s="36" t="s">
        <v>3143</v>
      </c>
      <c r="C435" s="37" t="s">
        <v>3144</v>
      </c>
      <c r="D435" s="37" t="s">
        <v>3145</v>
      </c>
      <c r="E435" s="54">
        <v>4794073727</v>
      </c>
      <c r="F435" s="39" t="s">
        <v>3146</v>
      </c>
      <c r="G435" s="37" t="str">
        <f>IF(NOT(ISERROR(MATCH(D435,'Tannbleking - Oppsalg US'!D:D, 0))), "Ja", "")</f>
        <v/>
      </c>
      <c r="H435" s="37" t="s">
        <v>50</v>
      </c>
      <c r="I435" s="37" t="s">
        <v>44</v>
      </c>
      <c r="J435" s="40"/>
      <c r="K435" s="41"/>
      <c r="L435" s="42" t="s">
        <v>128</v>
      </c>
      <c r="M435" s="43" t="s">
        <v>2429</v>
      </c>
      <c r="N435" s="44">
        <v>6.920645521937E12</v>
      </c>
      <c r="O435" s="53" t="str">
        <f t="shared" si="1"/>
        <v>20/04/2026</v>
      </c>
      <c r="P435" s="46">
        <f t="shared" si="2"/>
        <v>1776712920</v>
      </c>
      <c r="Q435" s="47"/>
      <c r="R435" s="48"/>
      <c r="S435" s="46"/>
      <c r="T435" s="49" t="s">
        <v>3147</v>
      </c>
      <c r="U435" s="49" t="s">
        <v>3148</v>
      </c>
      <c r="V435" s="49" t="s">
        <v>3149</v>
      </c>
      <c r="W435" s="46"/>
      <c r="X435" s="49" t="s">
        <v>132</v>
      </c>
      <c r="Y435" s="50" t="s">
        <v>133</v>
      </c>
      <c r="Z435" s="50" t="s">
        <v>134</v>
      </c>
      <c r="AA435" s="46"/>
      <c r="AB435" s="26"/>
      <c r="AC435" s="51" t="s">
        <v>144</v>
      </c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</row>
    <row r="436">
      <c r="A436" s="35">
        <v>46132.0</v>
      </c>
      <c r="B436" s="36" t="s">
        <v>3150</v>
      </c>
      <c r="C436" s="37" t="s">
        <v>3151</v>
      </c>
      <c r="D436" s="37" t="s">
        <v>3152</v>
      </c>
      <c r="E436" s="54">
        <v>4741397931</v>
      </c>
      <c r="F436" s="39" t="s">
        <v>3153</v>
      </c>
      <c r="G436" s="37" t="str">
        <f>IF(NOT(ISERROR(MATCH(D436,'Tannbleking - Oppsalg US'!D:D, 0))), "Ja", "")</f>
        <v/>
      </c>
      <c r="H436" s="37" t="s">
        <v>50</v>
      </c>
      <c r="I436" s="37" t="s">
        <v>44</v>
      </c>
      <c r="J436" s="40"/>
      <c r="K436" s="41"/>
      <c r="L436" s="42" t="s">
        <v>128</v>
      </c>
      <c r="M436" s="43" t="s">
        <v>2429</v>
      </c>
      <c r="N436" s="44">
        <v>6.920645521937E12</v>
      </c>
      <c r="O436" s="53" t="str">
        <f t="shared" si="1"/>
        <v>20/04/2026</v>
      </c>
      <c r="P436" s="46">
        <f t="shared" si="2"/>
        <v>1776715020</v>
      </c>
      <c r="Q436" s="47"/>
      <c r="R436" s="48"/>
      <c r="S436" s="46"/>
      <c r="T436" s="49" t="s">
        <v>3154</v>
      </c>
      <c r="U436" s="49" t="s">
        <v>3155</v>
      </c>
      <c r="V436" s="49" t="s">
        <v>3156</v>
      </c>
      <c r="W436" s="46"/>
      <c r="X436" s="49" t="s">
        <v>132</v>
      </c>
      <c r="Y436" s="50" t="s">
        <v>133</v>
      </c>
      <c r="Z436" s="50" t="s">
        <v>134</v>
      </c>
      <c r="AA436" s="46"/>
      <c r="AB436" s="26"/>
      <c r="AC436" s="51" t="s">
        <v>135</v>
      </c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</row>
    <row r="437">
      <c r="A437" s="35">
        <v>46133.0</v>
      </c>
      <c r="B437" s="36" t="s">
        <v>3157</v>
      </c>
      <c r="C437" s="37" t="s">
        <v>3158</v>
      </c>
      <c r="D437" s="37" t="s">
        <v>3159</v>
      </c>
      <c r="E437" s="54">
        <v>4799272750</v>
      </c>
      <c r="F437" s="39" t="s">
        <v>3160</v>
      </c>
      <c r="G437" s="37" t="str">
        <f>IF(NOT(ISERROR(MATCH(D437,'Tannbleking - Oppsalg US'!D:D, 0))), "Ja", "")</f>
        <v/>
      </c>
      <c r="H437" s="37" t="s">
        <v>50</v>
      </c>
      <c r="I437" s="37" t="s">
        <v>140</v>
      </c>
      <c r="J437" s="40"/>
      <c r="K437" s="41"/>
      <c r="L437" s="42" t="s">
        <v>128</v>
      </c>
      <c r="M437" s="43" t="s">
        <v>2671</v>
      </c>
      <c r="N437" s="44">
        <v>6.920645524337E12</v>
      </c>
      <c r="O437" s="53" t="str">
        <f t="shared" si="1"/>
        <v>21/04/2026</v>
      </c>
      <c r="P437" s="46">
        <f t="shared" si="2"/>
        <v>1776746880</v>
      </c>
      <c r="Q437" s="47"/>
      <c r="R437" s="48"/>
      <c r="S437" s="46"/>
      <c r="T437" s="49" t="s">
        <v>3161</v>
      </c>
      <c r="U437" s="49" t="s">
        <v>3162</v>
      </c>
      <c r="V437" s="49" t="s">
        <v>3163</v>
      </c>
      <c r="W437" s="46"/>
      <c r="X437" s="49" t="s">
        <v>132</v>
      </c>
      <c r="Y437" s="50" t="s">
        <v>133</v>
      </c>
      <c r="Z437" s="50" t="s">
        <v>134</v>
      </c>
      <c r="AA437" s="46"/>
      <c r="AB437" s="26"/>
      <c r="AC437" s="51" t="s">
        <v>144</v>
      </c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</row>
    <row r="438">
      <c r="A438" s="35">
        <v>46133.0</v>
      </c>
      <c r="B438" s="36" t="s">
        <v>1216</v>
      </c>
      <c r="C438" s="37" t="s">
        <v>3164</v>
      </c>
      <c r="D438" s="37" t="s">
        <v>3165</v>
      </c>
      <c r="E438" s="54">
        <v>4791537285</v>
      </c>
      <c r="F438" s="39" t="s">
        <v>3166</v>
      </c>
      <c r="G438" s="37" t="str">
        <f>IF(NOT(ISERROR(MATCH(D438,'Tannbleking - Oppsalg US'!D:D, 0))), "Ja", "")</f>
        <v/>
      </c>
      <c r="H438" s="37" t="s">
        <v>50</v>
      </c>
      <c r="I438" s="37" t="s">
        <v>44</v>
      </c>
      <c r="J438" s="40"/>
      <c r="K438" s="41"/>
      <c r="L438" s="42" t="s">
        <v>128</v>
      </c>
      <c r="M438" s="43" t="s">
        <v>2429</v>
      </c>
      <c r="N438" s="44">
        <v>6.920645521937E12</v>
      </c>
      <c r="O438" s="53" t="str">
        <f t="shared" si="1"/>
        <v>21/04/2026</v>
      </c>
      <c r="P438" s="46">
        <f t="shared" si="2"/>
        <v>1776757020</v>
      </c>
      <c r="Q438" s="47"/>
      <c r="R438" s="48"/>
      <c r="S438" s="46"/>
      <c r="T438" s="49" t="s">
        <v>3167</v>
      </c>
      <c r="U438" s="49" t="s">
        <v>3168</v>
      </c>
      <c r="V438" s="49" t="s">
        <v>3169</v>
      </c>
      <c r="W438" s="46"/>
      <c r="X438" s="49" t="s">
        <v>132</v>
      </c>
      <c r="Y438" s="50" t="s">
        <v>133</v>
      </c>
      <c r="Z438" s="50" t="s">
        <v>134</v>
      </c>
      <c r="AA438" s="46"/>
      <c r="AB438" s="26"/>
      <c r="AC438" s="51" t="s">
        <v>144</v>
      </c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</row>
    <row r="439">
      <c r="A439" s="35">
        <v>46133.0</v>
      </c>
      <c r="B439" s="36" t="s">
        <v>3170</v>
      </c>
      <c r="C439" s="37" t="s">
        <v>3171</v>
      </c>
      <c r="D439" s="37" t="s">
        <v>3172</v>
      </c>
      <c r="E439" s="54">
        <v>4745922207</v>
      </c>
      <c r="F439" s="39" t="s">
        <v>3173</v>
      </c>
      <c r="G439" s="37" t="str">
        <f>IF(NOT(ISERROR(MATCH(D439,'Tannbleking - Oppsalg US'!D:D, 0))), "Ja", "")</f>
        <v/>
      </c>
      <c r="H439" s="37" t="s">
        <v>50</v>
      </c>
      <c r="I439" s="37" t="s">
        <v>44</v>
      </c>
      <c r="J439" s="40"/>
      <c r="K439" s="41"/>
      <c r="L439" s="42"/>
      <c r="M439" s="43"/>
      <c r="N439" s="44"/>
      <c r="O439" s="53" t="str">
        <f t="shared" si="1"/>
        <v>21/04/2026</v>
      </c>
      <c r="P439" s="46">
        <f t="shared" si="2"/>
        <v>1776765780</v>
      </c>
      <c r="Q439" s="47"/>
      <c r="R439" s="48"/>
      <c r="S439" s="46"/>
      <c r="T439" s="49" t="s">
        <v>3174</v>
      </c>
      <c r="U439" s="49" t="s">
        <v>3175</v>
      </c>
      <c r="V439" s="49" t="s">
        <v>3176</v>
      </c>
      <c r="W439" s="46"/>
      <c r="X439" s="49" t="s">
        <v>132</v>
      </c>
      <c r="Y439" s="50" t="s">
        <v>133</v>
      </c>
      <c r="Z439" s="50" t="s">
        <v>134</v>
      </c>
      <c r="AA439" s="46"/>
      <c r="AB439" s="26"/>
      <c r="AC439" s="51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</row>
    <row r="440">
      <c r="A440" s="35">
        <v>46134.0</v>
      </c>
      <c r="B440" s="36" t="s">
        <v>3177</v>
      </c>
      <c r="C440" s="37" t="s">
        <v>3178</v>
      </c>
      <c r="D440" s="37" t="s">
        <v>3179</v>
      </c>
      <c r="E440" s="54">
        <v>4794465595</v>
      </c>
      <c r="F440" s="39" t="s">
        <v>3180</v>
      </c>
      <c r="G440" s="37" t="str">
        <f>IF(NOT(ISERROR(MATCH(D440,'Tannbleking - Oppsalg US'!D:D, 0))), "Ja", "")</f>
        <v/>
      </c>
      <c r="H440" s="37" t="s">
        <v>50</v>
      </c>
      <c r="I440" s="37" t="s">
        <v>107</v>
      </c>
      <c r="J440" s="40"/>
      <c r="K440" s="41"/>
      <c r="L440" s="42" t="s">
        <v>128</v>
      </c>
      <c r="M440" s="43" t="s">
        <v>2671</v>
      </c>
      <c r="N440" s="44">
        <v>6.920645524337E12</v>
      </c>
      <c r="O440" s="53" t="str">
        <f t="shared" si="1"/>
        <v>22/04/2026</v>
      </c>
      <c r="P440" s="46">
        <f t="shared" si="2"/>
        <v>1776819720</v>
      </c>
      <c r="Q440" s="47"/>
      <c r="R440" s="48"/>
      <c r="S440" s="46"/>
      <c r="T440" s="49" t="s">
        <v>3181</v>
      </c>
      <c r="U440" s="49" t="s">
        <v>3182</v>
      </c>
      <c r="V440" s="49" t="s">
        <v>3183</v>
      </c>
      <c r="W440" s="46"/>
      <c r="X440" s="49" t="s">
        <v>132</v>
      </c>
      <c r="Y440" s="50" t="s">
        <v>133</v>
      </c>
      <c r="Z440" s="50" t="s">
        <v>134</v>
      </c>
      <c r="AA440" s="46"/>
      <c r="AB440" s="26"/>
      <c r="AC440" s="51" t="s">
        <v>144</v>
      </c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</row>
    <row r="441">
      <c r="A441" s="35">
        <v>46134.0</v>
      </c>
      <c r="B441" s="36" t="s">
        <v>3184</v>
      </c>
      <c r="C441" s="37" t="s">
        <v>3185</v>
      </c>
      <c r="D441" s="37" t="s">
        <v>3186</v>
      </c>
      <c r="E441" s="54">
        <v>4793994055</v>
      </c>
      <c r="F441" s="39" t="s">
        <v>3187</v>
      </c>
      <c r="G441" s="37" t="str">
        <f>IF(NOT(ISERROR(MATCH(D441,'Tannbleking - Oppsalg US'!D:D, 0))), "Ja", "")</f>
        <v>Ja</v>
      </c>
      <c r="H441" s="37" t="s">
        <v>90</v>
      </c>
      <c r="I441" s="37" t="s">
        <v>44</v>
      </c>
      <c r="J441" s="40"/>
      <c r="K441" s="41"/>
      <c r="L441" s="42" t="s">
        <v>128</v>
      </c>
      <c r="M441" s="43" t="s">
        <v>2089</v>
      </c>
      <c r="N441" s="44">
        <v>6.920645521537E12</v>
      </c>
      <c r="O441" s="53" t="str">
        <f t="shared" si="1"/>
        <v>22/04/2026</v>
      </c>
      <c r="P441" s="46">
        <f t="shared" si="2"/>
        <v>1776849480</v>
      </c>
      <c r="Q441" s="47"/>
      <c r="R441" s="48"/>
      <c r="S441" s="46"/>
      <c r="T441" s="49" t="s">
        <v>3188</v>
      </c>
      <c r="U441" s="49" t="s">
        <v>3189</v>
      </c>
      <c r="V441" s="49" t="s">
        <v>3190</v>
      </c>
      <c r="W441" s="46"/>
      <c r="X441" s="49" t="s">
        <v>132</v>
      </c>
      <c r="Y441" s="50" t="s">
        <v>133</v>
      </c>
      <c r="Z441" s="50" t="s">
        <v>134</v>
      </c>
      <c r="AA441" s="46"/>
      <c r="AB441" s="26"/>
      <c r="AC441" s="51" t="s">
        <v>144</v>
      </c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</row>
    <row r="442">
      <c r="A442" s="35">
        <v>46135.0</v>
      </c>
      <c r="B442" s="36" t="s">
        <v>1558</v>
      </c>
      <c r="C442" s="37" t="s">
        <v>3191</v>
      </c>
      <c r="D442" s="37" t="s">
        <v>3192</v>
      </c>
      <c r="E442" s="54">
        <v>4792258951</v>
      </c>
      <c r="F442" s="39" t="s">
        <v>3193</v>
      </c>
      <c r="G442" s="37" t="str">
        <f>IF(NOT(ISERROR(MATCH(D442,'Tannbleking - Oppsalg US'!D:D, 0))), "Ja", "")</f>
        <v/>
      </c>
      <c r="H442" s="37" t="s">
        <v>90</v>
      </c>
      <c r="I442" s="37" t="s">
        <v>107</v>
      </c>
      <c r="J442" s="40"/>
      <c r="K442" s="41"/>
      <c r="L442" s="42" t="s">
        <v>128</v>
      </c>
      <c r="M442" s="43" t="s">
        <v>2429</v>
      </c>
      <c r="N442" s="44">
        <v>6.920645521937E12</v>
      </c>
      <c r="O442" s="53" t="str">
        <f t="shared" si="1"/>
        <v>23/04/2026</v>
      </c>
      <c r="P442" s="46">
        <f t="shared" si="2"/>
        <v>1776908100</v>
      </c>
      <c r="Q442" s="47"/>
      <c r="R442" s="48"/>
      <c r="S442" s="46"/>
      <c r="T442" s="49" t="s">
        <v>3194</v>
      </c>
      <c r="U442" s="49" t="s">
        <v>3195</v>
      </c>
      <c r="V442" s="49" t="s">
        <v>3196</v>
      </c>
      <c r="W442" s="46"/>
      <c r="X442" s="49" t="s">
        <v>132</v>
      </c>
      <c r="Y442" s="50" t="s">
        <v>133</v>
      </c>
      <c r="Z442" s="50" t="s">
        <v>134</v>
      </c>
      <c r="AA442" s="46"/>
      <c r="AB442" s="26"/>
      <c r="AC442" s="51" t="s">
        <v>280</v>
      </c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</row>
    <row r="443">
      <c r="A443" s="35">
        <v>46135.0</v>
      </c>
      <c r="B443" s="36" t="s">
        <v>3087</v>
      </c>
      <c r="C443" s="37" t="s">
        <v>3197</v>
      </c>
      <c r="D443" s="37" t="s">
        <v>3198</v>
      </c>
      <c r="E443" s="54">
        <v>4792296370</v>
      </c>
      <c r="F443" s="39" t="s">
        <v>3199</v>
      </c>
      <c r="G443" s="37" t="str">
        <f>IF(NOT(ISERROR(MATCH(D443,'Tannbleking - Oppsalg US'!D:D, 0))), "Ja", "")</f>
        <v/>
      </c>
      <c r="H443" s="37" t="s">
        <v>50</v>
      </c>
      <c r="I443" s="37" t="s">
        <v>44</v>
      </c>
      <c r="J443" s="40"/>
      <c r="K443" s="41"/>
      <c r="L443" s="42" t="s">
        <v>128</v>
      </c>
      <c r="M443" s="43" t="s">
        <v>2429</v>
      </c>
      <c r="N443" s="44">
        <v>6.920645521937E12</v>
      </c>
      <c r="O443" s="53" t="str">
        <f t="shared" si="1"/>
        <v>23/04/2026</v>
      </c>
      <c r="P443" s="46">
        <f t="shared" si="2"/>
        <v>1776932880</v>
      </c>
      <c r="Q443" s="47"/>
      <c r="R443" s="48"/>
      <c r="S443" s="46"/>
      <c r="T443" s="49" t="s">
        <v>3200</v>
      </c>
      <c r="U443" s="49" t="s">
        <v>3201</v>
      </c>
      <c r="V443" s="49" t="s">
        <v>3202</v>
      </c>
      <c r="W443" s="46"/>
      <c r="X443" s="49" t="s">
        <v>132</v>
      </c>
      <c r="Y443" s="50" t="s">
        <v>133</v>
      </c>
      <c r="Z443" s="50" t="s">
        <v>134</v>
      </c>
      <c r="AA443" s="46"/>
      <c r="AB443" s="26"/>
      <c r="AC443" s="51" t="s">
        <v>144</v>
      </c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</row>
    <row r="444">
      <c r="A444" s="35">
        <v>46136.0</v>
      </c>
      <c r="B444" s="36" t="s">
        <v>3203</v>
      </c>
      <c r="C444" s="37" t="s">
        <v>3204</v>
      </c>
      <c r="D444" s="37" t="s">
        <v>3205</v>
      </c>
      <c r="E444" s="54">
        <v>4797506211</v>
      </c>
      <c r="F444" s="39" t="s">
        <v>3206</v>
      </c>
      <c r="G444" s="37" t="str">
        <f>IF(NOT(ISERROR(MATCH(D444,'Tannbleking - Oppsalg US'!D:D, 0))), "Ja", "")</f>
        <v/>
      </c>
      <c r="H444" s="37" t="s">
        <v>90</v>
      </c>
      <c r="I444" s="37" t="s">
        <v>107</v>
      </c>
      <c r="J444" s="40"/>
      <c r="K444" s="41"/>
      <c r="L444" s="42" t="s">
        <v>128</v>
      </c>
      <c r="M444" s="43" t="s">
        <v>2671</v>
      </c>
      <c r="N444" s="44">
        <v>6.920645524337E12</v>
      </c>
      <c r="O444" s="53" t="str">
        <f t="shared" si="1"/>
        <v>24/04/2026</v>
      </c>
      <c r="P444" s="46">
        <f t="shared" si="2"/>
        <v>1777040880</v>
      </c>
      <c r="Q444" s="47"/>
      <c r="R444" s="48"/>
      <c r="S444" s="46"/>
      <c r="T444" s="49" t="s">
        <v>3207</v>
      </c>
      <c r="U444" s="49" t="s">
        <v>3208</v>
      </c>
      <c r="V444" s="49" t="s">
        <v>3209</v>
      </c>
      <c r="W444" s="46"/>
      <c r="X444" s="49" t="s">
        <v>132</v>
      </c>
      <c r="Y444" s="50" t="s">
        <v>133</v>
      </c>
      <c r="Z444" s="50" t="s">
        <v>134</v>
      </c>
      <c r="AA444" s="46"/>
      <c r="AB444" s="26"/>
      <c r="AC444" s="51" t="s">
        <v>135</v>
      </c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</row>
    <row r="445">
      <c r="A445" s="35">
        <v>46136.0</v>
      </c>
      <c r="B445" s="36" t="s">
        <v>3210</v>
      </c>
      <c r="C445" s="37" t="s">
        <v>3211</v>
      </c>
      <c r="D445" s="37" t="s">
        <v>3212</v>
      </c>
      <c r="E445" s="54">
        <v>4746278726</v>
      </c>
      <c r="F445" s="39" t="s">
        <v>3077</v>
      </c>
      <c r="G445" s="37" t="str">
        <f>IF(NOT(ISERROR(MATCH(D445,'Tannbleking - Oppsalg US'!D:D, 0))), "Ja", "")</f>
        <v/>
      </c>
      <c r="H445" s="37" t="s">
        <v>50</v>
      </c>
      <c r="I445" s="37" t="s">
        <v>44</v>
      </c>
      <c r="J445" s="40"/>
      <c r="K445" s="41"/>
      <c r="L445" s="42" t="s">
        <v>128</v>
      </c>
      <c r="M445" s="43" t="s">
        <v>2731</v>
      </c>
      <c r="N445" s="44">
        <v>6.920645524937E12</v>
      </c>
      <c r="O445" s="53" t="str">
        <f t="shared" si="1"/>
        <v>24/04/2026</v>
      </c>
      <c r="P445" s="46">
        <f t="shared" si="2"/>
        <v>1777055040</v>
      </c>
      <c r="Q445" s="47"/>
      <c r="R445" s="48"/>
      <c r="S445" s="46"/>
      <c r="T445" s="49" t="s">
        <v>3213</v>
      </c>
      <c r="U445" s="49" t="s">
        <v>3214</v>
      </c>
      <c r="V445" s="49" t="s">
        <v>3215</v>
      </c>
      <c r="W445" s="46"/>
      <c r="X445" s="49" t="s">
        <v>132</v>
      </c>
      <c r="Y445" s="50" t="s">
        <v>133</v>
      </c>
      <c r="Z445" s="50" t="s">
        <v>134</v>
      </c>
      <c r="AA445" s="46"/>
      <c r="AB445" s="26"/>
      <c r="AC445" s="51" t="s">
        <v>135</v>
      </c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</row>
    <row r="446">
      <c r="A446" s="35">
        <v>46137.0</v>
      </c>
      <c r="B446" s="36" t="s">
        <v>3216</v>
      </c>
      <c r="C446" s="37" t="s">
        <v>3217</v>
      </c>
      <c r="D446" s="37" t="s">
        <v>3218</v>
      </c>
      <c r="E446" s="54">
        <v>4746823122</v>
      </c>
      <c r="F446" s="39" t="s">
        <v>3219</v>
      </c>
      <c r="G446" s="37" t="str">
        <f>IF(NOT(ISERROR(MATCH(D446,'Tannbleking - Oppsalg US'!D:D, 0))), "Ja", "")</f>
        <v>Ja</v>
      </c>
      <c r="H446" s="37" t="s">
        <v>50</v>
      </c>
      <c r="I446" s="37" t="s">
        <v>44</v>
      </c>
      <c r="J446" s="40"/>
      <c r="K446" s="41"/>
      <c r="L446" s="42" t="s">
        <v>128</v>
      </c>
      <c r="M446" s="43" t="s">
        <v>2429</v>
      </c>
      <c r="N446" s="44">
        <v>6.920645521937E12</v>
      </c>
      <c r="O446" s="53" t="str">
        <f t="shared" si="1"/>
        <v>25/04/2026</v>
      </c>
      <c r="P446" s="46">
        <f t="shared" si="2"/>
        <v>1777111560</v>
      </c>
      <c r="Q446" s="47"/>
      <c r="R446" s="48"/>
      <c r="S446" s="46"/>
      <c r="T446" s="49" t="s">
        <v>3220</v>
      </c>
      <c r="U446" s="49" t="s">
        <v>3221</v>
      </c>
      <c r="V446" s="49" t="s">
        <v>3222</v>
      </c>
      <c r="W446" s="46"/>
      <c r="X446" s="49" t="s">
        <v>132</v>
      </c>
      <c r="Y446" s="50" t="s">
        <v>133</v>
      </c>
      <c r="Z446" s="50" t="s">
        <v>134</v>
      </c>
      <c r="AA446" s="46"/>
      <c r="AB446" s="26"/>
      <c r="AC446" s="51" t="s">
        <v>135</v>
      </c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</row>
    <row r="447">
      <c r="A447" s="35">
        <v>46138.0</v>
      </c>
      <c r="B447" s="36" t="s">
        <v>3223</v>
      </c>
      <c r="C447" s="37" t="s">
        <v>3224</v>
      </c>
      <c r="D447" s="37" t="s">
        <v>3225</v>
      </c>
      <c r="E447" s="54">
        <v>4747257179</v>
      </c>
      <c r="F447" s="39" t="s">
        <v>3226</v>
      </c>
      <c r="G447" s="37" t="str">
        <f>IF(NOT(ISERROR(MATCH(D447,'Tannbleking - Oppsalg US'!D:D, 0))), "Ja", "")</f>
        <v/>
      </c>
      <c r="H447" s="37" t="s">
        <v>50</v>
      </c>
      <c r="I447" s="37" t="s">
        <v>44</v>
      </c>
      <c r="J447" s="40"/>
      <c r="K447" s="41"/>
      <c r="L447" s="42" t="s">
        <v>128</v>
      </c>
      <c r="M447" s="43" t="s">
        <v>2429</v>
      </c>
      <c r="N447" s="44">
        <v>6.920645521937E12</v>
      </c>
      <c r="O447" s="53" t="str">
        <f t="shared" si="1"/>
        <v>26/04/2026</v>
      </c>
      <c r="P447" s="46">
        <f t="shared" si="2"/>
        <v>1777163700</v>
      </c>
      <c r="Q447" s="47"/>
      <c r="R447" s="48"/>
      <c r="S447" s="46"/>
      <c r="T447" s="49" t="s">
        <v>3227</v>
      </c>
      <c r="U447" s="49" t="s">
        <v>3228</v>
      </c>
      <c r="V447" s="49" t="s">
        <v>3229</v>
      </c>
      <c r="W447" s="46"/>
      <c r="X447" s="49" t="s">
        <v>132</v>
      </c>
      <c r="Y447" s="50" t="s">
        <v>133</v>
      </c>
      <c r="Z447" s="50" t="s">
        <v>134</v>
      </c>
      <c r="AA447" s="46"/>
      <c r="AB447" s="26"/>
      <c r="AC447" s="51" t="s">
        <v>135</v>
      </c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</row>
    <row r="448">
      <c r="A448" s="35">
        <v>46138.0</v>
      </c>
      <c r="B448" s="36" t="s">
        <v>3230</v>
      </c>
      <c r="C448" s="37" t="s">
        <v>3231</v>
      </c>
      <c r="D448" s="37" t="s">
        <v>3232</v>
      </c>
      <c r="E448" s="54">
        <v>4740585484</v>
      </c>
      <c r="F448" s="39" t="s">
        <v>3233</v>
      </c>
      <c r="G448" s="37" t="str">
        <f>IF(NOT(ISERROR(MATCH(D448,'Tannbleking - Oppsalg US'!D:D, 0))), "Ja", "")</f>
        <v/>
      </c>
      <c r="H448" s="37" t="s">
        <v>50</v>
      </c>
      <c r="I448" s="37" t="s">
        <v>44</v>
      </c>
      <c r="J448" s="40"/>
      <c r="K448" s="41"/>
      <c r="L448" s="42" t="s">
        <v>128</v>
      </c>
      <c r="M448" s="43" t="s">
        <v>2429</v>
      </c>
      <c r="N448" s="44">
        <v>6.920645521937E12</v>
      </c>
      <c r="O448" s="53" t="str">
        <f t="shared" si="1"/>
        <v>26/04/2026</v>
      </c>
      <c r="P448" s="46">
        <f t="shared" si="2"/>
        <v>1777221900</v>
      </c>
      <c r="Q448" s="47"/>
      <c r="R448" s="48"/>
      <c r="S448" s="46"/>
      <c r="T448" s="49" t="s">
        <v>3234</v>
      </c>
      <c r="U448" s="49" t="s">
        <v>3235</v>
      </c>
      <c r="V448" s="49" t="s">
        <v>3236</v>
      </c>
      <c r="W448" s="46"/>
      <c r="X448" s="49" t="s">
        <v>132</v>
      </c>
      <c r="Y448" s="50" t="s">
        <v>133</v>
      </c>
      <c r="Z448" s="50" t="s">
        <v>134</v>
      </c>
      <c r="AA448" s="46"/>
      <c r="AB448" s="26"/>
      <c r="AC448" s="51" t="s">
        <v>135</v>
      </c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</row>
    <row r="449">
      <c r="A449" s="35">
        <v>46143.0</v>
      </c>
      <c r="B449" s="36" t="s">
        <v>1127</v>
      </c>
      <c r="C449" s="37" t="s">
        <v>3237</v>
      </c>
      <c r="D449" s="37" t="s">
        <v>3238</v>
      </c>
      <c r="E449" s="54">
        <v>4746863232</v>
      </c>
      <c r="F449" s="39" t="s">
        <v>3239</v>
      </c>
      <c r="G449" s="37" t="str">
        <f>IF(NOT(ISERROR(MATCH(D449,'Tannbleking - Oppsalg US'!D:D, 0))), "Ja", "")</f>
        <v/>
      </c>
      <c r="H449" s="37" t="s">
        <v>50</v>
      </c>
      <c r="I449" s="37" t="s">
        <v>44</v>
      </c>
      <c r="J449" s="40"/>
      <c r="K449" s="41"/>
      <c r="L449" s="42" t="s">
        <v>128</v>
      </c>
      <c r="M449" s="43" t="s">
        <v>1605</v>
      </c>
      <c r="N449" s="44">
        <v>6.940562466737E12</v>
      </c>
      <c r="O449" s="53" t="str">
        <f t="shared" si="1"/>
        <v>01/05/2026</v>
      </c>
      <c r="P449" s="46">
        <f t="shared" si="2"/>
        <v>1777625880</v>
      </c>
      <c r="Q449" s="47"/>
      <c r="R449" s="48"/>
      <c r="S449" s="46"/>
      <c r="T449" s="49" t="s">
        <v>3240</v>
      </c>
      <c r="U449" s="49" t="s">
        <v>3241</v>
      </c>
      <c r="V449" s="49" t="s">
        <v>3242</v>
      </c>
      <c r="W449" s="46"/>
      <c r="X449" s="49" t="s">
        <v>132</v>
      </c>
      <c r="Y449" s="50" t="s">
        <v>133</v>
      </c>
      <c r="Z449" s="50" t="s">
        <v>134</v>
      </c>
      <c r="AA449" s="46"/>
      <c r="AB449" s="26"/>
      <c r="AC449" s="51" t="s">
        <v>144</v>
      </c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</row>
    <row r="450">
      <c r="A450" s="35">
        <v>46144.0</v>
      </c>
      <c r="B450" s="36" t="s">
        <v>3243</v>
      </c>
      <c r="C450" s="37" t="s">
        <v>3244</v>
      </c>
      <c r="D450" s="37" t="s">
        <v>3245</v>
      </c>
      <c r="E450" s="54">
        <v>4798692370</v>
      </c>
      <c r="F450" s="39" t="s">
        <v>3246</v>
      </c>
      <c r="G450" s="37" t="str">
        <f>IF(NOT(ISERROR(MATCH(D450,'Tannbleking - Oppsalg US'!D:D, 0))), "Ja", "")</f>
        <v/>
      </c>
      <c r="H450" s="37" t="s">
        <v>50</v>
      </c>
      <c r="I450" s="37" t="s">
        <v>44</v>
      </c>
      <c r="J450" s="40"/>
      <c r="K450" s="41"/>
      <c r="L450" s="42" t="s">
        <v>128</v>
      </c>
      <c r="M450" s="43" t="s">
        <v>3247</v>
      </c>
      <c r="N450" s="44">
        <v>6.940562466537E12</v>
      </c>
      <c r="O450" s="53" t="str">
        <f t="shared" si="1"/>
        <v>02/05/2026</v>
      </c>
      <c r="P450" s="46">
        <f t="shared" si="2"/>
        <v>1777753440</v>
      </c>
      <c r="Q450" s="47"/>
      <c r="R450" s="48"/>
      <c r="S450" s="46"/>
      <c r="T450" s="49" t="s">
        <v>3248</v>
      </c>
      <c r="U450" s="49" t="s">
        <v>3249</v>
      </c>
      <c r="V450" s="49" t="s">
        <v>3250</v>
      </c>
      <c r="W450" s="46"/>
      <c r="X450" s="49" t="s">
        <v>132</v>
      </c>
      <c r="Y450" s="50" t="s">
        <v>133</v>
      </c>
      <c r="Z450" s="50" t="s">
        <v>134</v>
      </c>
      <c r="AA450" s="46"/>
      <c r="AB450" s="26"/>
      <c r="AC450" s="51" t="s">
        <v>135</v>
      </c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</row>
    <row r="451">
      <c r="A451" s="35">
        <v>46145.0</v>
      </c>
      <c r="B451" s="36" t="s">
        <v>3251</v>
      </c>
      <c r="C451" s="37" t="s">
        <v>3252</v>
      </c>
      <c r="D451" s="37" t="s">
        <v>3253</v>
      </c>
      <c r="E451" s="54">
        <v>4791791487</v>
      </c>
      <c r="F451" s="39" t="s">
        <v>3254</v>
      </c>
      <c r="G451" s="37" t="str">
        <f>IF(NOT(ISERROR(MATCH(D451,'Tannbleking - Oppsalg US'!D:D, 0))), "Ja", "")</f>
        <v/>
      </c>
      <c r="H451" s="37" t="s">
        <v>50</v>
      </c>
      <c r="I451" s="37" t="s">
        <v>44</v>
      </c>
      <c r="J451" s="40"/>
      <c r="K451" s="41"/>
      <c r="L451" s="42" t="s">
        <v>128</v>
      </c>
      <c r="M451" s="43" t="s">
        <v>3255</v>
      </c>
      <c r="N451" s="44">
        <v>6.940562467337E12</v>
      </c>
      <c r="O451" s="53" t="str">
        <f t="shared" si="1"/>
        <v>03/05/2026</v>
      </c>
      <c r="P451" s="46">
        <f t="shared" si="2"/>
        <v>1777805400</v>
      </c>
      <c r="Q451" s="47"/>
      <c r="R451" s="48"/>
      <c r="S451" s="46"/>
      <c r="T451" s="49" t="s">
        <v>3256</v>
      </c>
      <c r="U451" s="49" t="s">
        <v>3257</v>
      </c>
      <c r="V451" s="49" t="s">
        <v>3258</v>
      </c>
      <c r="W451" s="46"/>
      <c r="X451" s="49" t="s">
        <v>132</v>
      </c>
      <c r="Y451" s="50" t="s">
        <v>133</v>
      </c>
      <c r="Z451" s="50" t="s">
        <v>134</v>
      </c>
      <c r="AA451" s="46"/>
      <c r="AB451" s="26"/>
      <c r="AC451" s="51" t="s">
        <v>280</v>
      </c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</row>
    <row r="452">
      <c r="A452" s="35">
        <v>46145.0</v>
      </c>
      <c r="B452" s="36" t="s">
        <v>475</v>
      </c>
      <c r="C452" s="37" t="s">
        <v>3259</v>
      </c>
      <c r="D452" s="37" t="s">
        <v>3260</v>
      </c>
      <c r="E452" s="54">
        <f>47</f>
        <v>47</v>
      </c>
      <c r="F452" s="39" t="s">
        <v>3261</v>
      </c>
      <c r="G452" s="37" t="str">
        <f>IF(NOT(ISERROR(MATCH(D452,'Tannbleking - Oppsalg US'!D:D, 0))), "Ja", "")</f>
        <v/>
      </c>
      <c r="H452" s="37" t="s">
        <v>43</v>
      </c>
      <c r="I452" s="37" t="s">
        <v>44</v>
      </c>
      <c r="J452" s="40"/>
      <c r="K452" s="41"/>
      <c r="L452" s="42"/>
      <c r="M452" s="43"/>
      <c r="N452" s="44"/>
      <c r="O452" s="53" t="str">
        <f t="shared" si="1"/>
        <v>03/05/2026</v>
      </c>
      <c r="P452" s="46">
        <f t="shared" si="2"/>
        <v>1777807440</v>
      </c>
      <c r="Q452" s="47"/>
      <c r="R452" s="48"/>
      <c r="S452" s="46"/>
      <c r="T452" s="49" t="s">
        <v>3262</v>
      </c>
      <c r="U452" s="49" t="s">
        <v>3263</v>
      </c>
      <c r="V452" s="49" t="s">
        <v>3264</v>
      </c>
      <c r="W452" s="46"/>
      <c r="X452" s="49" t="s">
        <v>132</v>
      </c>
      <c r="Y452" s="50" t="s">
        <v>133</v>
      </c>
      <c r="Z452" s="50" t="s">
        <v>134</v>
      </c>
      <c r="AA452" s="46"/>
      <c r="AB452" s="26"/>
      <c r="AC452" s="51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</row>
    <row r="453">
      <c r="A453" s="35">
        <v>46146.0</v>
      </c>
      <c r="B453" s="36" t="s">
        <v>1803</v>
      </c>
      <c r="C453" s="37" t="s">
        <v>3265</v>
      </c>
      <c r="D453" s="37" t="s">
        <v>3266</v>
      </c>
      <c r="E453" s="54">
        <v>4747746257</v>
      </c>
      <c r="F453" s="39" t="s">
        <v>3267</v>
      </c>
      <c r="G453" s="37" t="str">
        <f>IF(NOT(ISERROR(MATCH(D453,'Tannbleking - Oppsalg US'!D:D, 0))), "Ja", "")</f>
        <v/>
      </c>
      <c r="H453" s="37" t="s">
        <v>50</v>
      </c>
      <c r="I453" s="37" t="s">
        <v>44</v>
      </c>
      <c r="J453" s="40" t="s">
        <v>3268</v>
      </c>
      <c r="K453" s="41"/>
      <c r="L453" s="42" t="s">
        <v>128</v>
      </c>
      <c r="M453" s="43" t="s">
        <v>1731</v>
      </c>
      <c r="N453" s="44">
        <v>6.940562467737E12</v>
      </c>
      <c r="O453" s="53" t="str">
        <f t="shared" si="1"/>
        <v>04/05/2026</v>
      </c>
      <c r="P453" s="46">
        <f t="shared" si="2"/>
        <v>1777889760</v>
      </c>
      <c r="Q453" s="47"/>
      <c r="R453" s="48"/>
      <c r="S453" s="46"/>
      <c r="T453" s="49" t="s">
        <v>3269</v>
      </c>
      <c r="U453" s="49" t="s">
        <v>3270</v>
      </c>
      <c r="V453" s="49" t="s">
        <v>3271</v>
      </c>
      <c r="W453" s="46"/>
      <c r="X453" s="49" t="s">
        <v>132</v>
      </c>
      <c r="Y453" s="50" t="s">
        <v>133</v>
      </c>
      <c r="Z453" s="50" t="s">
        <v>134</v>
      </c>
      <c r="AA453" s="46"/>
      <c r="AB453" s="26"/>
      <c r="AC453" s="51" t="s">
        <v>423</v>
      </c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</row>
    <row r="454">
      <c r="A454" s="35">
        <v>46146.0</v>
      </c>
      <c r="B454" s="36" t="s">
        <v>3272</v>
      </c>
      <c r="C454" s="37" t="s">
        <v>3273</v>
      </c>
      <c r="D454" s="37" t="s">
        <v>3274</v>
      </c>
      <c r="E454" s="54">
        <v>4798652526</v>
      </c>
      <c r="F454" s="39" t="s">
        <v>3275</v>
      </c>
      <c r="G454" s="37" t="str">
        <f>IF(NOT(ISERROR(MATCH(D454,'Tannbleking - Oppsalg US'!D:D, 0))), "Ja", "")</f>
        <v/>
      </c>
      <c r="H454" s="37" t="s">
        <v>50</v>
      </c>
      <c r="I454" s="37" t="s">
        <v>44</v>
      </c>
      <c r="J454" s="40"/>
      <c r="K454" s="41"/>
      <c r="L454" s="42" t="s">
        <v>128</v>
      </c>
      <c r="M454" s="43" t="s">
        <v>1731</v>
      </c>
      <c r="N454" s="44">
        <v>6.940562467737E12</v>
      </c>
      <c r="O454" s="53" t="str">
        <f t="shared" si="1"/>
        <v>04/05/2026</v>
      </c>
      <c r="P454" s="46">
        <f t="shared" si="2"/>
        <v>1777892400</v>
      </c>
      <c r="Q454" s="47"/>
      <c r="R454" s="48"/>
      <c r="S454" s="46"/>
      <c r="T454" s="49" t="s">
        <v>3276</v>
      </c>
      <c r="U454" s="49" t="s">
        <v>3277</v>
      </c>
      <c r="V454" s="49" t="s">
        <v>3278</v>
      </c>
      <c r="W454" s="46"/>
      <c r="X454" s="49" t="s">
        <v>132</v>
      </c>
      <c r="Y454" s="50" t="s">
        <v>133</v>
      </c>
      <c r="Z454" s="50" t="s">
        <v>134</v>
      </c>
      <c r="AA454" s="46"/>
      <c r="AB454" s="26"/>
      <c r="AC454" s="51" t="s">
        <v>135</v>
      </c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</row>
    <row r="455">
      <c r="A455" s="35">
        <v>46146.0</v>
      </c>
      <c r="B455" s="36" t="s">
        <v>2265</v>
      </c>
      <c r="C455" s="37" t="s">
        <v>3279</v>
      </c>
      <c r="D455" s="37" t="s">
        <v>3280</v>
      </c>
      <c r="E455" s="54">
        <v>4797190783</v>
      </c>
      <c r="F455" s="39" t="s">
        <v>3281</v>
      </c>
      <c r="G455" s="37" t="str">
        <f>IF(NOT(ISERROR(MATCH(D455,'Tannbleking - Oppsalg US'!D:D, 0))), "Ja", "")</f>
        <v/>
      </c>
      <c r="H455" s="37" t="s">
        <v>50</v>
      </c>
      <c r="I455" s="37" t="s">
        <v>107</v>
      </c>
      <c r="J455" s="40" t="s">
        <v>3282</v>
      </c>
      <c r="K455" s="41"/>
      <c r="L455" s="42" t="s">
        <v>128</v>
      </c>
      <c r="M455" s="43" t="s">
        <v>2429</v>
      </c>
      <c r="N455" s="44">
        <v>6.920645521937E12</v>
      </c>
      <c r="O455" s="53" t="str">
        <f t="shared" si="1"/>
        <v>04/05/2026</v>
      </c>
      <c r="P455" s="46">
        <f t="shared" si="2"/>
        <v>1777905720</v>
      </c>
      <c r="Q455" s="47"/>
      <c r="R455" s="48"/>
      <c r="S455" s="46"/>
      <c r="T455" s="49" t="s">
        <v>3283</v>
      </c>
      <c r="U455" s="49" t="s">
        <v>3284</v>
      </c>
      <c r="V455" s="49" t="s">
        <v>3285</v>
      </c>
      <c r="W455" s="46"/>
      <c r="X455" s="49" t="s">
        <v>132</v>
      </c>
      <c r="Y455" s="50" t="s">
        <v>133</v>
      </c>
      <c r="Z455" s="50" t="s">
        <v>134</v>
      </c>
      <c r="AA455" s="46"/>
      <c r="AB455" s="26"/>
      <c r="AC455" s="51" t="s">
        <v>135</v>
      </c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</row>
    <row r="456">
      <c r="A456" s="35">
        <v>46147.0</v>
      </c>
      <c r="B456" s="36" t="s">
        <v>3286</v>
      </c>
      <c r="C456" s="37" t="s">
        <v>3287</v>
      </c>
      <c r="D456" s="37" t="s">
        <v>3288</v>
      </c>
      <c r="E456" s="54">
        <v>4796741192</v>
      </c>
      <c r="F456" s="39" t="s">
        <v>3289</v>
      </c>
      <c r="G456" s="37" t="str">
        <f>IF(NOT(ISERROR(MATCH(D456,'Tannbleking - Oppsalg US'!D:D, 0))), "Ja", "")</f>
        <v/>
      </c>
      <c r="H456" s="37" t="s">
        <v>50</v>
      </c>
      <c r="I456" s="37" t="s">
        <v>44</v>
      </c>
      <c r="J456" s="40"/>
      <c r="K456" s="41"/>
      <c r="L456" s="42" t="s">
        <v>128</v>
      </c>
      <c r="M456" s="43" t="s">
        <v>1836</v>
      </c>
      <c r="N456" s="44">
        <v>6.940562466137E12</v>
      </c>
      <c r="O456" s="53" t="str">
        <f t="shared" si="1"/>
        <v>05/05/2026</v>
      </c>
      <c r="P456" s="46">
        <f t="shared" si="2"/>
        <v>1777941420</v>
      </c>
      <c r="Q456" s="47"/>
      <c r="R456" s="48"/>
      <c r="S456" s="46"/>
      <c r="T456" s="49" t="s">
        <v>3290</v>
      </c>
      <c r="U456" s="49" t="s">
        <v>3291</v>
      </c>
      <c r="V456" s="49" t="s">
        <v>3292</v>
      </c>
      <c r="W456" s="46"/>
      <c r="X456" s="49" t="s">
        <v>132</v>
      </c>
      <c r="Y456" s="50" t="s">
        <v>133</v>
      </c>
      <c r="Z456" s="50" t="s">
        <v>134</v>
      </c>
      <c r="AA456" s="46"/>
      <c r="AB456" s="26"/>
      <c r="AC456" s="51" t="s">
        <v>135</v>
      </c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</row>
    <row r="457">
      <c r="A457" s="35">
        <v>46147.0</v>
      </c>
      <c r="B457" s="36" t="s">
        <v>3293</v>
      </c>
      <c r="C457" s="37" t="s">
        <v>3294</v>
      </c>
      <c r="D457" s="37" t="s">
        <v>3295</v>
      </c>
      <c r="E457" s="54">
        <v>4794166208</v>
      </c>
      <c r="F457" s="39" t="s">
        <v>3296</v>
      </c>
      <c r="G457" s="37" t="str">
        <f>IF(NOT(ISERROR(MATCH(D457,'Tannbleking - Oppsalg US'!D:D, 0))), "Ja", "")</f>
        <v/>
      </c>
      <c r="H457" s="37" t="s">
        <v>50</v>
      </c>
      <c r="I457" s="37" t="s">
        <v>44</v>
      </c>
      <c r="J457" s="40"/>
      <c r="K457" s="41"/>
      <c r="L457" s="42" t="s">
        <v>128</v>
      </c>
      <c r="M457" s="43" t="s">
        <v>1598</v>
      </c>
      <c r="N457" s="44">
        <v>6.940562467537E12</v>
      </c>
      <c r="O457" s="53" t="str">
        <f t="shared" si="1"/>
        <v>05/05/2026</v>
      </c>
      <c r="P457" s="46">
        <f t="shared" si="2"/>
        <v>1777969320</v>
      </c>
      <c r="Q457" s="47"/>
      <c r="R457" s="48"/>
      <c r="S457" s="46"/>
      <c r="T457" s="49" t="s">
        <v>3297</v>
      </c>
      <c r="U457" s="49" t="s">
        <v>3298</v>
      </c>
      <c r="V457" s="49" t="s">
        <v>3299</v>
      </c>
      <c r="W457" s="46"/>
      <c r="X457" s="49" t="s">
        <v>132</v>
      </c>
      <c r="Y457" s="50" t="s">
        <v>133</v>
      </c>
      <c r="Z457" s="50" t="s">
        <v>134</v>
      </c>
      <c r="AA457" s="46"/>
      <c r="AB457" s="26"/>
      <c r="AC457" s="51" t="s">
        <v>1282</v>
      </c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</row>
    <row r="458">
      <c r="A458" s="35">
        <v>46148.0</v>
      </c>
      <c r="B458" s="36" t="s">
        <v>3300</v>
      </c>
      <c r="C458" s="37" t="s">
        <v>3301</v>
      </c>
      <c r="D458" s="37" t="s">
        <v>3302</v>
      </c>
      <c r="E458" s="54">
        <v>4795258119</v>
      </c>
      <c r="F458" s="39" t="s">
        <v>3303</v>
      </c>
      <c r="G458" s="37" t="str">
        <f>IF(NOT(ISERROR(MATCH(D458,'Tannbleking - Oppsalg US'!D:D, 0))), "Ja", "")</f>
        <v/>
      </c>
      <c r="H458" s="37" t="s">
        <v>50</v>
      </c>
      <c r="I458" s="37" t="s">
        <v>44</v>
      </c>
      <c r="J458" s="40"/>
      <c r="K458" s="41"/>
      <c r="L458" s="42" t="s">
        <v>128</v>
      </c>
      <c r="M458" s="43" t="s">
        <v>1852</v>
      </c>
      <c r="N458" s="44">
        <v>6.940562465737E12</v>
      </c>
      <c r="O458" s="53" t="str">
        <f t="shared" si="1"/>
        <v>06/05/2026</v>
      </c>
      <c r="P458" s="46">
        <f t="shared" si="2"/>
        <v>1778072520</v>
      </c>
      <c r="Q458" s="47"/>
      <c r="R458" s="48"/>
      <c r="S458" s="46"/>
      <c r="T458" s="49" t="s">
        <v>3304</v>
      </c>
      <c r="U458" s="49" t="s">
        <v>3305</v>
      </c>
      <c r="V458" s="49" t="s">
        <v>3306</v>
      </c>
      <c r="W458" s="46"/>
      <c r="X458" s="49" t="s">
        <v>132</v>
      </c>
      <c r="Y458" s="50" t="s">
        <v>133</v>
      </c>
      <c r="Z458" s="50" t="s">
        <v>134</v>
      </c>
      <c r="AA458" s="46"/>
      <c r="AB458" s="26"/>
      <c r="AC458" s="51" t="s">
        <v>135</v>
      </c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</row>
    <row r="459">
      <c r="A459" s="35">
        <v>46148.0</v>
      </c>
      <c r="B459" s="36" t="s">
        <v>3307</v>
      </c>
      <c r="C459" s="37" t="s">
        <v>3308</v>
      </c>
      <c r="D459" s="37" t="s">
        <v>3309</v>
      </c>
      <c r="E459" s="54">
        <v>4790703709</v>
      </c>
      <c r="F459" s="39" t="s">
        <v>3310</v>
      </c>
      <c r="G459" s="37" t="str">
        <f>IF(NOT(ISERROR(MATCH(D459,'Tannbleking - Oppsalg US'!D:D, 0))), "Ja", "")</f>
        <v/>
      </c>
      <c r="H459" s="37" t="s">
        <v>50</v>
      </c>
      <c r="I459" s="37" t="s">
        <v>44</v>
      </c>
      <c r="J459" s="40"/>
      <c r="K459" s="41"/>
      <c r="L459" s="42" t="s">
        <v>128</v>
      </c>
      <c r="M459" s="43" t="s">
        <v>1852</v>
      </c>
      <c r="N459" s="44">
        <v>6.940562465737E12</v>
      </c>
      <c r="O459" s="53" t="str">
        <f t="shared" si="1"/>
        <v>06/05/2026</v>
      </c>
      <c r="P459" s="46">
        <f t="shared" si="2"/>
        <v>1778072760</v>
      </c>
      <c r="Q459" s="47"/>
      <c r="R459" s="48"/>
      <c r="S459" s="46"/>
      <c r="T459" s="49" t="s">
        <v>3311</v>
      </c>
      <c r="U459" s="49" t="s">
        <v>3312</v>
      </c>
      <c r="V459" s="49" t="s">
        <v>3313</v>
      </c>
      <c r="W459" s="46"/>
      <c r="X459" s="49" t="s">
        <v>132</v>
      </c>
      <c r="Y459" s="50" t="s">
        <v>133</v>
      </c>
      <c r="Z459" s="50" t="s">
        <v>134</v>
      </c>
      <c r="AA459" s="46"/>
      <c r="AB459" s="26"/>
      <c r="AC459" s="51" t="s">
        <v>144</v>
      </c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</row>
    <row r="460">
      <c r="A460" s="35">
        <v>46148.0</v>
      </c>
      <c r="B460" s="36" t="s">
        <v>3314</v>
      </c>
      <c r="C460" s="37" t="s">
        <v>3315</v>
      </c>
      <c r="D460" s="37" t="s">
        <v>3316</v>
      </c>
      <c r="E460" s="54">
        <v>4796214642</v>
      </c>
      <c r="F460" s="39" t="s">
        <v>3317</v>
      </c>
      <c r="G460" s="37" t="str">
        <f>IF(NOT(ISERROR(MATCH(D460,'Tannbleking - Oppsalg US'!D:D, 0))), "Ja", "")</f>
        <v/>
      </c>
      <c r="H460" s="37" t="s">
        <v>50</v>
      </c>
      <c r="I460" s="37"/>
      <c r="J460" s="40"/>
      <c r="K460" s="41"/>
      <c r="L460" s="42" t="s">
        <v>128</v>
      </c>
      <c r="M460" s="43" t="s">
        <v>1852</v>
      </c>
      <c r="N460" s="44">
        <v>6.940562465737E12</v>
      </c>
      <c r="O460" s="53" t="str">
        <f t="shared" si="1"/>
        <v>06/05/2026</v>
      </c>
      <c r="P460" s="46">
        <f t="shared" si="2"/>
        <v>1778077320</v>
      </c>
      <c r="Q460" s="47"/>
      <c r="R460" s="48"/>
      <c r="S460" s="46"/>
      <c r="T460" s="49" t="s">
        <v>3318</v>
      </c>
      <c r="U460" s="49" t="s">
        <v>3319</v>
      </c>
      <c r="V460" s="49" t="s">
        <v>3320</v>
      </c>
      <c r="W460" s="46"/>
      <c r="X460" s="49" t="s">
        <v>132</v>
      </c>
      <c r="Y460" s="50" t="s">
        <v>133</v>
      </c>
      <c r="Z460" s="50" t="s">
        <v>134</v>
      </c>
      <c r="AA460" s="46"/>
      <c r="AB460" s="26"/>
      <c r="AC460" s="51" t="s">
        <v>135</v>
      </c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</row>
    <row r="461">
      <c r="A461" s="35">
        <v>46149.0</v>
      </c>
      <c r="B461" s="36" t="s">
        <v>3321</v>
      </c>
      <c r="C461" s="37" t="s">
        <v>3322</v>
      </c>
      <c r="D461" s="37" t="s">
        <v>3323</v>
      </c>
      <c r="E461" s="54">
        <v>4792547622</v>
      </c>
      <c r="F461" s="39" t="s">
        <v>3324</v>
      </c>
      <c r="G461" s="37" t="str">
        <f>IF(NOT(ISERROR(MATCH(D461,'Tannbleking - Oppsalg US'!D:D, 0))), "Ja", "")</f>
        <v>Ja</v>
      </c>
      <c r="H461" s="37" t="s">
        <v>43</v>
      </c>
      <c r="I461" s="37" t="s">
        <v>140</v>
      </c>
      <c r="J461" s="40"/>
      <c r="K461" s="41"/>
      <c r="L461" s="42" t="s">
        <v>128</v>
      </c>
      <c r="M461" s="43" t="s">
        <v>1598</v>
      </c>
      <c r="N461" s="44">
        <v>6.940562467537E12</v>
      </c>
      <c r="O461" s="53" t="str">
        <f t="shared" si="1"/>
        <v>07/05/2026</v>
      </c>
      <c r="P461" s="46">
        <f t="shared" si="2"/>
        <v>1778123340</v>
      </c>
      <c r="Q461" s="47"/>
      <c r="R461" s="48"/>
      <c r="S461" s="46"/>
      <c r="T461" s="49" t="s">
        <v>3325</v>
      </c>
      <c r="U461" s="49" t="s">
        <v>3326</v>
      </c>
      <c r="V461" s="49" t="s">
        <v>3327</v>
      </c>
      <c r="W461" s="46"/>
      <c r="X461" s="49" t="s">
        <v>132</v>
      </c>
      <c r="Y461" s="50" t="s">
        <v>133</v>
      </c>
      <c r="Z461" s="50" t="s">
        <v>134</v>
      </c>
      <c r="AA461" s="46"/>
      <c r="AB461" s="26"/>
      <c r="AC461" s="51" t="s">
        <v>135</v>
      </c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</row>
    <row r="462">
      <c r="A462" s="35">
        <v>46149.0</v>
      </c>
      <c r="B462" s="36" t="s">
        <v>763</v>
      </c>
      <c r="C462" s="37" t="s">
        <v>3328</v>
      </c>
      <c r="D462" s="37" t="s">
        <v>3329</v>
      </c>
      <c r="E462" s="54">
        <v>4797954378</v>
      </c>
      <c r="F462" s="39" t="s">
        <v>3330</v>
      </c>
      <c r="G462" s="37" t="str">
        <f>IF(NOT(ISERROR(MATCH(D462,'Tannbleking - Oppsalg US'!D:D, 0))), "Ja", "")</f>
        <v>Ja</v>
      </c>
      <c r="H462" s="37" t="s">
        <v>50</v>
      </c>
      <c r="I462" s="37" t="s">
        <v>107</v>
      </c>
      <c r="J462" s="40"/>
      <c r="K462" s="41"/>
      <c r="L462" s="42" t="s">
        <v>128</v>
      </c>
      <c r="M462" s="43" t="s">
        <v>1954</v>
      </c>
      <c r="N462" s="44">
        <v>6.940562465937E12</v>
      </c>
      <c r="O462" s="53" t="str">
        <f t="shared" si="1"/>
        <v>07/05/2026</v>
      </c>
      <c r="P462" s="46">
        <f t="shared" si="2"/>
        <v>1778143920</v>
      </c>
      <c r="Q462" s="47"/>
      <c r="R462" s="48"/>
      <c r="S462" s="46"/>
      <c r="T462" s="49" t="s">
        <v>3331</v>
      </c>
      <c r="U462" s="49" t="s">
        <v>3332</v>
      </c>
      <c r="V462" s="49" t="s">
        <v>3333</v>
      </c>
      <c r="W462" s="46"/>
      <c r="X462" s="49" t="s">
        <v>132</v>
      </c>
      <c r="Y462" s="50" t="s">
        <v>133</v>
      </c>
      <c r="Z462" s="50" t="s">
        <v>134</v>
      </c>
      <c r="AA462" s="46"/>
      <c r="AB462" s="26"/>
      <c r="AC462" s="51" t="s">
        <v>135</v>
      </c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</row>
    <row r="463">
      <c r="A463" s="35">
        <v>46150.0</v>
      </c>
      <c r="B463" s="36" t="s">
        <v>491</v>
      </c>
      <c r="C463" s="37" t="s">
        <v>3334</v>
      </c>
      <c r="D463" s="37" t="s">
        <v>3335</v>
      </c>
      <c r="E463" s="54">
        <v>4791307577</v>
      </c>
      <c r="F463" s="39" t="s">
        <v>3336</v>
      </c>
      <c r="G463" s="37" t="str">
        <f>IF(NOT(ISERROR(MATCH(D463,'Tannbleking - Oppsalg US'!D:D, 0))), "Ja", "")</f>
        <v/>
      </c>
      <c r="H463" s="37" t="s">
        <v>50</v>
      </c>
      <c r="I463" s="37" t="s">
        <v>44</v>
      </c>
      <c r="J463" s="40"/>
      <c r="K463" s="41"/>
      <c r="L463" s="42" t="s">
        <v>128</v>
      </c>
      <c r="M463" s="43" t="s">
        <v>1598</v>
      </c>
      <c r="N463" s="44">
        <v>6.940562467537E12</v>
      </c>
      <c r="O463" s="53" t="str">
        <f t="shared" si="1"/>
        <v>08/05/2026</v>
      </c>
      <c r="P463" s="46">
        <f t="shared" si="2"/>
        <v>1778235240</v>
      </c>
      <c r="Q463" s="47"/>
      <c r="R463" s="48"/>
      <c r="S463" s="46"/>
      <c r="T463" s="49" t="s">
        <v>3337</v>
      </c>
      <c r="U463" s="49" t="s">
        <v>3338</v>
      </c>
      <c r="V463" s="49" t="s">
        <v>3339</v>
      </c>
      <c r="W463" s="46"/>
      <c r="X463" s="49" t="s">
        <v>132</v>
      </c>
      <c r="Y463" s="50" t="s">
        <v>133</v>
      </c>
      <c r="Z463" s="50" t="s">
        <v>134</v>
      </c>
      <c r="AA463" s="46"/>
      <c r="AB463" s="26"/>
      <c r="AC463" s="51" t="s">
        <v>135</v>
      </c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</row>
    <row r="464">
      <c r="A464" s="35">
        <v>46150.0</v>
      </c>
      <c r="B464" s="36" t="s">
        <v>3340</v>
      </c>
      <c r="C464" s="37" t="s">
        <v>3341</v>
      </c>
      <c r="D464" s="37" t="s">
        <v>3342</v>
      </c>
      <c r="E464" s="54">
        <v>4746863491</v>
      </c>
      <c r="F464" s="39" t="s">
        <v>3275</v>
      </c>
      <c r="G464" s="37" t="str">
        <f>IF(NOT(ISERROR(MATCH(D464,'Tannbleking - Oppsalg US'!D:D, 0))), "Ja", "")</f>
        <v/>
      </c>
      <c r="H464" s="37" t="s">
        <v>50</v>
      </c>
      <c r="I464" s="37" t="s">
        <v>44</v>
      </c>
      <c r="J464" s="40"/>
      <c r="K464" s="41"/>
      <c r="L464" s="42" t="s">
        <v>128</v>
      </c>
      <c r="M464" s="43" t="s">
        <v>1598</v>
      </c>
      <c r="N464" s="44">
        <v>6.940562467537E12</v>
      </c>
      <c r="O464" s="53" t="str">
        <f t="shared" si="1"/>
        <v>08/05/2026</v>
      </c>
      <c r="P464" s="46">
        <f t="shared" si="2"/>
        <v>1778268540</v>
      </c>
      <c r="Q464" s="47"/>
      <c r="R464" s="48"/>
      <c r="S464" s="46"/>
      <c r="T464" s="49" t="s">
        <v>3343</v>
      </c>
      <c r="U464" s="49" t="s">
        <v>3344</v>
      </c>
      <c r="V464" s="49" t="s">
        <v>3345</v>
      </c>
      <c r="W464" s="46"/>
      <c r="X464" s="49" t="s">
        <v>132</v>
      </c>
      <c r="Y464" s="50" t="s">
        <v>133</v>
      </c>
      <c r="Z464" s="50" t="s">
        <v>134</v>
      </c>
      <c r="AA464" s="46"/>
      <c r="AB464" s="26"/>
      <c r="AC464" s="51" t="s">
        <v>135</v>
      </c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</row>
    <row r="465">
      <c r="A465" s="35">
        <v>46151.0</v>
      </c>
      <c r="B465" s="36" t="s">
        <v>1463</v>
      </c>
      <c r="C465" s="37" t="s">
        <v>3346</v>
      </c>
      <c r="D465" s="37" t="s">
        <v>3347</v>
      </c>
      <c r="E465" s="54">
        <v>4790983320</v>
      </c>
      <c r="F465" s="39" t="s">
        <v>3348</v>
      </c>
      <c r="G465" s="37" t="str">
        <f>IF(NOT(ISERROR(MATCH(D465,'Tannbleking - Oppsalg US'!D:D, 0))), "Ja", "")</f>
        <v>Ja</v>
      </c>
      <c r="H465" s="37" t="s">
        <v>50</v>
      </c>
      <c r="I465" s="37" t="s">
        <v>44</v>
      </c>
      <c r="J465" s="40"/>
      <c r="K465" s="41"/>
      <c r="L465" s="42" t="s">
        <v>128</v>
      </c>
      <c r="M465" s="43" t="s">
        <v>3255</v>
      </c>
      <c r="N465" s="44">
        <v>6.940562467337E12</v>
      </c>
      <c r="O465" s="53" t="str">
        <f t="shared" si="1"/>
        <v>09/05/2026</v>
      </c>
      <c r="P465" s="46">
        <f t="shared" si="2"/>
        <v>1778315580</v>
      </c>
      <c r="Q465" s="47"/>
      <c r="R465" s="48"/>
      <c r="S465" s="46"/>
      <c r="T465" s="49" t="s">
        <v>3349</v>
      </c>
      <c r="U465" s="49" t="s">
        <v>3350</v>
      </c>
      <c r="V465" s="49" t="s">
        <v>3351</v>
      </c>
      <c r="W465" s="46"/>
      <c r="X465" s="49" t="s">
        <v>132</v>
      </c>
      <c r="Y465" s="50" t="s">
        <v>133</v>
      </c>
      <c r="Z465" s="50" t="s">
        <v>134</v>
      </c>
      <c r="AA465" s="46"/>
      <c r="AB465" s="26"/>
      <c r="AC465" s="51" t="s">
        <v>144</v>
      </c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</row>
    <row r="466">
      <c r="A466" s="35">
        <v>46151.0</v>
      </c>
      <c r="B466" s="36" t="s">
        <v>3352</v>
      </c>
      <c r="C466" s="37" t="s">
        <v>3353</v>
      </c>
      <c r="D466" s="37" t="s">
        <v>3354</v>
      </c>
      <c r="E466" s="54">
        <v>4741384499</v>
      </c>
      <c r="F466" s="39" t="s">
        <v>3355</v>
      </c>
      <c r="G466" s="37" t="str">
        <f>IF(NOT(ISERROR(MATCH(D466,'Tannbleking - Oppsalg US'!D:D, 0))), "Ja", "")</f>
        <v/>
      </c>
      <c r="H466" s="37" t="s">
        <v>50</v>
      </c>
      <c r="I466" s="37" t="s">
        <v>107</v>
      </c>
      <c r="J466" s="40"/>
      <c r="K466" s="41"/>
      <c r="L466" s="42" t="s">
        <v>128</v>
      </c>
      <c r="M466" s="43" t="s">
        <v>1836</v>
      </c>
      <c r="N466" s="44">
        <v>6.940562466137E12</v>
      </c>
      <c r="O466" s="53" t="str">
        <f t="shared" si="1"/>
        <v>09/05/2026</v>
      </c>
      <c r="P466" s="46">
        <f t="shared" si="2"/>
        <v>1778316540</v>
      </c>
      <c r="Q466" s="47"/>
      <c r="R466" s="48"/>
      <c r="S466" s="46"/>
      <c r="T466" s="49" t="s">
        <v>3356</v>
      </c>
      <c r="U466" s="49" t="s">
        <v>3357</v>
      </c>
      <c r="V466" s="49" t="s">
        <v>3358</v>
      </c>
      <c r="W466" s="46"/>
      <c r="X466" s="49" t="s">
        <v>132</v>
      </c>
      <c r="Y466" s="50" t="s">
        <v>133</v>
      </c>
      <c r="Z466" s="50" t="s">
        <v>134</v>
      </c>
      <c r="AA466" s="46"/>
      <c r="AB466" s="26"/>
      <c r="AC466" s="51" t="s">
        <v>135</v>
      </c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</row>
    <row r="467">
      <c r="A467" s="35">
        <v>46151.0</v>
      </c>
      <c r="B467" s="36" t="s">
        <v>2452</v>
      </c>
      <c r="C467" s="37" t="s">
        <v>3359</v>
      </c>
      <c r="D467" s="37" t="s">
        <v>3360</v>
      </c>
      <c r="E467" s="54">
        <v>4798016379</v>
      </c>
      <c r="F467" s="39" t="s">
        <v>3361</v>
      </c>
      <c r="G467" s="37" t="str">
        <f>IF(NOT(ISERROR(MATCH(D467,'Tannbleking - Oppsalg US'!D:D, 0))), "Ja", "")</f>
        <v/>
      </c>
      <c r="H467" s="37" t="s">
        <v>50</v>
      </c>
      <c r="I467" s="37" t="s">
        <v>107</v>
      </c>
      <c r="J467" s="40"/>
      <c r="K467" s="41"/>
      <c r="L467" s="42" t="s">
        <v>128</v>
      </c>
      <c r="M467" s="43" t="s">
        <v>1836</v>
      </c>
      <c r="N467" s="44">
        <v>6.940562466137E12</v>
      </c>
      <c r="O467" s="53" t="str">
        <f t="shared" si="1"/>
        <v>09/05/2026</v>
      </c>
      <c r="P467" s="46">
        <f t="shared" si="2"/>
        <v>1778316600</v>
      </c>
      <c r="Q467" s="47"/>
      <c r="R467" s="48"/>
      <c r="S467" s="46"/>
      <c r="T467" s="49" t="s">
        <v>3362</v>
      </c>
      <c r="U467" s="49" t="s">
        <v>3363</v>
      </c>
      <c r="V467" s="49" t="s">
        <v>3364</v>
      </c>
      <c r="W467" s="46"/>
      <c r="X467" s="49" t="s">
        <v>132</v>
      </c>
      <c r="Y467" s="50" t="s">
        <v>133</v>
      </c>
      <c r="Z467" s="50" t="s">
        <v>134</v>
      </c>
      <c r="AA467" s="46"/>
      <c r="AB467" s="26"/>
      <c r="AC467" s="51" t="s">
        <v>144</v>
      </c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</row>
    <row r="468">
      <c r="A468" s="35">
        <v>46151.0</v>
      </c>
      <c r="B468" s="36" t="s">
        <v>3365</v>
      </c>
      <c r="C468" s="37" t="s">
        <v>3366</v>
      </c>
      <c r="D468" s="37" t="s">
        <v>3367</v>
      </c>
      <c r="E468" s="54">
        <v>4795111855</v>
      </c>
      <c r="F468" s="39" t="s">
        <v>3368</v>
      </c>
      <c r="G468" s="37" t="str">
        <f>IF(NOT(ISERROR(MATCH(D468,'Tannbleking - Oppsalg US'!D:D, 0))), "Ja", "")</f>
        <v/>
      </c>
      <c r="H468" s="37" t="s">
        <v>90</v>
      </c>
      <c r="I468" s="37" t="s">
        <v>72</v>
      </c>
      <c r="J468" s="40"/>
      <c r="K468" s="41"/>
      <c r="L468" s="42"/>
      <c r="M468" s="43"/>
      <c r="N468" s="44"/>
      <c r="O468" s="53" t="str">
        <f t="shared" si="1"/>
        <v>09/05/2026</v>
      </c>
      <c r="P468" s="46">
        <f t="shared" si="2"/>
        <v>1778331840</v>
      </c>
      <c r="Q468" s="47"/>
      <c r="R468" s="48"/>
      <c r="S468" s="46"/>
      <c r="T468" s="49" t="s">
        <v>3369</v>
      </c>
      <c r="U468" s="49" t="s">
        <v>3370</v>
      </c>
      <c r="V468" s="49" t="s">
        <v>3371</v>
      </c>
      <c r="W468" s="46"/>
      <c r="X468" s="49" t="s">
        <v>132</v>
      </c>
      <c r="Y468" s="50" t="s">
        <v>133</v>
      </c>
      <c r="Z468" s="50" t="s">
        <v>134</v>
      </c>
      <c r="AA468" s="46"/>
      <c r="AB468" s="26"/>
      <c r="AC468" s="51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</row>
    <row r="469">
      <c r="A469" s="35">
        <v>46152.0</v>
      </c>
      <c r="B469" s="36" t="s">
        <v>2338</v>
      </c>
      <c r="C469" s="37" t="s">
        <v>3372</v>
      </c>
      <c r="D469" s="37" t="s">
        <v>3373</v>
      </c>
      <c r="E469" s="54">
        <v>4794244460</v>
      </c>
      <c r="F469" s="39" t="s">
        <v>3374</v>
      </c>
      <c r="G469" s="37" t="str">
        <f>IF(NOT(ISERROR(MATCH(D469,'Tannbleking - Oppsalg US'!D:D, 0))), "Ja", "")</f>
        <v/>
      </c>
      <c r="H469" s="37" t="s">
        <v>50</v>
      </c>
      <c r="I469" s="37" t="s">
        <v>44</v>
      </c>
      <c r="J469" s="40"/>
      <c r="K469" s="41"/>
      <c r="L469" s="42" t="s">
        <v>128</v>
      </c>
      <c r="M469" s="43" t="s">
        <v>1598</v>
      </c>
      <c r="N469" s="44">
        <v>6.940562467537E12</v>
      </c>
      <c r="O469" s="53" t="str">
        <f t="shared" si="1"/>
        <v>10/05/2026</v>
      </c>
      <c r="P469" s="46">
        <f t="shared" si="2"/>
        <v>1778408100</v>
      </c>
      <c r="Q469" s="47"/>
      <c r="R469" s="48"/>
      <c r="S469" s="46"/>
      <c r="T469" s="49" t="s">
        <v>3375</v>
      </c>
      <c r="U469" s="49" t="s">
        <v>3376</v>
      </c>
      <c r="V469" s="49" t="s">
        <v>3377</v>
      </c>
      <c r="W469" s="46"/>
      <c r="X469" s="49" t="s">
        <v>132</v>
      </c>
      <c r="Y469" s="50" t="s">
        <v>133</v>
      </c>
      <c r="Z469" s="50" t="s">
        <v>134</v>
      </c>
      <c r="AA469" s="46"/>
      <c r="AB469" s="26"/>
      <c r="AC469" s="51" t="s">
        <v>1126</v>
      </c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</row>
    <row r="470">
      <c r="A470" s="35">
        <v>46153.0</v>
      </c>
      <c r="B470" s="36" t="s">
        <v>217</v>
      </c>
      <c r="C470" s="37" t="s">
        <v>3378</v>
      </c>
      <c r="D470" s="37" t="s">
        <v>2762</v>
      </c>
      <c r="E470" s="54">
        <v>4790012233</v>
      </c>
      <c r="F470" s="39" t="s">
        <v>3379</v>
      </c>
      <c r="G470" s="37" t="str">
        <f>IF(NOT(ISERROR(MATCH(D470,'Tannbleking - Oppsalg US'!D:D, 0))), "Ja", "")</f>
        <v/>
      </c>
      <c r="H470" s="37" t="s">
        <v>50</v>
      </c>
      <c r="I470" s="37" t="s">
        <v>44</v>
      </c>
      <c r="J470" s="40"/>
      <c r="K470" s="41"/>
      <c r="L470" s="42" t="s">
        <v>128</v>
      </c>
      <c r="M470" s="43" t="s">
        <v>3380</v>
      </c>
      <c r="N470" s="44">
        <v>6.940562466937E12</v>
      </c>
      <c r="O470" s="53" t="str">
        <f t="shared" si="1"/>
        <v>11/05/2026</v>
      </c>
      <c r="P470" s="46">
        <f t="shared" si="2"/>
        <v>1778481840</v>
      </c>
      <c r="Q470" s="47"/>
      <c r="R470" s="48"/>
      <c r="S470" s="46"/>
      <c r="T470" s="49" t="s">
        <v>3381</v>
      </c>
      <c r="U470" s="49" t="s">
        <v>2766</v>
      </c>
      <c r="V470" s="49" t="s">
        <v>3382</v>
      </c>
      <c r="W470" s="46"/>
      <c r="X470" s="49" t="s">
        <v>132</v>
      </c>
      <c r="Y470" s="50" t="s">
        <v>133</v>
      </c>
      <c r="Z470" s="50" t="s">
        <v>134</v>
      </c>
      <c r="AA470" s="46"/>
      <c r="AB470" s="26"/>
      <c r="AC470" s="51" t="s">
        <v>423</v>
      </c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</row>
    <row r="471">
      <c r="A471" s="35">
        <v>46153.0</v>
      </c>
      <c r="B471" s="36" t="s">
        <v>1030</v>
      </c>
      <c r="C471" s="37" t="s">
        <v>3383</v>
      </c>
      <c r="D471" s="37" t="s">
        <v>3384</v>
      </c>
      <c r="E471" s="54">
        <v>4793834960</v>
      </c>
      <c r="F471" s="39" t="s">
        <v>3385</v>
      </c>
      <c r="G471" s="37" t="str">
        <f>IF(NOT(ISERROR(MATCH(D471,'Tannbleking - Oppsalg US'!D:D, 0))), "Ja", "")</f>
        <v/>
      </c>
      <c r="H471" s="37" t="s">
        <v>50</v>
      </c>
      <c r="I471" s="37" t="s">
        <v>44</v>
      </c>
      <c r="J471" s="40"/>
      <c r="K471" s="41"/>
      <c r="L471" s="42" t="s">
        <v>128</v>
      </c>
      <c r="M471" s="43" t="s">
        <v>1598</v>
      </c>
      <c r="N471" s="44">
        <v>6.940562467537E12</v>
      </c>
      <c r="O471" s="53" t="str">
        <f t="shared" si="1"/>
        <v>11/05/2026</v>
      </c>
      <c r="P471" s="46">
        <f t="shared" si="2"/>
        <v>1778485500</v>
      </c>
      <c r="Q471" s="47"/>
      <c r="R471" s="48"/>
      <c r="S471" s="46"/>
      <c r="T471" s="49" t="s">
        <v>3386</v>
      </c>
      <c r="U471" s="49" t="s">
        <v>3387</v>
      </c>
      <c r="V471" s="49" t="s">
        <v>3388</v>
      </c>
      <c r="W471" s="46"/>
      <c r="X471" s="49" t="s">
        <v>132</v>
      </c>
      <c r="Y471" s="50" t="s">
        <v>133</v>
      </c>
      <c r="Z471" s="50" t="s">
        <v>134</v>
      </c>
      <c r="AA471" s="46"/>
      <c r="AB471" s="26"/>
      <c r="AC471" s="51" t="s">
        <v>135</v>
      </c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</row>
    <row r="472">
      <c r="A472" s="35">
        <v>46154.0</v>
      </c>
      <c r="B472" s="36" t="s">
        <v>2466</v>
      </c>
      <c r="C472" s="37" t="s">
        <v>3389</v>
      </c>
      <c r="D472" s="37" t="s">
        <v>3390</v>
      </c>
      <c r="E472" s="54">
        <v>4740171380</v>
      </c>
      <c r="F472" s="39" t="s">
        <v>3391</v>
      </c>
      <c r="G472" s="37" t="str">
        <f>IF(NOT(ISERROR(MATCH(D472,'Tannbleking - Oppsalg US'!D:D, 0))), "Ja", "")</f>
        <v/>
      </c>
      <c r="H472" s="37" t="s">
        <v>43</v>
      </c>
      <c r="I472" s="37" t="s">
        <v>140</v>
      </c>
      <c r="J472" s="40" t="s">
        <v>3392</v>
      </c>
      <c r="K472" s="41"/>
      <c r="L472" s="42" t="s">
        <v>128</v>
      </c>
      <c r="M472" s="43" t="s">
        <v>1621</v>
      </c>
      <c r="N472" s="44">
        <v>6.940562465537E12</v>
      </c>
      <c r="O472" s="53" t="str">
        <f t="shared" si="1"/>
        <v>12/05/2026</v>
      </c>
      <c r="P472" s="46">
        <f t="shared" si="2"/>
        <v>1778571960</v>
      </c>
      <c r="Q472" s="47"/>
      <c r="R472" s="48"/>
      <c r="S472" s="46"/>
      <c r="T472" s="49" t="s">
        <v>3393</v>
      </c>
      <c r="U472" s="49" t="s">
        <v>3394</v>
      </c>
      <c r="V472" s="49" t="s">
        <v>3395</v>
      </c>
      <c r="W472" s="46"/>
      <c r="X472" s="49" t="s">
        <v>132</v>
      </c>
      <c r="Y472" s="50" t="s">
        <v>133</v>
      </c>
      <c r="Z472" s="50" t="s">
        <v>134</v>
      </c>
      <c r="AA472" s="46"/>
      <c r="AB472" s="26"/>
      <c r="AC472" s="51" t="s">
        <v>135</v>
      </c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</row>
    <row r="473">
      <c r="A473" s="35">
        <v>46154.0</v>
      </c>
      <c r="B473" s="36" t="s">
        <v>3396</v>
      </c>
      <c r="C473" s="37" t="s">
        <v>3397</v>
      </c>
      <c r="D473" s="37" t="s">
        <v>3398</v>
      </c>
      <c r="E473" s="54">
        <v>4797516989</v>
      </c>
      <c r="F473" s="39" t="s">
        <v>3399</v>
      </c>
      <c r="G473" s="37" t="str">
        <f>IF(NOT(ISERROR(MATCH(D473,'Tannbleking - Oppsalg US'!D:D, 0))), "Ja", "")</f>
        <v/>
      </c>
      <c r="H473" s="37" t="s">
        <v>50</v>
      </c>
      <c r="I473" s="37" t="s">
        <v>44</v>
      </c>
      <c r="J473" s="40"/>
      <c r="K473" s="41"/>
      <c r="L473" s="42" t="s">
        <v>128</v>
      </c>
      <c r="M473" s="43" t="s">
        <v>3255</v>
      </c>
      <c r="N473" s="44">
        <v>6.940562467337E12</v>
      </c>
      <c r="O473" s="53" t="str">
        <f t="shared" si="1"/>
        <v>12/05/2026</v>
      </c>
      <c r="P473" s="46">
        <f t="shared" si="2"/>
        <v>1778576580</v>
      </c>
      <c r="Q473" s="47"/>
      <c r="R473" s="48"/>
      <c r="S473" s="46"/>
      <c r="T473" s="49" t="s">
        <v>3400</v>
      </c>
      <c r="U473" s="49" t="s">
        <v>3401</v>
      </c>
      <c r="V473" s="49" t="s">
        <v>3402</v>
      </c>
      <c r="W473" s="46"/>
      <c r="X473" s="49" t="s">
        <v>132</v>
      </c>
      <c r="Y473" s="50" t="s">
        <v>133</v>
      </c>
      <c r="Z473" s="50" t="s">
        <v>134</v>
      </c>
      <c r="AA473" s="46"/>
      <c r="AB473" s="26"/>
      <c r="AC473" s="51" t="s">
        <v>423</v>
      </c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</row>
    <row r="474">
      <c r="A474" s="35">
        <v>46155.0</v>
      </c>
      <c r="B474" s="36" t="s">
        <v>2930</v>
      </c>
      <c r="C474" s="37" t="s">
        <v>3403</v>
      </c>
      <c r="D474" s="37" t="s">
        <v>3404</v>
      </c>
      <c r="E474" s="54">
        <v>4793001916</v>
      </c>
      <c r="F474" s="39" t="s">
        <v>3405</v>
      </c>
      <c r="G474" s="37" t="str">
        <f>IF(NOT(ISERROR(MATCH(D474,'Tannbleking - Oppsalg US'!D:D, 0))), "Ja", "")</f>
        <v/>
      </c>
      <c r="H474" s="37" t="s">
        <v>50</v>
      </c>
      <c r="I474" s="37" t="s">
        <v>44</v>
      </c>
      <c r="J474" s="40"/>
      <c r="K474" s="41"/>
      <c r="L474" s="42" t="s">
        <v>128</v>
      </c>
      <c r="M474" s="43" t="s">
        <v>1708</v>
      </c>
      <c r="N474" s="44">
        <v>6.940562465137E12</v>
      </c>
      <c r="O474" s="53" t="str">
        <f t="shared" si="1"/>
        <v>13/05/2026</v>
      </c>
      <c r="P474" s="46">
        <f t="shared" si="2"/>
        <v>1778659680</v>
      </c>
      <c r="Q474" s="47"/>
      <c r="R474" s="48"/>
      <c r="S474" s="46"/>
      <c r="T474" s="49" t="s">
        <v>3406</v>
      </c>
      <c r="U474" s="49" t="s">
        <v>3407</v>
      </c>
      <c r="V474" s="49" t="s">
        <v>3408</v>
      </c>
      <c r="W474" s="46"/>
      <c r="X474" s="49" t="s">
        <v>132</v>
      </c>
      <c r="Y474" s="50" t="s">
        <v>133</v>
      </c>
      <c r="Z474" s="50" t="s">
        <v>134</v>
      </c>
      <c r="AA474" s="46"/>
      <c r="AB474" s="26"/>
      <c r="AC474" s="51" t="s">
        <v>135</v>
      </c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</row>
    <row r="475">
      <c r="A475" s="35">
        <v>46155.0</v>
      </c>
      <c r="B475" s="36" t="s">
        <v>3409</v>
      </c>
      <c r="C475" s="37" t="s">
        <v>3410</v>
      </c>
      <c r="D475" s="37" t="s">
        <v>3411</v>
      </c>
      <c r="E475" s="54">
        <v>4791786373</v>
      </c>
      <c r="F475" s="39" t="s">
        <v>3412</v>
      </c>
      <c r="G475" s="37" t="str">
        <f>IF(NOT(ISERROR(MATCH(D475,'Tannbleking - Oppsalg US'!D:D, 0))), "Ja", "")</f>
        <v/>
      </c>
      <c r="H475" s="37" t="s">
        <v>50</v>
      </c>
      <c r="I475" s="37" t="s">
        <v>44</v>
      </c>
      <c r="J475" s="40"/>
      <c r="K475" s="41"/>
      <c r="L475" s="42" t="s">
        <v>128</v>
      </c>
      <c r="M475" s="43" t="s">
        <v>3255</v>
      </c>
      <c r="N475" s="44">
        <v>6.940562467337E12</v>
      </c>
      <c r="O475" s="53" t="str">
        <f t="shared" si="1"/>
        <v>13/05/2026</v>
      </c>
      <c r="P475" s="46">
        <f t="shared" si="2"/>
        <v>1778669280</v>
      </c>
      <c r="Q475" s="47"/>
      <c r="R475" s="48"/>
      <c r="S475" s="46"/>
      <c r="T475" s="49" t="s">
        <v>3413</v>
      </c>
      <c r="U475" s="49" t="s">
        <v>3414</v>
      </c>
      <c r="V475" s="49" t="s">
        <v>3415</v>
      </c>
      <c r="W475" s="46"/>
      <c r="X475" s="49" t="s">
        <v>132</v>
      </c>
      <c r="Y475" s="50" t="s">
        <v>133</v>
      </c>
      <c r="Z475" s="50" t="s">
        <v>134</v>
      </c>
      <c r="AA475" s="46"/>
      <c r="AB475" s="26"/>
      <c r="AC475" s="51" t="s">
        <v>423</v>
      </c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</row>
    <row r="476">
      <c r="A476" s="35">
        <v>46156.0</v>
      </c>
      <c r="B476" s="36" t="s">
        <v>3416</v>
      </c>
      <c r="C476" s="37" t="s">
        <v>3417</v>
      </c>
      <c r="D476" s="37" t="s">
        <v>3418</v>
      </c>
      <c r="E476" s="54">
        <v>4794841291</v>
      </c>
      <c r="F476" s="39" t="s">
        <v>3419</v>
      </c>
      <c r="G476" s="37" t="str">
        <f>IF(NOT(ISERROR(MATCH(D476,'Tannbleking - Oppsalg US'!D:D, 0))), "Ja", "")</f>
        <v/>
      </c>
      <c r="H476" s="37" t="s">
        <v>50</v>
      </c>
      <c r="I476" s="37" t="s">
        <v>44</v>
      </c>
      <c r="J476" s="40"/>
      <c r="K476" s="41"/>
      <c r="L476" s="42" t="s">
        <v>128</v>
      </c>
      <c r="M476" s="43" t="s">
        <v>1598</v>
      </c>
      <c r="N476" s="44">
        <v>6.940562467537E12</v>
      </c>
      <c r="O476" s="53" t="str">
        <f t="shared" si="1"/>
        <v>14/05/2026</v>
      </c>
      <c r="P476" s="46">
        <f t="shared" si="2"/>
        <v>1778718060</v>
      </c>
      <c r="Q476" s="47"/>
      <c r="R476" s="48"/>
      <c r="S476" s="46"/>
      <c r="T476" s="49" t="s">
        <v>3420</v>
      </c>
      <c r="U476" s="49" t="s">
        <v>3421</v>
      </c>
      <c r="V476" s="49" t="s">
        <v>3422</v>
      </c>
      <c r="W476" s="46"/>
      <c r="X476" s="49" t="s">
        <v>132</v>
      </c>
      <c r="Y476" s="50" t="s">
        <v>133</v>
      </c>
      <c r="Z476" s="50" t="s">
        <v>134</v>
      </c>
      <c r="AA476" s="46"/>
      <c r="AB476" s="26"/>
      <c r="AC476" s="51" t="s">
        <v>135</v>
      </c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</row>
    <row r="477">
      <c r="A477" s="35">
        <v>46156.0</v>
      </c>
      <c r="B477" s="36" t="s">
        <v>3423</v>
      </c>
      <c r="C477" s="37" t="s">
        <v>3424</v>
      </c>
      <c r="D477" s="37" t="s">
        <v>3425</v>
      </c>
      <c r="E477" s="54">
        <v>4794038958</v>
      </c>
      <c r="F477" s="39" t="s">
        <v>716</v>
      </c>
      <c r="G477" s="37" t="str">
        <f>IF(NOT(ISERROR(MATCH(D477,'Tannbleking - Oppsalg US'!D:D, 0))), "Ja", "")</f>
        <v/>
      </c>
      <c r="H477" s="37" t="s">
        <v>50</v>
      </c>
      <c r="I477" s="37" t="s">
        <v>107</v>
      </c>
      <c r="J477" s="40"/>
      <c r="K477" s="41"/>
      <c r="L477" s="42" t="s">
        <v>128</v>
      </c>
      <c r="M477" s="43" t="s">
        <v>1598</v>
      </c>
      <c r="N477" s="44">
        <v>6.940562467537E12</v>
      </c>
      <c r="O477" s="53" t="str">
        <f t="shared" si="1"/>
        <v>14/05/2026</v>
      </c>
      <c r="P477" s="46">
        <f t="shared" si="2"/>
        <v>1778718360</v>
      </c>
      <c r="Q477" s="47"/>
      <c r="R477" s="48"/>
      <c r="S477" s="46"/>
      <c r="T477" s="49" t="s">
        <v>3426</v>
      </c>
      <c r="U477" s="49" t="s">
        <v>3427</v>
      </c>
      <c r="V477" s="49" t="s">
        <v>3428</v>
      </c>
      <c r="W477" s="46"/>
      <c r="X477" s="49" t="s">
        <v>132</v>
      </c>
      <c r="Y477" s="50" t="s">
        <v>133</v>
      </c>
      <c r="Z477" s="50" t="s">
        <v>134</v>
      </c>
      <c r="AA477" s="46"/>
      <c r="AB477" s="26"/>
      <c r="AC477" s="51" t="s">
        <v>135</v>
      </c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</row>
    <row r="478">
      <c r="A478" s="35">
        <v>46157.0</v>
      </c>
      <c r="B478" s="36" t="s">
        <v>295</v>
      </c>
      <c r="C478" s="37" t="s">
        <v>3429</v>
      </c>
      <c r="D478" s="37" t="s">
        <v>3430</v>
      </c>
      <c r="E478" s="54">
        <v>4791640303</v>
      </c>
      <c r="F478" s="39" t="s">
        <v>3431</v>
      </c>
      <c r="G478" s="37" t="str">
        <f>IF(NOT(ISERROR(MATCH(D478,'Tannbleking - Oppsalg US'!D:D, 0))), "Ja", "")</f>
        <v/>
      </c>
      <c r="H478" s="37" t="s">
        <v>50</v>
      </c>
      <c r="I478" s="37" t="s">
        <v>44</v>
      </c>
      <c r="J478" s="40"/>
      <c r="K478" s="41"/>
      <c r="L478" s="42" t="s">
        <v>128</v>
      </c>
      <c r="M478" s="43" t="s">
        <v>3255</v>
      </c>
      <c r="N478" s="44">
        <v>6.940562467337E12</v>
      </c>
      <c r="O478" s="53" t="str">
        <f t="shared" si="1"/>
        <v>15/05/2026</v>
      </c>
      <c r="P478" s="46">
        <f t="shared" si="2"/>
        <v>1778845560</v>
      </c>
      <c r="Q478" s="47"/>
      <c r="R478" s="48"/>
      <c r="S478" s="46"/>
      <c r="T478" s="49" t="s">
        <v>3432</v>
      </c>
      <c r="U478" s="49" t="s">
        <v>3433</v>
      </c>
      <c r="V478" s="49" t="s">
        <v>3434</v>
      </c>
      <c r="W478" s="46"/>
      <c r="X478" s="49" t="s">
        <v>132</v>
      </c>
      <c r="Y478" s="50" t="s">
        <v>133</v>
      </c>
      <c r="Z478" s="50" t="s">
        <v>134</v>
      </c>
      <c r="AA478" s="46"/>
      <c r="AB478" s="26"/>
      <c r="AC478" s="51" t="s">
        <v>423</v>
      </c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</row>
    <row r="479">
      <c r="A479" s="35">
        <v>46157.0</v>
      </c>
      <c r="B479" s="36" t="s">
        <v>929</v>
      </c>
      <c r="C479" s="37" t="s">
        <v>3435</v>
      </c>
      <c r="D479" s="37" t="s">
        <v>3436</v>
      </c>
      <c r="E479" s="54">
        <v>4790174394</v>
      </c>
      <c r="F479" s="39" t="s">
        <v>3437</v>
      </c>
      <c r="G479" s="37" t="str">
        <f>IF(NOT(ISERROR(MATCH(D479,'Tannbleking - Oppsalg US'!D:D, 0))), "Ja", "")</f>
        <v/>
      </c>
      <c r="H479" s="37" t="s">
        <v>50</v>
      </c>
      <c r="I479" s="37" t="s">
        <v>140</v>
      </c>
      <c r="J479" s="40" t="s">
        <v>3438</v>
      </c>
      <c r="K479" s="41"/>
      <c r="L479" s="42" t="s">
        <v>128</v>
      </c>
      <c r="M479" s="43" t="s">
        <v>3255</v>
      </c>
      <c r="N479" s="44">
        <v>6.940562467337E12</v>
      </c>
      <c r="O479" s="53" t="str">
        <f t="shared" si="1"/>
        <v>15/05/2026</v>
      </c>
      <c r="P479" s="46">
        <f t="shared" si="2"/>
        <v>1778887740</v>
      </c>
      <c r="Q479" s="47"/>
      <c r="R479" s="48"/>
      <c r="S479" s="46"/>
      <c r="T479" s="49" t="s">
        <v>3439</v>
      </c>
      <c r="U479" s="49" t="s">
        <v>3440</v>
      </c>
      <c r="V479" s="49" t="s">
        <v>3441</v>
      </c>
      <c r="W479" s="46"/>
      <c r="X479" s="49" t="s">
        <v>132</v>
      </c>
      <c r="Y479" s="50" t="s">
        <v>133</v>
      </c>
      <c r="Z479" s="50" t="s">
        <v>134</v>
      </c>
      <c r="AA479" s="46"/>
      <c r="AB479" s="26"/>
      <c r="AC479" s="51" t="s">
        <v>135</v>
      </c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</row>
    <row r="480">
      <c r="A480" s="35">
        <v>46158.0</v>
      </c>
      <c r="B480" s="36" t="s">
        <v>3442</v>
      </c>
      <c r="C480" s="37" t="s">
        <v>3443</v>
      </c>
      <c r="D480" s="37" t="s">
        <v>3444</v>
      </c>
      <c r="E480" s="54">
        <v>4748650669</v>
      </c>
      <c r="F480" s="39" t="s">
        <v>3445</v>
      </c>
      <c r="G480" s="37" t="str">
        <f>IF(NOT(ISERROR(MATCH(D480,'Tannbleking - Oppsalg US'!D:D, 0))), "Ja", "")</f>
        <v/>
      </c>
      <c r="H480" s="37" t="s">
        <v>50</v>
      </c>
      <c r="I480" s="37" t="s">
        <v>44</v>
      </c>
      <c r="J480" s="40"/>
      <c r="K480" s="41"/>
      <c r="L480" s="42" t="s">
        <v>128</v>
      </c>
      <c r="M480" s="43" t="s">
        <v>3255</v>
      </c>
      <c r="N480" s="44">
        <v>6.940562467337E12</v>
      </c>
      <c r="O480" s="53" t="str">
        <f t="shared" si="1"/>
        <v>16/05/2026</v>
      </c>
      <c r="P480" s="46">
        <f t="shared" si="2"/>
        <v>1778926260</v>
      </c>
      <c r="Q480" s="47"/>
      <c r="R480" s="48"/>
      <c r="S480" s="46"/>
      <c r="T480" s="49" t="s">
        <v>3446</v>
      </c>
      <c r="U480" s="49" t="s">
        <v>3447</v>
      </c>
      <c r="V480" s="49" t="s">
        <v>3448</v>
      </c>
      <c r="W480" s="46"/>
      <c r="X480" s="49" t="s">
        <v>132</v>
      </c>
      <c r="Y480" s="50" t="s">
        <v>133</v>
      </c>
      <c r="Z480" s="50" t="s">
        <v>134</v>
      </c>
      <c r="AA480" s="46"/>
      <c r="AB480" s="26"/>
      <c r="AC480" s="51" t="s">
        <v>144</v>
      </c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</row>
    <row r="481">
      <c r="A481" s="35">
        <v>46158.0</v>
      </c>
      <c r="B481" s="36" t="s">
        <v>3449</v>
      </c>
      <c r="C481" s="37" t="s">
        <v>3450</v>
      </c>
      <c r="D481" s="37" t="s">
        <v>3451</v>
      </c>
      <c r="E481" s="54">
        <v>4748626552</v>
      </c>
      <c r="F481" s="39" t="s">
        <v>3452</v>
      </c>
      <c r="G481" s="37" t="str">
        <f>IF(NOT(ISERROR(MATCH(D481,'Tannbleking - Oppsalg US'!D:D, 0))), "Ja", "")</f>
        <v/>
      </c>
      <c r="H481" s="37" t="s">
        <v>50</v>
      </c>
      <c r="I481" s="37" t="s">
        <v>107</v>
      </c>
      <c r="J481" s="40"/>
      <c r="K481" s="41"/>
      <c r="L481" s="42" t="s">
        <v>128</v>
      </c>
      <c r="M481" s="43" t="s">
        <v>1954</v>
      </c>
      <c r="N481" s="44">
        <v>6.940562465937E12</v>
      </c>
      <c r="O481" s="53" t="str">
        <f t="shared" si="1"/>
        <v>16/05/2026</v>
      </c>
      <c r="P481" s="46">
        <f t="shared" si="2"/>
        <v>1778940840</v>
      </c>
      <c r="Q481" s="47"/>
      <c r="R481" s="48"/>
      <c r="S481" s="46"/>
      <c r="T481" s="49" t="s">
        <v>3453</v>
      </c>
      <c r="U481" s="49" t="s">
        <v>3454</v>
      </c>
      <c r="V481" s="49" t="s">
        <v>3455</v>
      </c>
      <c r="W481" s="46"/>
      <c r="X481" s="49" t="s">
        <v>132</v>
      </c>
      <c r="Y481" s="50" t="s">
        <v>133</v>
      </c>
      <c r="Z481" s="50" t="s">
        <v>134</v>
      </c>
      <c r="AA481" s="46"/>
      <c r="AB481" s="26"/>
      <c r="AC481" s="51" t="s">
        <v>135</v>
      </c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</row>
    <row r="482">
      <c r="A482" s="35">
        <v>46159.0</v>
      </c>
      <c r="B482" s="36" t="s">
        <v>629</v>
      </c>
      <c r="C482" s="37" t="s">
        <v>3456</v>
      </c>
      <c r="D482" s="37" t="s">
        <v>3457</v>
      </c>
      <c r="E482" s="54">
        <v>4796724615</v>
      </c>
      <c r="F482" s="39" t="s">
        <v>3458</v>
      </c>
      <c r="G482" s="37" t="str">
        <f>IF(NOT(ISERROR(MATCH(D482,'Tannbleking - Oppsalg US'!D:D, 0))), "Ja", "")</f>
        <v/>
      </c>
      <c r="H482" s="37" t="s">
        <v>43</v>
      </c>
      <c r="I482" s="37" t="s">
        <v>322</v>
      </c>
      <c r="J482" s="40" t="s">
        <v>3459</v>
      </c>
      <c r="K482" s="41"/>
      <c r="L482" s="42" t="s">
        <v>128</v>
      </c>
      <c r="M482" s="43" t="s">
        <v>1852</v>
      </c>
      <c r="N482" s="44">
        <v>6.940562465737E12</v>
      </c>
      <c r="O482" s="53" t="str">
        <f t="shared" si="1"/>
        <v>17/05/2026</v>
      </c>
      <c r="P482" s="46">
        <f t="shared" si="2"/>
        <v>1778978880</v>
      </c>
      <c r="Q482" s="47"/>
      <c r="R482" s="48"/>
      <c r="S482" s="46"/>
      <c r="T482" s="49" t="s">
        <v>3460</v>
      </c>
      <c r="U482" s="49" t="s">
        <v>3461</v>
      </c>
      <c r="V482" s="49" t="s">
        <v>3462</v>
      </c>
      <c r="W482" s="46"/>
      <c r="X482" s="49" t="s">
        <v>132</v>
      </c>
      <c r="Y482" s="50" t="s">
        <v>133</v>
      </c>
      <c r="Z482" s="50" t="s">
        <v>134</v>
      </c>
      <c r="AA482" s="46"/>
      <c r="AB482" s="26"/>
      <c r="AC482" s="51" t="s">
        <v>135</v>
      </c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</row>
    <row r="483">
      <c r="A483" s="35">
        <v>46159.0</v>
      </c>
      <c r="B483" s="36" t="s">
        <v>3463</v>
      </c>
      <c r="C483" s="37" t="s">
        <v>3464</v>
      </c>
      <c r="D483" s="37" t="s">
        <v>3465</v>
      </c>
      <c r="E483" s="54">
        <v>4745960078</v>
      </c>
      <c r="F483" s="39" t="s">
        <v>3466</v>
      </c>
      <c r="G483" s="37" t="str">
        <f>IF(NOT(ISERROR(MATCH(D483,'Tannbleking - Oppsalg US'!D:D, 0))), "Ja", "")</f>
        <v/>
      </c>
      <c r="H483" s="37" t="s">
        <v>50</v>
      </c>
      <c r="I483" s="37" t="s">
        <v>72</v>
      </c>
      <c r="J483" s="40"/>
      <c r="K483" s="41"/>
      <c r="L483" s="42" t="s">
        <v>128</v>
      </c>
      <c r="M483" s="43" t="s">
        <v>3255</v>
      </c>
      <c r="N483" s="44">
        <v>6.940562467337E12</v>
      </c>
      <c r="O483" s="53" t="str">
        <f t="shared" si="1"/>
        <v>17/05/2026</v>
      </c>
      <c r="P483" s="46">
        <f t="shared" si="2"/>
        <v>1779002100</v>
      </c>
      <c r="Q483" s="47"/>
      <c r="R483" s="48"/>
      <c r="S483" s="46"/>
      <c r="T483" s="49" t="s">
        <v>3467</v>
      </c>
      <c r="U483" s="49" t="s">
        <v>3468</v>
      </c>
      <c r="V483" s="49" t="s">
        <v>3469</v>
      </c>
      <c r="W483" s="46"/>
      <c r="X483" s="49" t="s">
        <v>132</v>
      </c>
      <c r="Y483" s="50" t="s">
        <v>133</v>
      </c>
      <c r="Z483" s="50" t="s">
        <v>134</v>
      </c>
      <c r="AA483" s="46"/>
      <c r="AB483" s="26"/>
      <c r="AC483" s="51" t="s">
        <v>280</v>
      </c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</row>
    <row r="484">
      <c r="A484" s="35">
        <v>46160.0</v>
      </c>
      <c r="B484" s="36" t="s">
        <v>3470</v>
      </c>
      <c r="C484" s="37" t="s">
        <v>3471</v>
      </c>
      <c r="D484" s="37" t="s">
        <v>3472</v>
      </c>
      <c r="E484" s="54">
        <v>4740588285</v>
      </c>
      <c r="F484" s="39" t="s">
        <v>3473</v>
      </c>
      <c r="G484" s="37" t="str">
        <f>IF(NOT(ISERROR(MATCH(D484,'Tannbleking - Oppsalg US'!D:D, 0))), "Ja", "")</f>
        <v/>
      </c>
      <c r="H484" s="37" t="s">
        <v>43</v>
      </c>
      <c r="I484" s="37" t="s">
        <v>72</v>
      </c>
      <c r="J484" s="40" t="s">
        <v>3392</v>
      </c>
      <c r="K484" s="41"/>
      <c r="L484" s="42" t="s">
        <v>128</v>
      </c>
      <c r="M484" s="43" t="s">
        <v>1731</v>
      </c>
      <c r="N484" s="44">
        <v>6.940562467737E12</v>
      </c>
      <c r="O484" s="53" t="str">
        <f t="shared" si="1"/>
        <v>18/05/2026</v>
      </c>
      <c r="P484" s="46">
        <f t="shared" si="2"/>
        <v>1779113820</v>
      </c>
      <c r="Q484" s="47"/>
      <c r="R484" s="48"/>
      <c r="S484" s="46"/>
      <c r="T484" s="49" t="s">
        <v>3474</v>
      </c>
      <c r="U484" s="49" t="s">
        <v>3475</v>
      </c>
      <c r="V484" s="49" t="s">
        <v>3476</v>
      </c>
      <c r="W484" s="46"/>
      <c r="X484" s="49" t="s">
        <v>132</v>
      </c>
      <c r="Y484" s="50" t="s">
        <v>133</v>
      </c>
      <c r="Z484" s="50" t="s">
        <v>134</v>
      </c>
      <c r="AA484" s="46"/>
      <c r="AB484" s="26"/>
      <c r="AC484" s="51" t="s">
        <v>1282</v>
      </c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</row>
    <row r="485">
      <c r="A485" s="35">
        <v>46160.0</v>
      </c>
      <c r="B485" s="36" t="s">
        <v>3477</v>
      </c>
      <c r="C485" s="37" t="s">
        <v>3478</v>
      </c>
      <c r="D485" s="37" t="s">
        <v>3479</v>
      </c>
      <c r="E485" s="54">
        <v>4794283286</v>
      </c>
      <c r="F485" s="39" t="s">
        <v>3480</v>
      </c>
      <c r="G485" s="37" t="str">
        <f>IF(NOT(ISERROR(MATCH(D485,'Tannbleking - Oppsalg US'!D:D, 0))), "Ja", "")</f>
        <v/>
      </c>
      <c r="H485" s="37" t="s">
        <v>43</v>
      </c>
      <c r="I485" s="37" t="s">
        <v>72</v>
      </c>
      <c r="J485" s="40" t="s">
        <v>3392</v>
      </c>
      <c r="K485" s="41"/>
      <c r="L485" s="42" t="s">
        <v>128</v>
      </c>
      <c r="M485" s="43" t="s">
        <v>1598</v>
      </c>
      <c r="N485" s="44">
        <v>6.940562467537E12</v>
      </c>
      <c r="O485" s="53" t="str">
        <f t="shared" si="1"/>
        <v>18/05/2026</v>
      </c>
      <c r="P485" s="46">
        <f t="shared" si="2"/>
        <v>1779126840</v>
      </c>
      <c r="Q485" s="47"/>
      <c r="R485" s="48"/>
      <c r="S485" s="46"/>
      <c r="T485" s="49" t="s">
        <v>3481</v>
      </c>
      <c r="U485" s="49" t="s">
        <v>3482</v>
      </c>
      <c r="V485" s="49" t="s">
        <v>3483</v>
      </c>
      <c r="W485" s="46"/>
      <c r="X485" s="49" t="s">
        <v>132</v>
      </c>
      <c r="Y485" s="50" t="s">
        <v>133</v>
      </c>
      <c r="Z485" s="50" t="s">
        <v>134</v>
      </c>
      <c r="AA485" s="46"/>
      <c r="AB485" s="26"/>
      <c r="AC485" s="51" t="s">
        <v>135</v>
      </c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</row>
    <row r="486">
      <c r="A486" s="35">
        <v>46161.0</v>
      </c>
      <c r="B486" s="36" t="s">
        <v>3484</v>
      </c>
      <c r="C486" s="37" t="s">
        <v>3485</v>
      </c>
      <c r="D486" s="37" t="s">
        <v>3486</v>
      </c>
      <c r="E486" s="54">
        <v>4747202206</v>
      </c>
      <c r="F486" s="39" t="s">
        <v>3487</v>
      </c>
      <c r="G486" s="37" t="str">
        <f>IF(NOT(ISERROR(MATCH(D486,'Tannbleking - Oppsalg US'!D:D, 0))), "Ja", "")</f>
        <v/>
      </c>
      <c r="H486" s="37" t="s">
        <v>50</v>
      </c>
      <c r="I486" s="37" t="s">
        <v>44</v>
      </c>
      <c r="J486" s="40"/>
      <c r="K486" s="41"/>
      <c r="L486" s="42"/>
      <c r="M486" s="43"/>
      <c r="N486" s="44"/>
      <c r="O486" s="53" t="str">
        <f t="shared" si="1"/>
        <v>19/05/2026</v>
      </c>
      <c r="P486" s="46">
        <f t="shared" si="2"/>
        <v>1779183720</v>
      </c>
      <c r="Q486" s="47"/>
      <c r="R486" s="48"/>
      <c r="S486" s="46"/>
      <c r="T486" s="49" t="s">
        <v>3488</v>
      </c>
      <c r="U486" s="49" t="s">
        <v>3489</v>
      </c>
      <c r="V486" s="49" t="s">
        <v>3490</v>
      </c>
      <c r="W486" s="46"/>
      <c r="X486" s="49" t="s">
        <v>132</v>
      </c>
      <c r="Y486" s="50" t="s">
        <v>133</v>
      </c>
      <c r="Z486" s="50" t="s">
        <v>134</v>
      </c>
      <c r="AA486" s="46"/>
      <c r="AB486" s="26"/>
      <c r="AC486" s="51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</row>
    <row r="487">
      <c r="A487" s="35">
        <v>46161.0</v>
      </c>
      <c r="B487" s="36" t="s">
        <v>3491</v>
      </c>
      <c r="C487" s="37" t="s">
        <v>3492</v>
      </c>
      <c r="D487" s="37" t="s">
        <v>3493</v>
      </c>
      <c r="E487" s="54">
        <v>4740102096</v>
      </c>
      <c r="F487" s="39" t="s">
        <v>3494</v>
      </c>
      <c r="G487" s="37" t="str">
        <f>IF(NOT(ISERROR(MATCH(D487,'Tannbleking - Oppsalg US'!D:D, 0))), "Ja", "")</f>
        <v/>
      </c>
      <c r="H487" s="37" t="s">
        <v>90</v>
      </c>
      <c r="I487" s="37" t="s">
        <v>107</v>
      </c>
      <c r="J487" s="40" t="s">
        <v>3495</v>
      </c>
      <c r="K487" s="41"/>
      <c r="L487" s="42" t="s">
        <v>128</v>
      </c>
      <c r="M487" s="43" t="s">
        <v>1598</v>
      </c>
      <c r="N487" s="44">
        <v>6.940562467537E12</v>
      </c>
      <c r="O487" s="53" t="str">
        <f t="shared" si="1"/>
        <v>19/05/2026</v>
      </c>
      <c r="P487" s="46">
        <f t="shared" si="2"/>
        <v>1779188220</v>
      </c>
      <c r="Q487" s="47"/>
      <c r="R487" s="48"/>
      <c r="S487" s="46"/>
      <c r="T487" s="49" t="s">
        <v>3496</v>
      </c>
      <c r="U487" s="49" t="s">
        <v>3497</v>
      </c>
      <c r="V487" s="49" t="s">
        <v>3498</v>
      </c>
      <c r="W487" s="46"/>
      <c r="X487" s="49" t="s">
        <v>132</v>
      </c>
      <c r="Y487" s="50" t="s">
        <v>133</v>
      </c>
      <c r="Z487" s="50" t="s">
        <v>134</v>
      </c>
      <c r="AA487" s="46"/>
      <c r="AB487" s="26"/>
      <c r="AC487" s="51" t="s">
        <v>135</v>
      </c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</row>
    <row r="488">
      <c r="A488" s="35">
        <v>46162.0</v>
      </c>
      <c r="B488" s="36" t="s">
        <v>3499</v>
      </c>
      <c r="C488" s="37" t="s">
        <v>3500</v>
      </c>
      <c r="D488" s="37" t="s">
        <v>3501</v>
      </c>
      <c r="E488" s="54">
        <v>4796643938</v>
      </c>
      <c r="F488" s="39" t="s">
        <v>3502</v>
      </c>
      <c r="G488" s="37" t="str">
        <f>IF(NOT(ISERROR(MATCH(D488,'Tannbleking - Oppsalg US'!D:D, 0))), "Ja", "")</f>
        <v/>
      </c>
      <c r="H488" s="37" t="s">
        <v>50</v>
      </c>
      <c r="I488" s="37" t="s">
        <v>44</v>
      </c>
      <c r="J488" s="40"/>
      <c r="K488" s="41"/>
      <c r="L488" s="42" t="s">
        <v>128</v>
      </c>
      <c r="M488" s="43" t="s">
        <v>1598</v>
      </c>
      <c r="N488" s="44">
        <v>6.940562467537E12</v>
      </c>
      <c r="O488" s="53" t="str">
        <f t="shared" si="1"/>
        <v>20/05/2026</v>
      </c>
      <c r="P488" s="46">
        <f t="shared" si="2"/>
        <v>1779250860</v>
      </c>
      <c r="Q488" s="47"/>
      <c r="R488" s="48"/>
      <c r="S488" s="46"/>
      <c r="T488" s="49" t="s">
        <v>3503</v>
      </c>
      <c r="U488" s="49" t="s">
        <v>3504</v>
      </c>
      <c r="V488" s="49" t="s">
        <v>3505</v>
      </c>
      <c r="W488" s="46"/>
      <c r="X488" s="49" t="s">
        <v>132</v>
      </c>
      <c r="Y488" s="50" t="s">
        <v>133</v>
      </c>
      <c r="Z488" s="50" t="s">
        <v>134</v>
      </c>
      <c r="AA488" s="46"/>
      <c r="AB488" s="26"/>
      <c r="AC488" s="51" t="s">
        <v>144</v>
      </c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</row>
    <row r="489">
      <c r="A489" s="35">
        <v>46162.0</v>
      </c>
      <c r="B489" s="36" t="s">
        <v>3506</v>
      </c>
      <c r="C489" s="37" t="s">
        <v>3507</v>
      </c>
      <c r="D489" s="37" t="s">
        <v>3508</v>
      </c>
      <c r="E489" s="54">
        <v>4792057426</v>
      </c>
      <c r="F489" s="39" t="s">
        <v>3509</v>
      </c>
      <c r="G489" s="37" t="str">
        <f>IF(NOT(ISERROR(MATCH(D489,'Tannbleking - Oppsalg US'!D:D, 0))), "Ja", "")</f>
        <v/>
      </c>
      <c r="H489" s="37" t="s">
        <v>50</v>
      </c>
      <c r="I489" s="37" t="s">
        <v>44</v>
      </c>
      <c r="J489" s="40"/>
      <c r="K489" s="41"/>
      <c r="L489" s="42" t="s">
        <v>128</v>
      </c>
      <c r="M489" s="43" t="s">
        <v>1598</v>
      </c>
      <c r="N489" s="44">
        <v>6.940562467537E12</v>
      </c>
      <c r="O489" s="53" t="str">
        <f t="shared" si="1"/>
        <v>20/05/2026</v>
      </c>
      <c r="P489" s="46">
        <f t="shared" si="2"/>
        <v>1779266100</v>
      </c>
      <c r="Q489" s="47"/>
      <c r="R489" s="48"/>
      <c r="S489" s="46"/>
      <c r="T489" s="49" t="s">
        <v>3510</v>
      </c>
      <c r="U489" s="49" t="s">
        <v>3511</v>
      </c>
      <c r="V489" s="49" t="s">
        <v>3512</v>
      </c>
      <c r="W489" s="46"/>
      <c r="X489" s="49" t="s">
        <v>132</v>
      </c>
      <c r="Y489" s="50" t="s">
        <v>133</v>
      </c>
      <c r="Z489" s="50" t="s">
        <v>134</v>
      </c>
      <c r="AA489" s="46"/>
      <c r="AB489" s="26"/>
      <c r="AC489" s="51" t="s">
        <v>135</v>
      </c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</row>
    <row r="490">
      <c r="A490" s="35">
        <v>46163.0</v>
      </c>
      <c r="B490" s="36" t="s">
        <v>3513</v>
      </c>
      <c r="C490" s="37" t="s">
        <v>3514</v>
      </c>
      <c r="D490" s="37" t="s">
        <v>3515</v>
      </c>
      <c r="E490" s="54">
        <v>4740587907</v>
      </c>
      <c r="F490" s="39" t="s">
        <v>3516</v>
      </c>
      <c r="G490" s="37" t="str">
        <f>IF(NOT(ISERROR(MATCH(D490,'Tannbleking - Oppsalg US'!D:D, 0))), "Ja", "")</f>
        <v/>
      </c>
      <c r="H490" s="37" t="s">
        <v>43</v>
      </c>
      <c r="I490" s="37" t="s">
        <v>72</v>
      </c>
      <c r="J490" s="40"/>
      <c r="K490" s="41"/>
      <c r="L490" s="42" t="s">
        <v>128</v>
      </c>
      <c r="M490" s="43" t="s">
        <v>3255</v>
      </c>
      <c r="N490" s="44">
        <v>6.940562467337E12</v>
      </c>
      <c r="O490" s="53" t="str">
        <f t="shared" si="1"/>
        <v>21/05/2026</v>
      </c>
      <c r="P490" s="46">
        <f t="shared" si="2"/>
        <v>1779322980</v>
      </c>
      <c r="Q490" s="47"/>
      <c r="R490" s="48"/>
      <c r="S490" s="46"/>
      <c r="T490" s="49" t="s">
        <v>3517</v>
      </c>
      <c r="U490" s="49" t="s">
        <v>3518</v>
      </c>
      <c r="V490" s="49" t="s">
        <v>3519</v>
      </c>
      <c r="W490" s="46"/>
      <c r="X490" s="49" t="s">
        <v>132</v>
      </c>
      <c r="Y490" s="50" t="s">
        <v>133</v>
      </c>
      <c r="Z490" s="50" t="s">
        <v>134</v>
      </c>
      <c r="AA490" s="46"/>
      <c r="AB490" s="26"/>
      <c r="AC490" s="51" t="s">
        <v>280</v>
      </c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</row>
    <row r="491">
      <c r="A491" s="35">
        <v>46163.0</v>
      </c>
      <c r="B491" s="36" t="s">
        <v>3520</v>
      </c>
      <c r="C491" s="37" t="s">
        <v>3521</v>
      </c>
      <c r="D491" s="37" t="s">
        <v>3522</v>
      </c>
      <c r="E491" s="54">
        <v>4794896998</v>
      </c>
      <c r="F491" s="39" t="s">
        <v>3523</v>
      </c>
      <c r="G491" s="37" t="str">
        <f>IF(NOT(ISERROR(MATCH(D491,'Tannbleking - Oppsalg US'!D:D, 0))), "Ja", "")</f>
        <v/>
      </c>
      <c r="H491" s="37" t="s">
        <v>50</v>
      </c>
      <c r="I491" s="37" t="s">
        <v>72</v>
      </c>
      <c r="J491" s="40"/>
      <c r="K491" s="41"/>
      <c r="L491" s="42" t="s">
        <v>128</v>
      </c>
      <c r="M491" s="43" t="s">
        <v>1598</v>
      </c>
      <c r="N491" s="44">
        <v>6.940562467537E12</v>
      </c>
      <c r="O491" s="53" t="str">
        <f t="shared" si="1"/>
        <v>21/05/2026</v>
      </c>
      <c r="P491" s="46">
        <f t="shared" si="2"/>
        <v>1779345060</v>
      </c>
      <c r="Q491" s="47"/>
      <c r="R491" s="48"/>
      <c r="S491" s="46"/>
      <c r="T491" s="49" t="s">
        <v>3524</v>
      </c>
      <c r="U491" s="49" t="s">
        <v>3525</v>
      </c>
      <c r="V491" s="49" t="s">
        <v>3526</v>
      </c>
      <c r="W491" s="46"/>
      <c r="X491" s="49" t="s">
        <v>132</v>
      </c>
      <c r="Y491" s="50" t="s">
        <v>133</v>
      </c>
      <c r="Z491" s="50" t="s">
        <v>134</v>
      </c>
      <c r="AA491" s="46"/>
      <c r="AB491" s="26"/>
      <c r="AC491" s="51" t="s">
        <v>135</v>
      </c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</row>
    <row r="492">
      <c r="A492" s="35">
        <v>46164.0</v>
      </c>
      <c r="B492" s="36" t="s">
        <v>2822</v>
      </c>
      <c r="C492" s="37" t="s">
        <v>3527</v>
      </c>
      <c r="D492" s="37" t="s">
        <v>3528</v>
      </c>
      <c r="E492" s="54">
        <v>4748228467</v>
      </c>
      <c r="F492" s="39" t="s">
        <v>3529</v>
      </c>
      <c r="G492" s="37" t="str">
        <f>IF(NOT(ISERROR(MATCH(D492,'Tannbleking - Oppsalg US'!D:D, 0))), "Ja", "")</f>
        <v/>
      </c>
      <c r="H492" s="37" t="s">
        <v>50</v>
      </c>
      <c r="I492" s="37" t="s">
        <v>44</v>
      </c>
      <c r="J492" s="40"/>
      <c r="K492" s="41"/>
      <c r="L492" s="42" t="s">
        <v>128</v>
      </c>
      <c r="M492" s="43" t="s">
        <v>1605</v>
      </c>
      <c r="N492" s="44">
        <v>6.940562466737E12</v>
      </c>
      <c r="O492" s="53" t="str">
        <f t="shared" si="1"/>
        <v>22/05/2026</v>
      </c>
      <c r="P492" s="46">
        <f t="shared" si="2"/>
        <v>1779454560</v>
      </c>
      <c r="Q492" s="47"/>
      <c r="R492" s="48"/>
      <c r="S492" s="46"/>
      <c r="T492" s="49" t="s">
        <v>3530</v>
      </c>
      <c r="U492" s="49" t="s">
        <v>3531</v>
      </c>
      <c r="V492" s="49" t="s">
        <v>3532</v>
      </c>
      <c r="W492" s="46"/>
      <c r="X492" s="49" t="s">
        <v>132</v>
      </c>
      <c r="Y492" s="50" t="s">
        <v>133</v>
      </c>
      <c r="Z492" s="50" t="s">
        <v>134</v>
      </c>
      <c r="AA492" s="46"/>
      <c r="AB492" s="26"/>
      <c r="AC492" s="51" t="s">
        <v>135</v>
      </c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</row>
    <row r="493">
      <c r="A493" s="35">
        <v>46164.0</v>
      </c>
      <c r="B493" s="36" t="s">
        <v>351</v>
      </c>
      <c r="C493" s="37" t="s">
        <v>3533</v>
      </c>
      <c r="D493" s="37" t="s">
        <v>3534</v>
      </c>
      <c r="E493" s="54">
        <v>4796695653</v>
      </c>
      <c r="F493" s="39" t="s">
        <v>3535</v>
      </c>
      <c r="G493" s="37" t="str">
        <f>IF(NOT(ISERROR(MATCH(D493,'Tannbleking - Oppsalg US'!D:D, 0))), "Ja", "")</f>
        <v/>
      </c>
      <c r="H493" s="37" t="s">
        <v>50</v>
      </c>
      <c r="I493" s="37" t="s">
        <v>44</v>
      </c>
      <c r="J493" s="40"/>
      <c r="K493" s="41"/>
      <c r="L493" s="42" t="s">
        <v>128</v>
      </c>
      <c r="M493" s="43" t="s">
        <v>1598</v>
      </c>
      <c r="N493" s="44">
        <v>6.940562467537E12</v>
      </c>
      <c r="O493" s="53" t="str">
        <f t="shared" si="1"/>
        <v>22/05/2026</v>
      </c>
      <c r="P493" s="46">
        <f t="shared" si="2"/>
        <v>1779463980</v>
      </c>
      <c r="Q493" s="47"/>
      <c r="R493" s="48"/>
      <c r="S493" s="46"/>
      <c r="T493" s="49" t="s">
        <v>3536</v>
      </c>
      <c r="U493" s="49" t="s">
        <v>3537</v>
      </c>
      <c r="V493" s="49" t="s">
        <v>3538</v>
      </c>
      <c r="W493" s="46"/>
      <c r="X493" s="49" t="s">
        <v>132</v>
      </c>
      <c r="Y493" s="50" t="s">
        <v>133</v>
      </c>
      <c r="Z493" s="50" t="s">
        <v>134</v>
      </c>
      <c r="AA493" s="46"/>
      <c r="AB493" s="26"/>
      <c r="AC493" s="51" t="s">
        <v>135</v>
      </c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</row>
    <row r="494">
      <c r="A494" s="35">
        <v>46165.0</v>
      </c>
      <c r="B494" s="36" t="s">
        <v>3539</v>
      </c>
      <c r="C494" s="37" t="s">
        <v>3540</v>
      </c>
      <c r="D494" s="37" t="s">
        <v>2993</v>
      </c>
      <c r="E494" s="54">
        <v>4741294667</v>
      </c>
      <c r="F494" s="39" t="s">
        <v>3541</v>
      </c>
      <c r="G494" s="37" t="str">
        <f>IF(NOT(ISERROR(MATCH(D494,'Tannbleking - Oppsalg US'!D:D, 0))), "Ja", "")</f>
        <v/>
      </c>
      <c r="H494" s="37" t="s">
        <v>50</v>
      </c>
      <c r="I494" s="37" t="s">
        <v>44</v>
      </c>
      <c r="J494" s="40"/>
      <c r="K494" s="41"/>
      <c r="L494" s="42" t="s">
        <v>128</v>
      </c>
      <c r="M494" s="43" t="s">
        <v>1598</v>
      </c>
      <c r="N494" s="44">
        <v>6.940562467537E12</v>
      </c>
      <c r="O494" s="53" t="str">
        <f t="shared" si="1"/>
        <v>23/05/2026</v>
      </c>
      <c r="P494" s="46">
        <f t="shared" si="2"/>
        <v>1779525840</v>
      </c>
      <c r="Q494" s="47"/>
      <c r="R494" s="48"/>
      <c r="S494" s="46"/>
      <c r="T494" s="49" t="s">
        <v>3542</v>
      </c>
      <c r="U494" s="49" t="s">
        <v>2996</v>
      </c>
      <c r="V494" s="49" t="s">
        <v>3543</v>
      </c>
      <c r="W494" s="46"/>
      <c r="X494" s="49" t="s">
        <v>132</v>
      </c>
      <c r="Y494" s="50" t="s">
        <v>133</v>
      </c>
      <c r="Z494" s="50" t="s">
        <v>134</v>
      </c>
      <c r="AA494" s="46"/>
      <c r="AB494" s="26"/>
      <c r="AC494" s="51" t="s">
        <v>423</v>
      </c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</row>
    <row r="495">
      <c r="A495" s="35">
        <v>46165.0</v>
      </c>
      <c r="B495" s="36" t="s">
        <v>3544</v>
      </c>
      <c r="C495" s="37" t="s">
        <v>3545</v>
      </c>
      <c r="D495" s="37" t="s">
        <v>3546</v>
      </c>
      <c r="E495" s="54">
        <v>4793929779</v>
      </c>
      <c r="F495" s="39" t="s">
        <v>3547</v>
      </c>
      <c r="G495" s="37" t="str">
        <f>IF(NOT(ISERROR(MATCH(D495,'Tannbleking - Oppsalg US'!D:D, 0))), "Ja", "")</f>
        <v/>
      </c>
      <c r="H495" s="37"/>
      <c r="I495" s="37"/>
      <c r="J495" s="40"/>
      <c r="K495" s="41"/>
      <c r="L495" s="42" t="s">
        <v>128</v>
      </c>
      <c r="M495" s="43" t="s">
        <v>1598</v>
      </c>
      <c r="N495" s="44">
        <v>6.940562467537E12</v>
      </c>
      <c r="O495" s="53" t="str">
        <f t="shared" si="1"/>
        <v>23/05/2026</v>
      </c>
      <c r="P495" s="46">
        <f t="shared" si="2"/>
        <v>1779531600</v>
      </c>
      <c r="Q495" s="47"/>
      <c r="R495" s="48"/>
      <c r="S495" s="46"/>
      <c r="T495" s="49" t="s">
        <v>3548</v>
      </c>
      <c r="U495" s="49" t="s">
        <v>3549</v>
      </c>
      <c r="V495" s="49" t="s">
        <v>3550</v>
      </c>
      <c r="W495" s="46"/>
      <c r="X495" s="49" t="s">
        <v>132</v>
      </c>
      <c r="Y495" s="50" t="s">
        <v>133</v>
      </c>
      <c r="Z495" s="50" t="s">
        <v>134</v>
      </c>
      <c r="AA495" s="46"/>
      <c r="AB495" s="26"/>
      <c r="AC495" s="51" t="s">
        <v>135</v>
      </c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</row>
    <row r="496">
      <c r="A496" s="35">
        <v>46166.0</v>
      </c>
      <c r="B496" s="36" t="s">
        <v>3551</v>
      </c>
      <c r="C496" s="37" t="s">
        <v>3552</v>
      </c>
      <c r="D496" s="37" t="s">
        <v>3553</v>
      </c>
      <c r="E496" s="54">
        <v>4745154507</v>
      </c>
      <c r="F496" s="39" t="s">
        <v>3554</v>
      </c>
      <c r="G496" s="37" t="str">
        <f>IF(NOT(ISERROR(MATCH(D496,'Tannbleking - Oppsalg US'!D:D, 0))), "Ja", "")</f>
        <v/>
      </c>
      <c r="H496" s="37"/>
      <c r="I496" s="37"/>
      <c r="J496" s="40"/>
      <c r="K496" s="41"/>
      <c r="L496" s="42" t="s">
        <v>128</v>
      </c>
      <c r="M496" s="43" t="s">
        <v>1605</v>
      </c>
      <c r="N496" s="44">
        <v>6.940562466737E12</v>
      </c>
      <c r="O496" s="53" t="str">
        <f t="shared" si="1"/>
        <v>24/05/2026</v>
      </c>
      <c r="P496" s="46">
        <f t="shared" si="2"/>
        <v>1779582000</v>
      </c>
      <c r="Q496" s="47"/>
      <c r="R496" s="48"/>
      <c r="S496" s="46"/>
      <c r="T496" s="49" t="s">
        <v>3555</v>
      </c>
      <c r="U496" s="49" t="s">
        <v>3556</v>
      </c>
      <c r="V496" s="49" t="s">
        <v>3557</v>
      </c>
      <c r="W496" s="46"/>
      <c r="X496" s="49" t="s">
        <v>132</v>
      </c>
      <c r="Y496" s="50" t="s">
        <v>133</v>
      </c>
      <c r="Z496" s="50" t="s">
        <v>134</v>
      </c>
      <c r="AA496" s="46"/>
      <c r="AB496" s="26"/>
      <c r="AC496" s="51" t="s">
        <v>144</v>
      </c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</row>
    <row r="497">
      <c r="A497" s="35">
        <v>46166.0</v>
      </c>
      <c r="B497" s="36" t="s">
        <v>3558</v>
      </c>
      <c r="C497" s="37" t="s">
        <v>3559</v>
      </c>
      <c r="D497" s="37" t="s">
        <v>3560</v>
      </c>
      <c r="E497" s="54">
        <v>4793642188</v>
      </c>
      <c r="F497" s="39" t="s">
        <v>3561</v>
      </c>
      <c r="G497" s="37" t="str">
        <f>IF(NOT(ISERROR(MATCH(D497,'Tannbleking - Oppsalg US'!D:D, 0))), "Ja", "")</f>
        <v/>
      </c>
      <c r="H497" s="37"/>
      <c r="I497" s="37"/>
      <c r="J497" s="40"/>
      <c r="K497" s="41"/>
      <c r="L497" s="42" t="s">
        <v>128</v>
      </c>
      <c r="M497" s="43" t="s">
        <v>1598</v>
      </c>
      <c r="N497" s="44">
        <v>6.940562467537E12</v>
      </c>
      <c r="O497" s="53" t="str">
        <f t="shared" si="1"/>
        <v>24/05/2026</v>
      </c>
      <c r="P497" s="46">
        <f t="shared" si="2"/>
        <v>1779613920</v>
      </c>
      <c r="Q497" s="47"/>
      <c r="R497" s="48"/>
      <c r="S497" s="46"/>
      <c r="T497" s="49" t="s">
        <v>3562</v>
      </c>
      <c r="U497" s="49" t="s">
        <v>3563</v>
      </c>
      <c r="V497" s="49" t="s">
        <v>3564</v>
      </c>
      <c r="W497" s="46"/>
      <c r="X497" s="49" t="s">
        <v>132</v>
      </c>
      <c r="Y497" s="50" t="s">
        <v>133</v>
      </c>
      <c r="Z497" s="50" t="s">
        <v>134</v>
      </c>
      <c r="AA497" s="46"/>
      <c r="AB497" s="26"/>
      <c r="AC497" s="51" t="s">
        <v>135</v>
      </c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</row>
    <row r="498">
      <c r="A498" s="35">
        <v>46167.0</v>
      </c>
      <c r="B498" s="36" t="s">
        <v>2165</v>
      </c>
      <c r="C498" s="37" t="s">
        <v>3565</v>
      </c>
      <c r="D498" s="37" t="s">
        <v>3566</v>
      </c>
      <c r="E498" s="54">
        <v>4746388110</v>
      </c>
      <c r="F498" s="39" t="s">
        <v>3567</v>
      </c>
      <c r="G498" s="37" t="str">
        <f>IF(NOT(ISERROR(MATCH(D498,'Tannbleking - Oppsalg US'!D:D, 0))), "Ja", "")</f>
        <v/>
      </c>
      <c r="H498" s="37"/>
      <c r="I498" s="37"/>
      <c r="J498" s="40"/>
      <c r="K498" s="41"/>
      <c r="L498" s="42" t="s">
        <v>128</v>
      </c>
      <c r="M498" s="43" t="s">
        <v>1605</v>
      </c>
      <c r="N498" s="44">
        <v>6.940562466737E12</v>
      </c>
      <c r="O498" s="53" t="str">
        <f t="shared" si="1"/>
        <v>25/05/2026</v>
      </c>
      <c r="P498" s="46">
        <f t="shared" si="2"/>
        <v>1779706860</v>
      </c>
      <c r="Q498" s="47"/>
      <c r="R498" s="48"/>
      <c r="S498" s="46"/>
      <c r="T498" s="49" t="s">
        <v>3568</v>
      </c>
      <c r="U498" s="49" t="s">
        <v>3569</v>
      </c>
      <c r="V498" s="49" t="s">
        <v>3570</v>
      </c>
      <c r="W498" s="46"/>
      <c r="X498" s="49" t="s">
        <v>132</v>
      </c>
      <c r="Y498" s="50" t="s">
        <v>133</v>
      </c>
      <c r="Z498" s="50" t="s">
        <v>134</v>
      </c>
      <c r="AA498" s="46"/>
      <c r="AB498" s="26"/>
      <c r="AC498" s="51" t="s">
        <v>280</v>
      </c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</row>
    <row r="499">
      <c r="A499" s="35">
        <v>46167.0</v>
      </c>
      <c r="B499" s="36" t="s">
        <v>3571</v>
      </c>
      <c r="C499" s="37" t="s">
        <v>3572</v>
      </c>
      <c r="D499" s="37" t="s">
        <v>3573</v>
      </c>
      <c r="E499" s="54">
        <v>4746726943</v>
      </c>
      <c r="F499" s="39" t="s">
        <v>3574</v>
      </c>
      <c r="G499" s="37" t="str">
        <f>IF(NOT(ISERROR(MATCH(D499,'Tannbleking - Oppsalg US'!D:D, 0))), "Ja", "")</f>
        <v/>
      </c>
      <c r="H499" s="37"/>
      <c r="I499" s="37"/>
      <c r="J499" s="40"/>
      <c r="K499" s="41"/>
      <c r="L499" s="42" t="s">
        <v>128</v>
      </c>
      <c r="M499" s="43" t="s">
        <v>1605</v>
      </c>
      <c r="N499" s="44">
        <v>6.940562466737E12</v>
      </c>
      <c r="O499" s="53" t="str">
        <f t="shared" si="1"/>
        <v>25/05/2026</v>
      </c>
      <c r="P499" s="46">
        <f t="shared" si="2"/>
        <v>1779713280</v>
      </c>
      <c r="Q499" s="47"/>
      <c r="R499" s="48"/>
      <c r="S499" s="46"/>
      <c r="T499" s="49" t="s">
        <v>3575</v>
      </c>
      <c r="U499" s="49" t="s">
        <v>3576</v>
      </c>
      <c r="V499" s="49" t="s">
        <v>3577</v>
      </c>
      <c r="W499" s="46"/>
      <c r="X499" s="49" t="s">
        <v>132</v>
      </c>
      <c r="Y499" s="50" t="s">
        <v>133</v>
      </c>
      <c r="Z499" s="50" t="s">
        <v>134</v>
      </c>
      <c r="AA499" s="46"/>
      <c r="AB499" s="26"/>
      <c r="AC499" s="51" t="s">
        <v>280</v>
      </c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</row>
    <row r="500">
      <c r="A500" s="55">
        <v>46168.0</v>
      </c>
      <c r="B500" s="56" t="s">
        <v>1585</v>
      </c>
      <c r="C500" s="57" t="s">
        <v>3578</v>
      </c>
      <c r="D500" s="57" t="s">
        <v>3579</v>
      </c>
      <c r="E500" s="58">
        <v>4745575962</v>
      </c>
      <c r="F500" s="59" t="s">
        <v>3580</v>
      </c>
      <c r="G500" s="60" t="str">
        <f>IF(NOT(ISERROR(MATCH(D500,'Tannbleking - Oppsalg US'!D:D, 0))), "Ja", "")</f>
        <v/>
      </c>
      <c r="H500" s="57" t="s">
        <v>50</v>
      </c>
      <c r="I500" s="57" t="s">
        <v>44</v>
      </c>
      <c r="J500" s="60"/>
      <c r="K500" s="61"/>
      <c r="L500" s="62" t="s">
        <v>128</v>
      </c>
      <c r="M500" s="63" t="s">
        <v>1605</v>
      </c>
      <c r="N500" s="64">
        <v>6.940562466737E12</v>
      </c>
      <c r="O500" s="65" t="str">
        <f t="shared" si="1"/>
        <v>26/05/2026</v>
      </c>
      <c r="P500" s="66">
        <f t="shared" si="2"/>
        <v>1779790320</v>
      </c>
      <c r="Q500" s="67"/>
      <c r="R500" s="65"/>
      <c r="S500" s="68"/>
      <c r="T500" s="61" t="s">
        <v>3581</v>
      </c>
      <c r="U500" s="61" t="s">
        <v>3582</v>
      </c>
      <c r="V500" s="61" t="s">
        <v>3583</v>
      </c>
      <c r="W500" s="68"/>
      <c r="X500" s="61" t="s">
        <v>132</v>
      </c>
      <c r="Y500" s="69" t="s">
        <v>133</v>
      </c>
      <c r="Z500" s="69" t="s">
        <v>134</v>
      </c>
      <c r="AA500" s="68"/>
      <c r="AB500" s="68"/>
      <c r="AC500" s="70" t="s">
        <v>135</v>
      </c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</row>
    <row r="501">
      <c r="A501" s="55">
        <v>46168.0</v>
      </c>
      <c r="B501" s="56" t="s">
        <v>1140</v>
      </c>
      <c r="C501" s="57" t="s">
        <v>3584</v>
      </c>
      <c r="D501" s="57" t="s">
        <v>3585</v>
      </c>
      <c r="E501" s="58">
        <v>4798496390</v>
      </c>
      <c r="F501" s="59" t="s">
        <v>3586</v>
      </c>
      <c r="G501" s="28" t="str">
        <f>IF(NOT(ISERROR(MATCH(D501,'Tannbleking - Oppsalg US'!D:D, 0))), "Ja", "")</f>
        <v/>
      </c>
      <c r="H501" s="57" t="s">
        <v>50</v>
      </c>
      <c r="I501" s="57" t="s">
        <v>107</v>
      </c>
      <c r="J501" s="60" t="s">
        <v>3587</v>
      </c>
      <c r="K501" s="61"/>
      <c r="L501" s="62" t="s">
        <v>128</v>
      </c>
      <c r="M501" s="63" t="s">
        <v>1605</v>
      </c>
      <c r="N501" s="64">
        <v>6.940562466737E12</v>
      </c>
      <c r="O501" s="65" t="str">
        <f t="shared" si="1"/>
        <v>26/05/2026</v>
      </c>
      <c r="P501" s="66">
        <f t="shared" si="2"/>
        <v>1779792180</v>
      </c>
      <c r="Q501" s="67"/>
      <c r="R501" s="65"/>
      <c r="S501" s="68"/>
      <c r="T501" s="61" t="s">
        <v>3588</v>
      </c>
      <c r="U501" s="61" t="s">
        <v>3589</v>
      </c>
      <c r="V501" s="61" t="s">
        <v>3590</v>
      </c>
      <c r="W501" s="68"/>
      <c r="X501" s="61" t="s">
        <v>132</v>
      </c>
      <c r="Y501" s="69" t="s">
        <v>133</v>
      </c>
      <c r="Z501" s="69" t="s">
        <v>134</v>
      </c>
      <c r="AA501" s="68"/>
      <c r="AB501" s="68"/>
      <c r="AC501" s="70" t="s">
        <v>135</v>
      </c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</row>
    <row r="502">
      <c r="A502" s="55">
        <v>46168.0</v>
      </c>
      <c r="B502" s="56" t="s">
        <v>3591</v>
      </c>
      <c r="C502" s="57" t="s">
        <v>3584</v>
      </c>
      <c r="D502" s="57" t="s">
        <v>3585</v>
      </c>
      <c r="E502" s="58">
        <v>4798496390</v>
      </c>
      <c r="F502" s="59" t="s">
        <v>3592</v>
      </c>
      <c r="G502" s="28" t="str">
        <f>IF(NOT(ISERROR(MATCH(D502,'Tannbleking - Oppsalg US'!D:D, 0))), "Ja", "")</f>
        <v/>
      </c>
      <c r="H502" s="57" t="s">
        <v>90</v>
      </c>
      <c r="I502" s="60"/>
      <c r="J502" s="60"/>
      <c r="K502" s="61"/>
      <c r="L502" s="62" t="s">
        <v>128</v>
      </c>
      <c r="M502" s="63" t="s">
        <v>1605</v>
      </c>
      <c r="N502" s="64">
        <v>6.940562466737E12</v>
      </c>
      <c r="O502" s="65" t="str">
        <f t="shared" si="1"/>
        <v>26/05/2026</v>
      </c>
      <c r="P502" s="66">
        <f t="shared" si="2"/>
        <v>1779792360</v>
      </c>
      <c r="Q502" s="67"/>
      <c r="R502" s="65"/>
      <c r="S502" s="68"/>
      <c r="T502" s="61" t="s">
        <v>3593</v>
      </c>
      <c r="U502" s="61" t="s">
        <v>3589</v>
      </c>
      <c r="V502" s="61" t="s">
        <v>3594</v>
      </c>
      <c r="W502" s="68"/>
      <c r="X502" s="61" t="s">
        <v>132</v>
      </c>
      <c r="Y502" s="69" t="s">
        <v>133</v>
      </c>
      <c r="Z502" s="69" t="s">
        <v>134</v>
      </c>
      <c r="AA502" s="68"/>
      <c r="AB502" s="68"/>
      <c r="AC502" s="70" t="s">
        <v>135</v>
      </c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</row>
    <row r="503">
      <c r="A503" s="55">
        <v>46169.0</v>
      </c>
      <c r="B503" s="56" t="s">
        <v>1167</v>
      </c>
      <c r="C503" s="57" t="s">
        <v>3595</v>
      </c>
      <c r="D503" s="57" t="s">
        <v>3596</v>
      </c>
      <c r="E503" s="58">
        <v>4794449443</v>
      </c>
      <c r="F503" s="59" t="s">
        <v>3597</v>
      </c>
      <c r="G503" s="28" t="str">
        <f>IF(NOT(ISERROR(MATCH(D503,'Tannbleking - Oppsalg US'!D:D, 0))), "Ja", "")</f>
        <v/>
      </c>
      <c r="H503" s="57" t="s">
        <v>90</v>
      </c>
      <c r="I503" s="57" t="s">
        <v>44</v>
      </c>
      <c r="J503" s="60"/>
      <c r="K503" s="61"/>
      <c r="L503" s="62" t="s">
        <v>128</v>
      </c>
      <c r="M503" s="63" t="s">
        <v>1605</v>
      </c>
      <c r="N503" s="64">
        <v>6.940562466737E12</v>
      </c>
      <c r="O503" s="65" t="str">
        <f t="shared" si="1"/>
        <v>27/05/2026</v>
      </c>
      <c r="P503" s="66">
        <f t="shared" si="2"/>
        <v>1779888180</v>
      </c>
      <c r="Q503" s="67"/>
      <c r="R503" s="65"/>
      <c r="S503" s="68"/>
      <c r="T503" s="61" t="s">
        <v>3598</v>
      </c>
      <c r="U503" s="61" t="s">
        <v>3599</v>
      </c>
      <c r="V503" s="61" t="s">
        <v>3600</v>
      </c>
      <c r="W503" s="68"/>
      <c r="X503" s="61" t="s">
        <v>132</v>
      </c>
      <c r="Y503" s="69" t="s">
        <v>133</v>
      </c>
      <c r="Z503" s="69" t="s">
        <v>134</v>
      </c>
      <c r="AA503" s="68"/>
      <c r="AB503" s="68"/>
      <c r="AC503" s="70" t="s">
        <v>135</v>
      </c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</row>
    <row r="504">
      <c r="A504" s="55">
        <v>46169.0</v>
      </c>
      <c r="B504" s="56" t="s">
        <v>3601</v>
      </c>
      <c r="C504" s="57" t="s">
        <v>3602</v>
      </c>
      <c r="D504" s="57" t="s">
        <v>3603</v>
      </c>
      <c r="E504" s="58">
        <v>4793407975</v>
      </c>
      <c r="F504" s="59" t="s">
        <v>3561</v>
      </c>
      <c r="G504" s="28" t="str">
        <f>IF(NOT(ISERROR(MATCH(D504,'Tannbleking - Oppsalg US'!D:D, 0))), "Ja", "")</f>
        <v/>
      </c>
      <c r="H504" s="57" t="s">
        <v>50</v>
      </c>
      <c r="I504" s="57" t="s">
        <v>44</v>
      </c>
      <c r="J504" s="60"/>
      <c r="K504" s="61"/>
      <c r="L504" s="62" t="s">
        <v>128</v>
      </c>
      <c r="M504" s="63" t="s">
        <v>1605</v>
      </c>
      <c r="N504" s="64">
        <v>6.940562466737E12</v>
      </c>
      <c r="O504" s="65" t="str">
        <f t="shared" si="1"/>
        <v>27/05/2026</v>
      </c>
      <c r="P504" s="66">
        <f t="shared" si="2"/>
        <v>1779912360</v>
      </c>
      <c r="Q504" s="67"/>
      <c r="R504" s="65"/>
      <c r="S504" s="68"/>
      <c r="T504" s="61" t="s">
        <v>3604</v>
      </c>
      <c r="U504" s="61" t="s">
        <v>3605</v>
      </c>
      <c r="V504" s="61" t="s">
        <v>3606</v>
      </c>
      <c r="W504" s="68"/>
      <c r="X504" s="61" t="s">
        <v>132</v>
      </c>
      <c r="Y504" s="69" t="s">
        <v>133</v>
      </c>
      <c r="Z504" s="69" t="s">
        <v>134</v>
      </c>
      <c r="AA504" s="68"/>
      <c r="AB504" s="68"/>
      <c r="AC504" s="70" t="s">
        <v>135</v>
      </c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</row>
    <row r="505">
      <c r="A505" s="55">
        <v>46170.0</v>
      </c>
      <c r="B505" s="56" t="s">
        <v>3607</v>
      </c>
      <c r="C505" s="57" t="s">
        <v>3595</v>
      </c>
      <c r="D505" s="57" t="s">
        <v>3596</v>
      </c>
      <c r="E505" s="58">
        <v>4745421205</v>
      </c>
      <c r="F505" s="59" t="s">
        <v>3597</v>
      </c>
      <c r="G505" s="28" t="str">
        <f>IF(NOT(ISERROR(MATCH(D505,'Tannbleking - Oppsalg US'!D:D, 0))), "Ja", "")</f>
        <v/>
      </c>
      <c r="H505" s="57" t="s">
        <v>50</v>
      </c>
      <c r="I505" s="57" t="s">
        <v>44</v>
      </c>
      <c r="J505" s="60"/>
      <c r="K505" s="61"/>
      <c r="L505" s="62" t="s">
        <v>128</v>
      </c>
      <c r="M505" s="63" t="s">
        <v>1613</v>
      </c>
      <c r="N505" s="64">
        <v>6.940562468137E12</v>
      </c>
      <c r="O505" s="65" t="str">
        <f t="shared" si="1"/>
        <v>28/05/2026</v>
      </c>
      <c r="P505" s="66">
        <f t="shared" si="2"/>
        <v>1779946140</v>
      </c>
      <c r="Q505" s="67"/>
      <c r="R505" s="65"/>
      <c r="S505" s="68"/>
      <c r="T505" s="61" t="s">
        <v>3608</v>
      </c>
      <c r="U505" s="61" t="s">
        <v>3599</v>
      </c>
      <c r="V505" s="61" t="s">
        <v>3609</v>
      </c>
      <c r="W505" s="68"/>
      <c r="X505" s="61" t="s">
        <v>132</v>
      </c>
      <c r="Y505" s="69" t="s">
        <v>133</v>
      </c>
      <c r="Z505" s="69" t="s">
        <v>134</v>
      </c>
      <c r="AA505" s="68"/>
      <c r="AB505" s="68"/>
      <c r="AC505" s="70" t="s">
        <v>135</v>
      </c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</row>
    <row r="506">
      <c r="A506" s="55">
        <v>46170.0</v>
      </c>
      <c r="B506" s="56" t="s">
        <v>2871</v>
      </c>
      <c r="C506" s="57" t="s">
        <v>3610</v>
      </c>
      <c r="D506" s="57" t="s">
        <v>3611</v>
      </c>
      <c r="E506" s="58">
        <v>4793255330</v>
      </c>
      <c r="F506" s="59" t="s">
        <v>3612</v>
      </c>
      <c r="G506" s="28" t="str">
        <f>IF(NOT(ISERROR(MATCH(D506,'Tannbleking - Oppsalg US'!D:D, 0))), "Ja", "")</f>
        <v/>
      </c>
      <c r="H506" s="57" t="s">
        <v>50</v>
      </c>
      <c r="I506" s="57" t="s">
        <v>44</v>
      </c>
      <c r="J506" s="60"/>
      <c r="K506" s="61"/>
      <c r="L506" s="62" t="s">
        <v>128</v>
      </c>
      <c r="M506" s="63" t="s">
        <v>1605</v>
      </c>
      <c r="N506" s="64">
        <v>6.940562466737E12</v>
      </c>
      <c r="O506" s="65" t="str">
        <f t="shared" si="1"/>
        <v>28/05/2026</v>
      </c>
      <c r="P506" s="66">
        <f t="shared" si="2"/>
        <v>1779962400</v>
      </c>
      <c r="Q506" s="67"/>
      <c r="R506" s="65"/>
      <c r="S506" s="68"/>
      <c r="T506" s="61" t="s">
        <v>3613</v>
      </c>
      <c r="U506" s="61" t="s">
        <v>3614</v>
      </c>
      <c r="V506" s="61" t="s">
        <v>3615</v>
      </c>
      <c r="W506" s="68"/>
      <c r="X506" s="61" t="s">
        <v>132</v>
      </c>
      <c r="Y506" s="69" t="s">
        <v>133</v>
      </c>
      <c r="Z506" s="69" t="s">
        <v>134</v>
      </c>
      <c r="AA506" s="68"/>
      <c r="AB506" s="68"/>
      <c r="AC506" s="70" t="s">
        <v>135</v>
      </c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</row>
    <row r="507">
      <c r="A507" s="55">
        <v>46171.0</v>
      </c>
      <c r="B507" s="56" t="s">
        <v>3616</v>
      </c>
      <c r="C507" s="57" t="s">
        <v>3617</v>
      </c>
      <c r="D507" s="57" t="s">
        <v>3618</v>
      </c>
      <c r="E507" s="58">
        <v>4745902927</v>
      </c>
      <c r="F507" s="59" t="s">
        <v>3619</v>
      </c>
      <c r="G507" s="28" t="str">
        <f>IF(NOT(ISERROR(MATCH(D507,'Tannbleking - Oppsalg US'!D:D, 0))), "Ja", "")</f>
        <v/>
      </c>
      <c r="H507" s="57" t="s">
        <v>43</v>
      </c>
      <c r="I507" s="57" t="s">
        <v>322</v>
      </c>
      <c r="J507" s="60" t="s">
        <v>3620</v>
      </c>
      <c r="K507" s="61"/>
      <c r="L507" s="62" t="s">
        <v>128</v>
      </c>
      <c r="M507" s="63" t="s">
        <v>1954</v>
      </c>
      <c r="N507" s="64">
        <v>6.940562465937E12</v>
      </c>
      <c r="O507" s="65" t="str">
        <f t="shared" si="1"/>
        <v>29/05/2026</v>
      </c>
      <c r="P507" s="66">
        <f t="shared" si="2"/>
        <v>1780022520</v>
      </c>
      <c r="Q507" s="67"/>
      <c r="R507" s="65"/>
      <c r="S507" s="68"/>
      <c r="T507" s="61" t="s">
        <v>3621</v>
      </c>
      <c r="U507" s="61" t="s">
        <v>3622</v>
      </c>
      <c r="V507" s="61" t="s">
        <v>3623</v>
      </c>
      <c r="W507" s="68"/>
      <c r="X507" s="61" t="s">
        <v>132</v>
      </c>
      <c r="Y507" s="69" t="s">
        <v>133</v>
      </c>
      <c r="Z507" s="69" t="s">
        <v>134</v>
      </c>
      <c r="AA507" s="68"/>
      <c r="AB507" s="68"/>
      <c r="AC507" s="70" t="s">
        <v>135</v>
      </c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</row>
    <row r="508">
      <c r="A508" s="55">
        <v>46171.0</v>
      </c>
      <c r="B508" s="56" t="s">
        <v>3624</v>
      </c>
      <c r="C508" s="57" t="s">
        <v>3625</v>
      </c>
      <c r="D508" s="57" t="s">
        <v>3626</v>
      </c>
      <c r="E508" s="58">
        <v>4790743841</v>
      </c>
      <c r="F508" s="59" t="s">
        <v>3627</v>
      </c>
      <c r="G508" s="28" t="str">
        <f>IF(NOT(ISERROR(MATCH(D508,'Tannbleking - Oppsalg US'!D:D, 0))), "Ja", "")</f>
        <v/>
      </c>
      <c r="H508" s="57" t="s">
        <v>50</v>
      </c>
      <c r="I508" s="57" t="s">
        <v>44</v>
      </c>
      <c r="J508" s="60"/>
      <c r="K508" s="61"/>
      <c r="L508" s="62" t="s">
        <v>128</v>
      </c>
      <c r="M508" s="63" t="s">
        <v>1605</v>
      </c>
      <c r="N508" s="64">
        <v>6.940562466737E12</v>
      </c>
      <c r="O508" s="65" t="str">
        <f t="shared" si="1"/>
        <v>29/05/2026</v>
      </c>
      <c r="P508" s="66">
        <f t="shared" si="2"/>
        <v>1780075260</v>
      </c>
      <c r="Q508" s="67"/>
      <c r="R508" s="65"/>
      <c r="S508" s="68"/>
      <c r="T508" s="61" t="s">
        <v>3628</v>
      </c>
      <c r="U508" s="61" t="s">
        <v>3629</v>
      </c>
      <c r="V508" s="61" t="s">
        <v>3630</v>
      </c>
      <c r="W508" s="68"/>
      <c r="X508" s="61" t="s">
        <v>132</v>
      </c>
      <c r="Y508" s="69" t="s">
        <v>133</v>
      </c>
      <c r="Z508" s="69" t="s">
        <v>134</v>
      </c>
      <c r="AA508" s="68"/>
      <c r="AB508" s="68"/>
      <c r="AC508" s="70" t="s">
        <v>135</v>
      </c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</row>
    <row r="509">
      <c r="A509" s="55">
        <v>46172.0</v>
      </c>
      <c r="B509" s="56" t="s">
        <v>3631</v>
      </c>
      <c r="C509" s="57" t="s">
        <v>3632</v>
      </c>
      <c r="D509" s="57" t="s">
        <v>3633</v>
      </c>
      <c r="E509" s="58">
        <v>4798022094</v>
      </c>
      <c r="F509" s="59" t="s">
        <v>3634</v>
      </c>
      <c r="G509" s="28" t="str">
        <f>IF(NOT(ISERROR(MATCH(D509,'Tannbleking - Oppsalg US'!D:D, 0))), "Ja", "")</f>
        <v/>
      </c>
      <c r="H509" s="57" t="s">
        <v>50</v>
      </c>
      <c r="I509" s="57" t="s">
        <v>44</v>
      </c>
      <c r="J509" s="60"/>
      <c r="K509" s="61"/>
      <c r="L509" s="62" t="s">
        <v>128</v>
      </c>
      <c r="M509" s="63" t="s">
        <v>1605</v>
      </c>
      <c r="N509" s="64">
        <v>6.940562466737E12</v>
      </c>
      <c r="O509" s="65" t="str">
        <f t="shared" si="1"/>
        <v>30/05/2026</v>
      </c>
      <c r="P509" s="66">
        <f t="shared" si="2"/>
        <v>1780127640</v>
      </c>
      <c r="Q509" s="67"/>
      <c r="R509" s="65"/>
      <c r="S509" s="68"/>
      <c r="T509" s="61" t="s">
        <v>3635</v>
      </c>
      <c r="U509" s="61" t="s">
        <v>3636</v>
      </c>
      <c r="V509" s="61" t="s">
        <v>3637</v>
      </c>
      <c r="W509" s="68"/>
      <c r="X509" s="61" t="s">
        <v>132</v>
      </c>
      <c r="Y509" s="69" t="s">
        <v>133</v>
      </c>
      <c r="Z509" s="69" t="s">
        <v>134</v>
      </c>
      <c r="AA509" s="68"/>
      <c r="AB509" s="68"/>
      <c r="AC509" s="70" t="s">
        <v>135</v>
      </c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</row>
    <row r="510">
      <c r="A510" s="55">
        <v>46172.0</v>
      </c>
      <c r="B510" s="56" t="s">
        <v>226</v>
      </c>
      <c r="C510" s="57" t="s">
        <v>3638</v>
      </c>
      <c r="D510" s="57" t="s">
        <v>3639</v>
      </c>
      <c r="E510" s="58">
        <v>4746713395</v>
      </c>
      <c r="F510" s="59" t="s">
        <v>3640</v>
      </c>
      <c r="G510" s="71" t="str">
        <f>IF(NOT(ISERROR(MATCH(D510,'Tannbleking - Oppsalg US'!D:D, 0))), "Ja", "")</f>
        <v/>
      </c>
      <c r="H510" s="57" t="s">
        <v>43</v>
      </c>
      <c r="I510" s="57" t="s">
        <v>140</v>
      </c>
      <c r="J510" s="60"/>
      <c r="K510" s="61"/>
      <c r="L510" s="62" t="s">
        <v>128</v>
      </c>
      <c r="M510" s="63" t="s">
        <v>1605</v>
      </c>
      <c r="N510" s="64">
        <v>6.940562466737E12</v>
      </c>
      <c r="O510" s="65" t="str">
        <f t="shared" si="1"/>
        <v>30/05/2026</v>
      </c>
      <c r="P510" s="66">
        <f t="shared" si="2"/>
        <v>1780142100</v>
      </c>
      <c r="Q510" s="67"/>
      <c r="R510" s="65"/>
      <c r="S510" s="68"/>
      <c r="T510" s="61" t="s">
        <v>3641</v>
      </c>
      <c r="U510" s="61" t="s">
        <v>3642</v>
      </c>
      <c r="V510" s="61" t="s">
        <v>3643</v>
      </c>
      <c r="W510" s="68"/>
      <c r="X510" s="61" t="s">
        <v>132</v>
      </c>
      <c r="Y510" s="69" t="s">
        <v>133</v>
      </c>
      <c r="Z510" s="69" t="s">
        <v>134</v>
      </c>
      <c r="AA510" s="68"/>
      <c r="AB510" s="68"/>
      <c r="AC510" s="70" t="s">
        <v>135</v>
      </c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</row>
    <row r="511">
      <c r="A511" s="55">
        <v>46173.0</v>
      </c>
      <c r="B511" s="56" t="s">
        <v>973</v>
      </c>
      <c r="C511" s="71" t="s">
        <v>3644</v>
      </c>
      <c r="D511" s="71" t="s">
        <v>3645</v>
      </c>
      <c r="E511" s="72">
        <v>4745194786</v>
      </c>
      <c r="F511" s="59" t="s">
        <v>3646</v>
      </c>
      <c r="G511" s="28" t="str">
        <f>IF(NOT(ISERROR(MATCH(D511,'Tannbleking - Oppsalg US'!D:D, 0))), "Ja", "")</f>
        <v/>
      </c>
      <c r="H511" s="71" t="s">
        <v>50</v>
      </c>
      <c r="I511" s="71" t="s">
        <v>44</v>
      </c>
      <c r="J511" s="60"/>
      <c r="K511" s="61"/>
      <c r="L511" s="73" t="s">
        <v>128</v>
      </c>
      <c r="M511" s="74" t="s">
        <v>1605</v>
      </c>
      <c r="N511" s="64">
        <v>6.940562466737E12</v>
      </c>
      <c r="O511" s="65" t="str">
        <f t="shared" si="1"/>
        <v>31/05/2026</v>
      </c>
      <c r="P511" s="66">
        <f t="shared" si="2"/>
        <v>1780228560</v>
      </c>
      <c r="Q511" s="67"/>
      <c r="R511" s="65"/>
      <c r="S511" s="68"/>
      <c r="T511" s="68" t="s">
        <v>3647</v>
      </c>
      <c r="U511" s="68" t="s">
        <v>3648</v>
      </c>
      <c r="V511" s="68" t="s">
        <v>3649</v>
      </c>
      <c r="W511" s="68"/>
      <c r="X511" s="68" t="s">
        <v>132</v>
      </c>
      <c r="Y511" s="75" t="s">
        <v>133</v>
      </c>
      <c r="Z511" s="75" t="s">
        <v>134</v>
      </c>
      <c r="AA511" s="68"/>
      <c r="AB511" s="68"/>
      <c r="AC511" s="76" t="s">
        <v>151</v>
      </c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</row>
    <row r="512">
      <c r="A512" s="55">
        <v>46173.0</v>
      </c>
      <c r="B512" s="56" t="s">
        <v>3650</v>
      </c>
      <c r="C512" s="71" t="s">
        <v>3651</v>
      </c>
      <c r="D512" s="71" t="s">
        <v>3652</v>
      </c>
      <c r="E512" s="72">
        <v>4747392217</v>
      </c>
      <c r="F512" s="59" t="s">
        <v>3653</v>
      </c>
      <c r="G512" s="28" t="str">
        <f>IF(NOT(ISERROR(MATCH(D512,'Tannbleking - Oppsalg US'!D:D, 0))), "Ja", "")</f>
        <v/>
      </c>
      <c r="H512" s="71" t="s">
        <v>50</v>
      </c>
      <c r="I512" s="71" t="s">
        <v>44</v>
      </c>
      <c r="J512" s="60"/>
      <c r="K512" s="61"/>
      <c r="L512" s="73" t="s">
        <v>128</v>
      </c>
      <c r="M512" s="74" t="s">
        <v>1852</v>
      </c>
      <c r="N512" s="64">
        <v>6.940562465737E12</v>
      </c>
      <c r="O512" s="65" t="str">
        <f t="shared" si="1"/>
        <v>31/05/2026</v>
      </c>
      <c r="P512" s="66">
        <f t="shared" si="2"/>
        <v>1780233900</v>
      </c>
      <c r="Q512" s="67"/>
      <c r="R512" s="65"/>
      <c r="S512" s="68"/>
      <c r="T512" s="68" t="s">
        <v>3654</v>
      </c>
      <c r="U512" s="68" t="s">
        <v>3655</v>
      </c>
      <c r="V512" s="68" t="s">
        <v>3656</v>
      </c>
      <c r="W512" s="68"/>
      <c r="X512" s="68" t="s">
        <v>132</v>
      </c>
      <c r="Y512" s="75" t="s">
        <v>133</v>
      </c>
      <c r="Z512" s="75" t="s">
        <v>134</v>
      </c>
      <c r="AA512" s="68"/>
      <c r="AB512" s="68"/>
      <c r="AC512" s="76" t="s">
        <v>135</v>
      </c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</row>
    <row r="513">
      <c r="A513" s="55">
        <v>46174.0</v>
      </c>
      <c r="B513" s="56" t="s">
        <v>1652</v>
      </c>
      <c r="C513" s="71" t="s">
        <v>3657</v>
      </c>
      <c r="D513" s="71" t="s">
        <v>3658</v>
      </c>
      <c r="E513" s="72">
        <v>4790753454</v>
      </c>
      <c r="F513" s="59" t="s">
        <v>3659</v>
      </c>
      <c r="G513" s="28" t="str">
        <f>IF(NOT(ISERROR(MATCH(D513,'Tannbleking - Oppsalg US'!D:D, 0))), "Ja", "")</f>
        <v/>
      </c>
      <c r="H513" s="71" t="s">
        <v>50</v>
      </c>
      <c r="I513" s="71" t="s">
        <v>44</v>
      </c>
      <c r="J513" s="60"/>
      <c r="K513" s="61"/>
      <c r="L513" s="73" t="s">
        <v>128</v>
      </c>
      <c r="M513" s="74" t="s">
        <v>3380</v>
      </c>
      <c r="N513" s="64">
        <v>6.962923239337E12</v>
      </c>
      <c r="O513" s="65" t="str">
        <f t="shared" si="1"/>
        <v>01/06/2026</v>
      </c>
      <c r="P513" s="66">
        <f t="shared" si="2"/>
        <v>1780350120</v>
      </c>
      <c r="Q513" s="67"/>
      <c r="R513" s="65"/>
      <c r="S513" s="68"/>
      <c r="T513" s="68" t="s">
        <v>3660</v>
      </c>
      <c r="U513" s="68" t="s">
        <v>3661</v>
      </c>
      <c r="V513" s="68" t="s">
        <v>3662</v>
      </c>
      <c r="W513" s="68"/>
      <c r="X513" s="68" t="s">
        <v>132</v>
      </c>
      <c r="Y513" s="75" t="s">
        <v>133</v>
      </c>
      <c r="Z513" s="75" t="s">
        <v>134</v>
      </c>
      <c r="AA513" s="68"/>
      <c r="AB513" s="68"/>
      <c r="AC513" s="76" t="s">
        <v>135</v>
      </c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</row>
    <row r="514">
      <c r="A514" s="55">
        <v>46174.0</v>
      </c>
      <c r="B514" s="56" t="s">
        <v>3663</v>
      </c>
      <c r="C514" s="71" t="s">
        <v>3664</v>
      </c>
      <c r="D514" s="71" t="s">
        <v>3665</v>
      </c>
      <c r="E514" s="72">
        <v>4797035758</v>
      </c>
      <c r="F514" s="59" t="s">
        <v>3666</v>
      </c>
      <c r="G514" s="28" t="str">
        <f>IF(NOT(ISERROR(MATCH(D514,'Tannbleking - Oppsalg US'!D:D, 0))), "Ja", "")</f>
        <v/>
      </c>
      <c r="H514" s="71" t="s">
        <v>50</v>
      </c>
      <c r="I514" s="71" t="s">
        <v>107</v>
      </c>
      <c r="J514" s="60"/>
      <c r="K514" s="61"/>
      <c r="L514" s="73" t="s">
        <v>128</v>
      </c>
      <c r="M514" s="74" t="s">
        <v>3380</v>
      </c>
      <c r="N514" s="64">
        <v>6.962923239337E12</v>
      </c>
      <c r="O514" s="65" t="str">
        <f t="shared" si="1"/>
        <v>01/06/2026</v>
      </c>
      <c r="P514" s="66">
        <f t="shared" si="2"/>
        <v>1780354560</v>
      </c>
      <c r="Q514" s="67"/>
      <c r="R514" s="65"/>
      <c r="S514" s="68"/>
      <c r="T514" s="68" t="s">
        <v>3667</v>
      </c>
      <c r="U514" s="68" t="s">
        <v>3668</v>
      </c>
      <c r="V514" s="68" t="s">
        <v>3669</v>
      </c>
      <c r="W514" s="68"/>
      <c r="X514" s="68" t="s">
        <v>132</v>
      </c>
      <c r="Y514" s="75" t="s">
        <v>133</v>
      </c>
      <c r="Z514" s="75" t="s">
        <v>134</v>
      </c>
      <c r="AA514" s="68"/>
      <c r="AB514" s="68"/>
      <c r="AC514" s="76" t="s">
        <v>135</v>
      </c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</row>
    <row r="515">
      <c r="A515" s="55">
        <v>46175.0</v>
      </c>
      <c r="B515" s="56" t="s">
        <v>3670</v>
      </c>
      <c r="C515" s="71" t="s">
        <v>3671</v>
      </c>
      <c r="D515" s="71" t="s">
        <v>3672</v>
      </c>
      <c r="E515" s="72">
        <v>4745773517</v>
      </c>
      <c r="F515" s="59" t="s">
        <v>3673</v>
      </c>
      <c r="G515" s="28" t="str">
        <f>IF(NOT(ISERROR(MATCH(D515,'Tannbleking - Oppsalg US'!D:D, 0))), "Ja", "")</f>
        <v/>
      </c>
      <c r="H515" s="71" t="s">
        <v>50</v>
      </c>
      <c r="I515" s="71" t="s">
        <v>44</v>
      </c>
      <c r="J515" s="60"/>
      <c r="K515" s="61"/>
      <c r="L515" s="73" t="s">
        <v>128</v>
      </c>
      <c r="M515" s="74" t="s">
        <v>1836</v>
      </c>
      <c r="N515" s="64">
        <v>6.962923238737E12</v>
      </c>
      <c r="O515" s="65" t="str">
        <f t="shared" si="1"/>
        <v>02/06/2026</v>
      </c>
      <c r="P515" s="66">
        <f t="shared" si="2"/>
        <v>1780401540</v>
      </c>
      <c r="Q515" s="67"/>
      <c r="R515" s="65"/>
      <c r="S515" s="68"/>
      <c r="T515" s="68" t="s">
        <v>3674</v>
      </c>
      <c r="U515" s="68" t="s">
        <v>3675</v>
      </c>
      <c r="V515" s="68" t="s">
        <v>3676</v>
      </c>
      <c r="W515" s="68"/>
      <c r="X515" s="68" t="s">
        <v>132</v>
      </c>
      <c r="Y515" s="75" t="s">
        <v>133</v>
      </c>
      <c r="Z515" s="75" t="s">
        <v>134</v>
      </c>
      <c r="AA515" s="68"/>
      <c r="AB515" s="68"/>
      <c r="AC515" s="76" t="s">
        <v>135</v>
      </c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</row>
    <row r="516">
      <c r="A516" s="55">
        <v>46175.0</v>
      </c>
      <c r="B516" s="56" t="s">
        <v>2660</v>
      </c>
      <c r="C516" s="71" t="s">
        <v>3677</v>
      </c>
      <c r="D516" s="71" t="s">
        <v>3678</v>
      </c>
      <c r="E516" s="72">
        <v>9.0</v>
      </c>
      <c r="F516" s="59" t="s">
        <v>3679</v>
      </c>
      <c r="G516" s="28" t="str">
        <f>IF(NOT(ISERROR(MATCH(D516,'Tannbleking - Oppsalg US'!D:D, 0))), "Ja", "")</f>
        <v/>
      </c>
      <c r="H516" s="71" t="s">
        <v>50</v>
      </c>
      <c r="I516" s="71" t="s">
        <v>44</v>
      </c>
      <c r="J516" s="60" t="s">
        <v>3680</v>
      </c>
      <c r="K516" s="61"/>
      <c r="L516" s="73" t="s">
        <v>128</v>
      </c>
      <c r="M516" s="74" t="s">
        <v>1613</v>
      </c>
      <c r="N516" s="64">
        <v>6.962923238937E12</v>
      </c>
      <c r="O516" s="65" t="str">
        <f t="shared" si="1"/>
        <v>02/06/2026</v>
      </c>
      <c r="P516" s="66">
        <f t="shared" si="2"/>
        <v>1780423860</v>
      </c>
      <c r="Q516" s="67"/>
      <c r="R516" s="65"/>
      <c r="S516" s="68"/>
      <c r="T516" s="68" t="s">
        <v>3681</v>
      </c>
      <c r="U516" s="68" t="s">
        <v>3682</v>
      </c>
      <c r="V516" s="68" t="s">
        <v>3683</v>
      </c>
      <c r="W516" s="68"/>
      <c r="X516" s="68" t="s">
        <v>132</v>
      </c>
      <c r="Y516" s="75" t="s">
        <v>133</v>
      </c>
      <c r="Z516" s="75" t="s">
        <v>134</v>
      </c>
      <c r="AA516" s="68"/>
      <c r="AB516" s="68"/>
      <c r="AC516" s="76" t="s">
        <v>135</v>
      </c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</row>
    <row r="517">
      <c r="A517" s="55">
        <v>46176.0</v>
      </c>
      <c r="B517" s="56" t="s">
        <v>3477</v>
      </c>
      <c r="C517" s="71" t="s">
        <v>3684</v>
      </c>
      <c r="D517" s="71" t="s">
        <v>3685</v>
      </c>
      <c r="E517" s="72">
        <v>4746961645</v>
      </c>
      <c r="F517" s="59" t="s">
        <v>3686</v>
      </c>
      <c r="G517" s="28" t="str">
        <f>IF(NOT(ISERROR(MATCH(D517,'Tannbleking - Oppsalg US'!D:D, 0))), "Ja", "")</f>
        <v/>
      </c>
      <c r="H517" s="71" t="s">
        <v>50</v>
      </c>
      <c r="I517" s="71" t="s">
        <v>140</v>
      </c>
      <c r="J517" s="77">
        <v>46181.379166666666</v>
      </c>
      <c r="K517" s="61"/>
      <c r="L517" s="73" t="s">
        <v>128</v>
      </c>
      <c r="M517" s="74" t="s">
        <v>1621</v>
      </c>
      <c r="N517" s="64">
        <v>6.962923238137E12</v>
      </c>
      <c r="O517" s="65" t="str">
        <f t="shared" si="1"/>
        <v>03/06/2026</v>
      </c>
      <c r="P517" s="66">
        <f t="shared" si="2"/>
        <v>1780509240</v>
      </c>
      <c r="Q517" s="67"/>
      <c r="R517" s="65"/>
      <c r="S517" s="68"/>
      <c r="T517" s="68" t="s">
        <v>3687</v>
      </c>
      <c r="U517" s="68" t="s">
        <v>3688</v>
      </c>
      <c r="V517" s="68" t="s">
        <v>3689</v>
      </c>
      <c r="W517" s="68"/>
      <c r="X517" s="68" t="s">
        <v>132</v>
      </c>
      <c r="Y517" s="75" t="s">
        <v>133</v>
      </c>
      <c r="Z517" s="75" t="s">
        <v>134</v>
      </c>
      <c r="AA517" s="68"/>
      <c r="AB517" s="68"/>
      <c r="AC517" s="76" t="s">
        <v>135</v>
      </c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</row>
    <row r="518">
      <c r="A518" s="55">
        <v>46176.0</v>
      </c>
      <c r="B518" s="56" t="s">
        <v>3690</v>
      </c>
      <c r="C518" s="71" t="s">
        <v>3691</v>
      </c>
      <c r="D518" s="71" t="s">
        <v>3692</v>
      </c>
      <c r="E518" s="72">
        <v>4797976554</v>
      </c>
      <c r="F518" s="59" t="s">
        <v>3693</v>
      </c>
      <c r="G518" s="28" t="str">
        <f>IF(NOT(ISERROR(MATCH(D518,'Tannbleking - Oppsalg US'!D:D, 0))), "Ja", "")</f>
        <v/>
      </c>
      <c r="H518" s="71" t="s">
        <v>50</v>
      </c>
      <c r="I518" s="71" t="s">
        <v>44</v>
      </c>
      <c r="J518" s="60"/>
      <c r="K518" s="61"/>
      <c r="L518" s="68"/>
      <c r="M518" s="68"/>
      <c r="N518" s="65"/>
      <c r="O518" s="65" t="str">
        <f t="shared" si="1"/>
        <v>03/06/2026</v>
      </c>
      <c r="P518" s="66">
        <f t="shared" si="2"/>
        <v>1780511820</v>
      </c>
      <c r="Q518" s="67"/>
      <c r="R518" s="65"/>
      <c r="S518" s="68"/>
      <c r="T518" s="68" t="s">
        <v>3694</v>
      </c>
      <c r="U518" s="68" t="s">
        <v>3695</v>
      </c>
      <c r="V518" s="68" t="s">
        <v>3696</v>
      </c>
      <c r="W518" s="68"/>
      <c r="X518" s="68" t="s">
        <v>132</v>
      </c>
      <c r="Y518" s="75" t="s">
        <v>133</v>
      </c>
      <c r="Z518" s="75" t="s">
        <v>134</v>
      </c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</row>
    <row r="519">
      <c r="A519" s="55">
        <v>46177.0</v>
      </c>
      <c r="B519" s="56" t="s">
        <v>3697</v>
      </c>
      <c r="C519" s="71" t="s">
        <v>3698</v>
      </c>
      <c r="D519" s="71" t="s">
        <v>3699</v>
      </c>
      <c r="E519" s="72">
        <v>4740845572</v>
      </c>
      <c r="F519" s="59" t="s">
        <v>3700</v>
      </c>
      <c r="G519" s="28" t="str">
        <f>IF(NOT(ISERROR(MATCH(D519,'Tannbleking - Oppsalg US'!D:D, 0))), "Ja", "")</f>
        <v/>
      </c>
      <c r="H519" s="71" t="s">
        <v>50</v>
      </c>
      <c r="I519" s="71" t="s">
        <v>44</v>
      </c>
      <c r="J519" s="60"/>
      <c r="K519" s="61"/>
      <c r="L519" s="73" t="s">
        <v>128</v>
      </c>
      <c r="M519" s="74" t="s">
        <v>3380</v>
      </c>
      <c r="N519" s="64">
        <v>6.962923239337E12</v>
      </c>
      <c r="O519" s="65" t="str">
        <f t="shared" si="1"/>
        <v>04/06/2026</v>
      </c>
      <c r="P519" s="66">
        <f t="shared" si="2"/>
        <v>1780594320</v>
      </c>
      <c r="Q519" s="67"/>
      <c r="R519" s="65"/>
      <c r="S519" s="68"/>
      <c r="T519" s="68" t="s">
        <v>3701</v>
      </c>
      <c r="U519" s="68" t="s">
        <v>3702</v>
      </c>
      <c r="V519" s="68" t="s">
        <v>3703</v>
      </c>
      <c r="W519" s="68"/>
      <c r="X519" s="68" t="s">
        <v>132</v>
      </c>
      <c r="Y519" s="75" t="s">
        <v>133</v>
      </c>
      <c r="Z519" s="75" t="s">
        <v>134</v>
      </c>
      <c r="AA519" s="68"/>
      <c r="AB519" s="68"/>
      <c r="AC519" s="76" t="s">
        <v>423</v>
      </c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</row>
    <row r="520">
      <c r="A520" s="55">
        <v>46178.0</v>
      </c>
      <c r="B520" s="56" t="s">
        <v>295</v>
      </c>
      <c r="C520" s="71" t="s">
        <v>3704</v>
      </c>
      <c r="D520" s="71" t="s">
        <v>3705</v>
      </c>
      <c r="E520" s="72">
        <v>4797854654</v>
      </c>
      <c r="F520" s="59" t="s">
        <v>3706</v>
      </c>
      <c r="G520" s="71" t="str">
        <f>IF(NOT(ISERROR(MATCH(D520,'Tannbleking - Oppsalg US'!D:D, 0))), "Ja", "")</f>
        <v/>
      </c>
      <c r="H520" s="71" t="s">
        <v>90</v>
      </c>
      <c r="I520" s="71" t="s">
        <v>44</v>
      </c>
      <c r="J520" s="60" t="s">
        <v>3707</v>
      </c>
      <c r="K520" s="61"/>
      <c r="L520" s="73" t="s">
        <v>128</v>
      </c>
      <c r="M520" s="74" t="s">
        <v>1605</v>
      </c>
      <c r="N520" s="64">
        <v>6.962923239537E12</v>
      </c>
      <c r="O520" s="65" t="str">
        <f t="shared" si="1"/>
        <v>05/06/2026</v>
      </c>
      <c r="P520" s="66">
        <f t="shared" si="2"/>
        <v>1780659960</v>
      </c>
      <c r="Q520" s="67"/>
      <c r="R520" s="65"/>
      <c r="S520" s="68"/>
      <c r="T520" s="68" t="s">
        <v>3708</v>
      </c>
      <c r="U520" s="68" t="s">
        <v>3709</v>
      </c>
      <c r="V520" s="68" t="s">
        <v>3710</v>
      </c>
      <c r="W520" s="68"/>
      <c r="X520" s="68" t="s">
        <v>132</v>
      </c>
      <c r="Y520" s="75" t="s">
        <v>133</v>
      </c>
      <c r="Z520" s="75" t="s">
        <v>134</v>
      </c>
      <c r="AA520" s="68"/>
      <c r="AB520" s="68"/>
      <c r="AC520" s="76" t="s">
        <v>144</v>
      </c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</row>
    <row r="521">
      <c r="A521" s="55">
        <v>46178.0</v>
      </c>
      <c r="B521" s="56" t="s">
        <v>3711</v>
      </c>
      <c r="C521" s="71" t="s">
        <v>3712</v>
      </c>
      <c r="D521" s="71" t="s">
        <v>3713</v>
      </c>
      <c r="E521" s="72">
        <v>4791393270</v>
      </c>
      <c r="F521" s="59" t="s">
        <v>3714</v>
      </c>
      <c r="G521" s="28" t="str">
        <f>IF(NOT(ISERROR(MATCH(D521,'Tannbleking - Oppsalg US'!D:D, 0))), "Ja", "")</f>
        <v/>
      </c>
      <c r="H521" s="71" t="s">
        <v>50</v>
      </c>
      <c r="I521" s="71" t="s">
        <v>44</v>
      </c>
      <c r="J521" s="60"/>
      <c r="K521" s="61"/>
      <c r="L521" s="73" t="s">
        <v>128</v>
      </c>
      <c r="M521" s="74" t="s">
        <v>1708</v>
      </c>
      <c r="N521" s="64">
        <v>6.962923237537E12</v>
      </c>
      <c r="O521" s="65" t="str">
        <f t="shared" si="1"/>
        <v>05/06/2026</v>
      </c>
      <c r="P521" s="66">
        <f t="shared" si="2"/>
        <v>1780682700</v>
      </c>
      <c r="Q521" s="67"/>
      <c r="R521" s="65"/>
      <c r="S521" s="68"/>
      <c r="T521" s="68" t="s">
        <v>3715</v>
      </c>
      <c r="U521" s="68" t="s">
        <v>3716</v>
      </c>
      <c r="V521" s="68" t="s">
        <v>3717</v>
      </c>
      <c r="W521" s="68"/>
      <c r="X521" s="68" t="s">
        <v>132</v>
      </c>
      <c r="Y521" s="75" t="s">
        <v>133</v>
      </c>
      <c r="Z521" s="75" t="s">
        <v>134</v>
      </c>
      <c r="AA521" s="68"/>
      <c r="AB521" s="68"/>
      <c r="AC521" s="76" t="s">
        <v>144</v>
      </c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</row>
    <row r="522">
      <c r="A522" s="55">
        <v>46179.0</v>
      </c>
      <c r="B522" s="56" t="s">
        <v>3718</v>
      </c>
      <c r="C522" s="71" t="s">
        <v>3719</v>
      </c>
      <c r="D522" s="71" t="s">
        <v>3720</v>
      </c>
      <c r="E522" s="72">
        <v>4748681091</v>
      </c>
      <c r="F522" s="59" t="s">
        <v>3721</v>
      </c>
      <c r="G522" s="28" t="str">
        <f>IF(NOT(ISERROR(MATCH(D522,'Tannbleking - Oppsalg US'!D:D, 0))), "Ja", "")</f>
        <v/>
      </c>
      <c r="H522" s="71" t="s">
        <v>90</v>
      </c>
      <c r="I522" s="71" t="s">
        <v>44</v>
      </c>
      <c r="J522" s="60"/>
      <c r="K522" s="61"/>
      <c r="L522" s="73" t="s">
        <v>128</v>
      </c>
      <c r="M522" s="74" t="s">
        <v>1605</v>
      </c>
      <c r="N522" s="64">
        <v>6.962923239537E12</v>
      </c>
      <c r="O522" s="65" t="str">
        <f t="shared" si="1"/>
        <v>06/06/2026</v>
      </c>
      <c r="P522" s="66">
        <f t="shared" si="2"/>
        <v>1780705020</v>
      </c>
      <c r="Q522" s="67"/>
      <c r="R522" s="65"/>
      <c r="S522" s="68"/>
      <c r="T522" s="68" t="s">
        <v>3722</v>
      </c>
      <c r="U522" s="68" t="s">
        <v>3723</v>
      </c>
      <c r="V522" s="68" t="s">
        <v>3724</v>
      </c>
      <c r="W522" s="68"/>
      <c r="X522" s="68" t="s">
        <v>132</v>
      </c>
      <c r="Y522" s="75" t="s">
        <v>133</v>
      </c>
      <c r="Z522" s="75" t="s">
        <v>134</v>
      </c>
      <c r="AA522" s="68"/>
      <c r="AB522" s="68"/>
      <c r="AC522" s="76" t="s">
        <v>144</v>
      </c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</row>
    <row r="523">
      <c r="A523" s="55">
        <v>46179.0</v>
      </c>
      <c r="B523" s="56" t="s">
        <v>3725</v>
      </c>
      <c r="C523" s="71" t="s">
        <v>3726</v>
      </c>
      <c r="D523" s="71" t="s">
        <v>3727</v>
      </c>
      <c r="E523" s="72">
        <v>4796717143</v>
      </c>
      <c r="F523" s="59" t="s">
        <v>3728</v>
      </c>
      <c r="G523" s="28" t="str">
        <f>IF(NOT(ISERROR(MATCH(D523,'Tannbleking - Oppsalg US'!D:D, 0))), "Ja", "")</f>
        <v/>
      </c>
      <c r="H523" s="71" t="s">
        <v>50</v>
      </c>
      <c r="I523" s="71" t="s">
        <v>107</v>
      </c>
      <c r="J523" s="60"/>
      <c r="K523" s="61"/>
      <c r="L523" s="73" t="s">
        <v>128</v>
      </c>
      <c r="M523" s="74" t="s">
        <v>1954</v>
      </c>
      <c r="N523" s="64">
        <v>6.962923238537E12</v>
      </c>
      <c r="O523" s="65" t="str">
        <f t="shared" si="1"/>
        <v>06/06/2026</v>
      </c>
      <c r="P523" s="66">
        <f t="shared" si="2"/>
        <v>1780748940</v>
      </c>
      <c r="Q523" s="67"/>
      <c r="R523" s="65"/>
      <c r="S523" s="68"/>
      <c r="T523" s="68" t="s">
        <v>3729</v>
      </c>
      <c r="U523" s="68" t="s">
        <v>3730</v>
      </c>
      <c r="V523" s="68" t="s">
        <v>3731</v>
      </c>
      <c r="W523" s="68"/>
      <c r="X523" s="68" t="s">
        <v>132</v>
      </c>
      <c r="Y523" s="75" t="s">
        <v>133</v>
      </c>
      <c r="Z523" s="75" t="s">
        <v>134</v>
      </c>
      <c r="AA523" s="68"/>
      <c r="AB523" s="68"/>
      <c r="AC523" s="76" t="s">
        <v>135</v>
      </c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</row>
    <row r="524">
      <c r="A524" s="55">
        <v>46180.0</v>
      </c>
      <c r="B524" s="56" t="s">
        <v>3732</v>
      </c>
      <c r="C524" s="71" t="s">
        <v>3733</v>
      </c>
      <c r="D524" s="71" t="s">
        <v>3734</v>
      </c>
      <c r="E524" s="72">
        <v>4795496429</v>
      </c>
      <c r="F524" s="59" t="s">
        <v>3735</v>
      </c>
      <c r="G524" s="28" t="str">
        <f>IF(NOT(ISERROR(MATCH(D524,'Tannbleking - Oppsalg US'!D:D, 0))), "Ja", "")</f>
        <v/>
      </c>
      <c r="H524" s="71" t="s">
        <v>50</v>
      </c>
      <c r="I524" s="71" t="s">
        <v>44</v>
      </c>
      <c r="J524" s="60"/>
      <c r="K524" s="61"/>
      <c r="L524" s="73" t="s">
        <v>128</v>
      </c>
      <c r="M524" s="74" t="s">
        <v>1954</v>
      </c>
      <c r="N524" s="64">
        <v>6.962923238537E12</v>
      </c>
      <c r="O524" s="65" t="str">
        <f t="shared" si="1"/>
        <v>07/06/2026</v>
      </c>
      <c r="P524" s="66">
        <f t="shared" si="2"/>
        <v>1780820220</v>
      </c>
      <c r="Q524" s="67"/>
      <c r="R524" s="65"/>
      <c r="S524" s="68"/>
      <c r="T524" s="68" t="s">
        <v>3736</v>
      </c>
      <c r="U524" s="68" t="s">
        <v>3737</v>
      </c>
      <c r="V524" s="68" t="s">
        <v>3738</v>
      </c>
      <c r="W524" s="68"/>
      <c r="X524" s="68" t="s">
        <v>132</v>
      </c>
      <c r="Y524" s="75" t="s">
        <v>133</v>
      </c>
      <c r="Z524" s="75" t="s">
        <v>134</v>
      </c>
      <c r="AA524" s="68"/>
      <c r="AB524" s="68"/>
      <c r="AC524" s="76" t="s">
        <v>135</v>
      </c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</row>
    <row r="525">
      <c r="A525" s="55">
        <v>46180.0</v>
      </c>
      <c r="B525" s="56" t="s">
        <v>3739</v>
      </c>
      <c r="C525" s="71" t="s">
        <v>3740</v>
      </c>
      <c r="D525" s="71" t="s">
        <v>3741</v>
      </c>
      <c r="E525" s="72">
        <v>4745442358</v>
      </c>
      <c r="F525" s="59" t="s">
        <v>3742</v>
      </c>
      <c r="G525" s="28" t="str">
        <f>IF(NOT(ISERROR(MATCH(D525,'Tannbleking - Oppsalg US'!D:D, 0))), "Ja", "")</f>
        <v/>
      </c>
      <c r="H525" s="71" t="s">
        <v>50</v>
      </c>
      <c r="I525" s="71" t="s">
        <v>44</v>
      </c>
      <c r="J525" s="60"/>
      <c r="K525" s="61"/>
      <c r="L525" s="73" t="s">
        <v>128</v>
      </c>
      <c r="M525" s="74" t="s">
        <v>1598</v>
      </c>
      <c r="N525" s="64">
        <v>6.962923240337E12</v>
      </c>
      <c r="O525" s="65" t="str">
        <f t="shared" si="1"/>
        <v>07/06/2026</v>
      </c>
      <c r="P525" s="66">
        <f t="shared" si="2"/>
        <v>1780841040</v>
      </c>
      <c r="Q525" s="67"/>
      <c r="R525" s="65"/>
      <c r="S525" s="68"/>
      <c r="T525" s="68" t="s">
        <v>3743</v>
      </c>
      <c r="U525" s="68" t="s">
        <v>3744</v>
      </c>
      <c r="V525" s="68" t="s">
        <v>3745</v>
      </c>
      <c r="W525" s="68"/>
      <c r="X525" s="68" t="s">
        <v>132</v>
      </c>
      <c r="Y525" s="75" t="s">
        <v>133</v>
      </c>
      <c r="Z525" s="75" t="s">
        <v>134</v>
      </c>
      <c r="AA525" s="68"/>
      <c r="AB525" s="68"/>
      <c r="AC525" s="76" t="s">
        <v>135</v>
      </c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</row>
    <row r="526">
      <c r="A526" s="55">
        <v>46180.0</v>
      </c>
      <c r="B526" s="56" t="s">
        <v>3746</v>
      </c>
      <c r="C526" s="71" t="s">
        <v>3747</v>
      </c>
      <c r="D526" s="71" t="s">
        <v>3748</v>
      </c>
      <c r="E526" s="72">
        <v>4796862143</v>
      </c>
      <c r="F526" s="59" t="s">
        <v>3749</v>
      </c>
      <c r="G526" s="28" t="str">
        <f>IF(NOT(ISERROR(MATCH(D526,'Tannbleking - Oppsalg US'!D:D, 0))), "Ja", "")</f>
        <v/>
      </c>
      <c r="H526" s="71" t="s">
        <v>50</v>
      </c>
      <c r="I526" s="71" t="s">
        <v>44</v>
      </c>
      <c r="J526" s="60"/>
      <c r="K526" s="61"/>
      <c r="L526" s="73" t="s">
        <v>128</v>
      </c>
      <c r="M526" s="74" t="s">
        <v>1598</v>
      </c>
      <c r="N526" s="64">
        <v>6.962923240337E12</v>
      </c>
      <c r="O526" s="65" t="str">
        <f t="shared" si="1"/>
        <v>07/06/2026</v>
      </c>
      <c r="P526" s="66">
        <f t="shared" si="2"/>
        <v>1780853820</v>
      </c>
      <c r="Q526" s="67"/>
      <c r="R526" s="65"/>
      <c r="S526" s="68"/>
      <c r="T526" s="68" t="s">
        <v>3750</v>
      </c>
      <c r="U526" s="68" t="s">
        <v>3751</v>
      </c>
      <c r="V526" s="68" t="s">
        <v>3752</v>
      </c>
      <c r="W526" s="68"/>
      <c r="X526" s="68" t="s">
        <v>132</v>
      </c>
      <c r="Y526" s="75" t="s">
        <v>133</v>
      </c>
      <c r="Z526" s="75" t="s">
        <v>134</v>
      </c>
      <c r="AA526" s="68"/>
      <c r="AB526" s="68"/>
      <c r="AC526" s="76" t="s">
        <v>135</v>
      </c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</row>
    <row r="527">
      <c r="A527" s="55">
        <v>46181.0</v>
      </c>
      <c r="B527" s="56" t="s">
        <v>2917</v>
      </c>
      <c r="C527" s="71" t="s">
        <v>3753</v>
      </c>
      <c r="D527" s="71" t="s">
        <v>3754</v>
      </c>
      <c r="E527" s="72">
        <v>4796868678</v>
      </c>
      <c r="F527" s="59" t="s">
        <v>3755</v>
      </c>
      <c r="G527" s="71" t="str">
        <f>IF(NOT(ISERROR(MATCH(D527,'Tannbleking - Oppsalg US'!D:D, 0))), "Ja", "")</f>
        <v/>
      </c>
      <c r="H527" s="71" t="s">
        <v>50</v>
      </c>
      <c r="I527" s="71" t="s">
        <v>44</v>
      </c>
      <c r="J527" s="60" t="s">
        <v>127</v>
      </c>
      <c r="K527" s="61"/>
      <c r="L527" s="73" t="s">
        <v>128</v>
      </c>
      <c r="M527" s="74" t="s">
        <v>1605</v>
      </c>
      <c r="N527" s="64">
        <v>6.962923239537E12</v>
      </c>
      <c r="O527" s="65" t="str">
        <f t="shared" si="1"/>
        <v>08/06/2026</v>
      </c>
      <c r="P527" s="66">
        <f t="shared" si="2"/>
        <v>1780882440</v>
      </c>
      <c r="Q527" s="67"/>
      <c r="R527" s="65"/>
      <c r="S527" s="68"/>
      <c r="T527" s="68" t="s">
        <v>3756</v>
      </c>
      <c r="U527" s="68" t="s">
        <v>3757</v>
      </c>
      <c r="V527" s="68" t="s">
        <v>3758</v>
      </c>
      <c r="W527" s="68"/>
      <c r="X527" s="68" t="s">
        <v>132</v>
      </c>
      <c r="Y527" s="75" t="s">
        <v>133</v>
      </c>
      <c r="Z527" s="75" t="s">
        <v>134</v>
      </c>
      <c r="AA527" s="68"/>
      <c r="AB527" s="68"/>
      <c r="AC527" s="76" t="s">
        <v>135</v>
      </c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</row>
    <row r="528">
      <c r="A528" s="55">
        <v>46181.0</v>
      </c>
      <c r="B528" s="56" t="s">
        <v>2236</v>
      </c>
      <c r="C528" s="71" t="s">
        <v>3759</v>
      </c>
      <c r="D528" s="71" t="s">
        <v>3760</v>
      </c>
      <c r="E528" s="72">
        <v>4791517282</v>
      </c>
      <c r="F528" s="59" t="s">
        <v>3761</v>
      </c>
      <c r="G528" s="28" t="str">
        <f>IF(NOT(ISERROR(MATCH(D528,'Tannbleking - Oppsalg US'!D:D, 0))), "Ja", "")</f>
        <v/>
      </c>
      <c r="H528" s="71" t="s">
        <v>50</v>
      </c>
      <c r="I528" s="71" t="s">
        <v>107</v>
      </c>
      <c r="J528" s="60" t="s">
        <v>3762</v>
      </c>
      <c r="K528" s="61"/>
      <c r="L528" s="73" t="s">
        <v>128</v>
      </c>
      <c r="M528" s="74" t="s">
        <v>1605</v>
      </c>
      <c r="N528" s="64">
        <v>6.962923239537E12</v>
      </c>
      <c r="O528" s="65" t="str">
        <f t="shared" si="1"/>
        <v>08/06/2026</v>
      </c>
      <c r="P528" s="66">
        <f t="shared" si="2"/>
        <v>1780907940</v>
      </c>
      <c r="Q528" s="67"/>
      <c r="R528" s="65"/>
      <c r="S528" s="68"/>
      <c r="T528" s="68" t="s">
        <v>3763</v>
      </c>
      <c r="U528" s="68" t="s">
        <v>3764</v>
      </c>
      <c r="V528" s="68" t="s">
        <v>3765</v>
      </c>
      <c r="W528" s="68"/>
      <c r="X528" s="68" t="s">
        <v>132</v>
      </c>
      <c r="Y528" s="75" t="s">
        <v>133</v>
      </c>
      <c r="Z528" s="75" t="s">
        <v>134</v>
      </c>
      <c r="AA528" s="68"/>
      <c r="AB528" s="68"/>
      <c r="AC528" s="76" t="s">
        <v>280</v>
      </c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</row>
    <row r="529">
      <c r="A529" s="55">
        <v>46182.0</v>
      </c>
      <c r="B529" s="56" t="s">
        <v>943</v>
      </c>
      <c r="C529" s="71" t="s">
        <v>3766</v>
      </c>
      <c r="D529" s="71" t="s">
        <v>3767</v>
      </c>
      <c r="E529" s="72">
        <v>4798630545</v>
      </c>
      <c r="F529" s="59" t="s">
        <v>3768</v>
      </c>
      <c r="G529" s="28" t="str">
        <f>IF(NOT(ISERROR(MATCH(D529,'Tannbleking - Oppsalg US'!D:D, 0))), "Ja", "")</f>
        <v/>
      </c>
      <c r="H529" s="71" t="s">
        <v>50</v>
      </c>
      <c r="I529" s="71" t="s">
        <v>72</v>
      </c>
      <c r="J529" s="77">
        <v>46182.42083333333</v>
      </c>
      <c r="K529" s="61"/>
      <c r="L529" s="73" t="s">
        <v>128</v>
      </c>
      <c r="M529" s="74" t="s">
        <v>1954</v>
      </c>
      <c r="N529" s="64">
        <v>6.962923238537E12</v>
      </c>
      <c r="O529" s="65" t="str">
        <f t="shared" si="1"/>
        <v>09/06/2026</v>
      </c>
      <c r="P529" s="66">
        <f t="shared" si="2"/>
        <v>1780999800</v>
      </c>
      <c r="Q529" s="67"/>
      <c r="R529" s="65"/>
      <c r="S529" s="68"/>
      <c r="T529" s="68" t="s">
        <v>3769</v>
      </c>
      <c r="U529" s="68" t="s">
        <v>3770</v>
      </c>
      <c r="V529" s="68" t="s">
        <v>3771</v>
      </c>
      <c r="W529" s="68"/>
      <c r="X529" s="68" t="s">
        <v>132</v>
      </c>
      <c r="Y529" s="75" t="s">
        <v>133</v>
      </c>
      <c r="Z529" s="75" t="s">
        <v>134</v>
      </c>
      <c r="AA529" s="68"/>
      <c r="AB529" s="68"/>
      <c r="AC529" s="76" t="s">
        <v>135</v>
      </c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</row>
    <row r="530">
      <c r="A530" s="55">
        <v>46182.0</v>
      </c>
      <c r="B530" s="56" t="s">
        <v>2042</v>
      </c>
      <c r="C530" s="71" t="s">
        <v>3772</v>
      </c>
      <c r="D530" s="71" t="s">
        <v>3773</v>
      </c>
      <c r="E530" s="72">
        <v>4792050218</v>
      </c>
      <c r="F530" s="59" t="s">
        <v>3774</v>
      </c>
      <c r="G530" s="28" t="str">
        <f>IF(NOT(ISERROR(MATCH(D530,'Tannbleking - Oppsalg US'!D:D, 0))), "Ja", "")</f>
        <v/>
      </c>
      <c r="H530" s="71" t="s">
        <v>50</v>
      </c>
      <c r="I530" s="71" t="s">
        <v>44</v>
      </c>
      <c r="J530" s="60"/>
      <c r="K530" s="61"/>
      <c r="L530" s="73" t="s">
        <v>128</v>
      </c>
      <c r="M530" s="74" t="s">
        <v>1731</v>
      </c>
      <c r="N530" s="64">
        <v>6.962923240137E12</v>
      </c>
      <c r="O530" s="65" t="str">
        <f t="shared" si="1"/>
        <v>09/06/2026</v>
      </c>
      <c r="P530" s="66">
        <f t="shared" si="2"/>
        <v>1781010720</v>
      </c>
      <c r="Q530" s="67"/>
      <c r="R530" s="65"/>
      <c r="S530" s="68"/>
      <c r="T530" s="68" t="s">
        <v>3775</v>
      </c>
      <c r="U530" s="68" t="s">
        <v>3776</v>
      </c>
      <c r="V530" s="68" t="s">
        <v>3777</v>
      </c>
      <c r="W530" s="68"/>
      <c r="X530" s="68" t="s">
        <v>132</v>
      </c>
      <c r="Y530" s="75" t="s">
        <v>133</v>
      </c>
      <c r="Z530" s="75" t="s">
        <v>134</v>
      </c>
      <c r="AA530" s="68"/>
      <c r="AB530" s="68"/>
      <c r="AC530" s="76" t="s">
        <v>423</v>
      </c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</row>
    <row r="531">
      <c r="A531" s="55">
        <v>46183.0</v>
      </c>
      <c r="B531" s="56" t="s">
        <v>3778</v>
      </c>
      <c r="C531" s="71" t="s">
        <v>3779</v>
      </c>
      <c r="D531" s="71" t="s">
        <v>3780</v>
      </c>
      <c r="E531" s="72">
        <v>4740597593</v>
      </c>
      <c r="F531" s="59" t="s">
        <v>3781</v>
      </c>
      <c r="G531" s="28" t="str">
        <f>IF(NOT(ISERROR(MATCH(D531,'Tannbleking - Oppsalg US'!D:D, 0))), "Ja", "")</f>
        <v/>
      </c>
      <c r="H531" s="71" t="s">
        <v>50</v>
      </c>
      <c r="I531" s="71" t="s">
        <v>44</v>
      </c>
      <c r="J531" s="60"/>
      <c r="K531" s="61"/>
      <c r="L531" s="73" t="s">
        <v>128</v>
      </c>
      <c r="M531" s="74" t="s">
        <v>1731</v>
      </c>
      <c r="N531" s="64">
        <v>6.962923240137E12</v>
      </c>
      <c r="O531" s="65" t="str">
        <f t="shared" si="1"/>
        <v>10/06/2026</v>
      </c>
      <c r="P531" s="66">
        <f t="shared" si="2"/>
        <v>1781051640</v>
      </c>
      <c r="Q531" s="67"/>
      <c r="R531" s="65"/>
      <c r="S531" s="68"/>
      <c r="T531" s="68" t="s">
        <v>3782</v>
      </c>
      <c r="U531" s="68" t="s">
        <v>3783</v>
      </c>
      <c r="V531" s="68" t="s">
        <v>3784</v>
      </c>
      <c r="W531" s="68"/>
      <c r="X531" s="68" t="s">
        <v>132</v>
      </c>
      <c r="Y531" s="75" t="s">
        <v>133</v>
      </c>
      <c r="Z531" s="75" t="s">
        <v>134</v>
      </c>
      <c r="AA531" s="68"/>
      <c r="AB531" s="68"/>
      <c r="AC531" s="76" t="s">
        <v>135</v>
      </c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</row>
    <row r="532">
      <c r="A532" s="55">
        <v>46183.0</v>
      </c>
      <c r="B532" s="56" t="s">
        <v>1359</v>
      </c>
      <c r="C532" s="71" t="s">
        <v>3785</v>
      </c>
      <c r="D532" s="71" t="s">
        <v>3786</v>
      </c>
      <c r="E532" s="72">
        <v>4740566212</v>
      </c>
      <c r="F532" s="59" t="s">
        <v>3787</v>
      </c>
      <c r="G532" s="28" t="str">
        <f>IF(NOT(ISERROR(MATCH(D532,'Tannbleking - Oppsalg US'!D:D, 0))), "Ja", "")</f>
        <v/>
      </c>
      <c r="H532" s="71" t="s">
        <v>90</v>
      </c>
      <c r="I532" s="71" t="s">
        <v>107</v>
      </c>
      <c r="J532" s="60"/>
      <c r="K532" s="61"/>
      <c r="L532" s="73" t="s">
        <v>128</v>
      </c>
      <c r="M532" s="74" t="s">
        <v>1708</v>
      </c>
      <c r="N532" s="64">
        <v>6.962923237537E12</v>
      </c>
      <c r="O532" s="65" t="str">
        <f t="shared" si="1"/>
        <v>10/06/2026</v>
      </c>
      <c r="P532" s="66">
        <f t="shared" si="2"/>
        <v>1781052780</v>
      </c>
      <c r="Q532" s="67"/>
      <c r="R532" s="65"/>
      <c r="S532" s="68"/>
      <c r="T532" s="68" t="s">
        <v>3788</v>
      </c>
      <c r="U532" s="68" t="s">
        <v>3789</v>
      </c>
      <c r="V532" s="68" t="s">
        <v>3790</v>
      </c>
      <c r="W532" s="68"/>
      <c r="X532" s="68" t="s">
        <v>132</v>
      </c>
      <c r="Y532" s="75" t="s">
        <v>133</v>
      </c>
      <c r="Z532" s="75" t="s">
        <v>134</v>
      </c>
      <c r="AA532" s="68"/>
      <c r="AB532" s="68"/>
      <c r="AC532" s="76" t="s">
        <v>144</v>
      </c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</row>
    <row r="533">
      <c r="A533" s="55">
        <v>46184.0</v>
      </c>
      <c r="B533" s="56" t="s">
        <v>3791</v>
      </c>
      <c r="C533" s="71" t="s">
        <v>3792</v>
      </c>
      <c r="D533" s="71" t="s">
        <v>3793</v>
      </c>
      <c r="E533" s="72">
        <v>4794077407</v>
      </c>
      <c r="F533" s="59" t="s">
        <v>3794</v>
      </c>
      <c r="G533" s="28" t="str">
        <f>IF(NOT(ISERROR(MATCH(D533,'Tannbleking - Oppsalg US'!D:D, 0))), "Ja", "")</f>
        <v/>
      </c>
      <c r="H533" s="71" t="s">
        <v>43</v>
      </c>
      <c r="I533" s="71" t="s">
        <v>72</v>
      </c>
      <c r="J533" s="60"/>
      <c r="K533" s="61"/>
      <c r="L533" s="73" t="s">
        <v>128</v>
      </c>
      <c r="M533" s="74" t="s">
        <v>1731</v>
      </c>
      <c r="N533" s="64">
        <v>6.962923240137E12</v>
      </c>
      <c r="O533" s="65" t="str">
        <f t="shared" si="1"/>
        <v>11/06/2026</v>
      </c>
      <c r="P533" s="66">
        <f t="shared" si="2"/>
        <v>1781157540</v>
      </c>
      <c r="Q533" s="67"/>
      <c r="R533" s="65"/>
      <c r="S533" s="68"/>
      <c r="T533" s="68" t="s">
        <v>3795</v>
      </c>
      <c r="U533" s="68" t="s">
        <v>3796</v>
      </c>
      <c r="V533" s="68" t="s">
        <v>3797</v>
      </c>
      <c r="W533" s="68"/>
      <c r="X533" s="68" t="s">
        <v>132</v>
      </c>
      <c r="Y533" s="75" t="s">
        <v>133</v>
      </c>
      <c r="Z533" s="75" t="s">
        <v>134</v>
      </c>
      <c r="AA533" s="68"/>
      <c r="AB533" s="68"/>
      <c r="AC533" s="76" t="s">
        <v>280</v>
      </c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</row>
    <row r="534">
      <c r="A534" s="55">
        <v>46184.0</v>
      </c>
      <c r="B534" s="56" t="s">
        <v>3798</v>
      </c>
      <c r="C534" s="71" t="s">
        <v>3799</v>
      </c>
      <c r="D534" s="71" t="s">
        <v>3800</v>
      </c>
      <c r="E534" s="72">
        <v>4741310574</v>
      </c>
      <c r="F534" s="59" t="s">
        <v>3714</v>
      </c>
      <c r="G534" s="28" t="str">
        <f>IF(NOT(ISERROR(MATCH(D534,'Tannbleking - Oppsalg US'!D:D, 0))), "Ja", "")</f>
        <v/>
      </c>
      <c r="H534" s="71" t="s">
        <v>50</v>
      </c>
      <c r="I534" s="71" t="s">
        <v>44</v>
      </c>
      <c r="J534" s="60"/>
      <c r="K534" s="61"/>
      <c r="L534" s="73" t="s">
        <v>128</v>
      </c>
      <c r="M534" s="74" t="s">
        <v>3380</v>
      </c>
      <c r="N534" s="64">
        <v>6.962923239337E12</v>
      </c>
      <c r="O534" s="65" t="str">
        <f t="shared" si="1"/>
        <v>11/06/2026</v>
      </c>
      <c r="P534" s="66">
        <f t="shared" si="2"/>
        <v>1781165460</v>
      </c>
      <c r="Q534" s="67"/>
      <c r="R534" s="65"/>
      <c r="S534" s="68"/>
      <c r="T534" s="68" t="s">
        <v>3801</v>
      </c>
      <c r="U534" s="68" t="s">
        <v>3802</v>
      </c>
      <c r="V534" s="68" t="s">
        <v>3803</v>
      </c>
      <c r="W534" s="68"/>
      <c r="X534" s="68" t="s">
        <v>132</v>
      </c>
      <c r="Y534" s="75" t="s">
        <v>133</v>
      </c>
      <c r="Z534" s="75" t="s">
        <v>134</v>
      </c>
      <c r="AA534" s="68"/>
      <c r="AB534" s="68"/>
      <c r="AC534" s="76" t="s">
        <v>1686</v>
      </c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</row>
    <row r="535">
      <c r="A535" s="55">
        <v>46185.0</v>
      </c>
      <c r="B535" s="56" t="s">
        <v>1817</v>
      </c>
      <c r="C535" s="71" t="s">
        <v>3804</v>
      </c>
      <c r="D535" s="71" t="s">
        <v>3805</v>
      </c>
      <c r="E535" s="72">
        <v>4746664884</v>
      </c>
      <c r="F535" s="59" t="s">
        <v>3806</v>
      </c>
      <c r="G535" s="28" t="str">
        <f>IF(NOT(ISERROR(MATCH(D535,'Tannbleking - Oppsalg US'!D:D, 0))), "Ja", "")</f>
        <v/>
      </c>
      <c r="H535" s="71" t="s">
        <v>90</v>
      </c>
      <c r="I535" s="71" t="s">
        <v>44</v>
      </c>
      <c r="J535" s="60"/>
      <c r="K535" s="61"/>
      <c r="L535" s="73" t="s">
        <v>128</v>
      </c>
      <c r="M535" s="74" t="s">
        <v>3807</v>
      </c>
      <c r="N535" s="64">
        <v>6.962923237737E12</v>
      </c>
      <c r="O535" s="65" t="str">
        <f t="shared" si="1"/>
        <v>12/06/2026</v>
      </c>
      <c r="P535" s="66">
        <f t="shared" si="2"/>
        <v>1781262960</v>
      </c>
      <c r="Q535" s="67"/>
      <c r="R535" s="65"/>
      <c r="S535" s="68"/>
      <c r="T535" s="68" t="s">
        <v>3808</v>
      </c>
      <c r="U535" s="68" t="s">
        <v>3809</v>
      </c>
      <c r="V535" s="68" t="s">
        <v>3810</v>
      </c>
      <c r="W535" s="68"/>
      <c r="X535" s="68" t="s">
        <v>132</v>
      </c>
      <c r="Y535" s="75" t="s">
        <v>133</v>
      </c>
      <c r="Z535" s="75" t="s">
        <v>134</v>
      </c>
      <c r="AA535" s="68"/>
      <c r="AB535" s="68"/>
      <c r="AC535" s="76" t="s">
        <v>135</v>
      </c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</row>
    <row r="536">
      <c r="A536" s="55">
        <v>46185.0</v>
      </c>
      <c r="B536" s="56" t="s">
        <v>3811</v>
      </c>
      <c r="C536" s="71" t="s">
        <v>3812</v>
      </c>
      <c r="D536" s="71" t="s">
        <v>3813</v>
      </c>
      <c r="E536" s="72">
        <v>4747245886</v>
      </c>
      <c r="F536" s="59" t="s">
        <v>67</v>
      </c>
      <c r="G536" s="28" t="str">
        <f>IF(NOT(ISERROR(MATCH(D536,'Tannbleking - Oppsalg US'!D:D, 0))), "Ja", "")</f>
        <v/>
      </c>
      <c r="H536" s="71" t="s">
        <v>43</v>
      </c>
      <c r="I536" s="71" t="s">
        <v>72</v>
      </c>
      <c r="J536" s="60"/>
      <c r="K536" s="61"/>
      <c r="L536" s="73" t="s">
        <v>128</v>
      </c>
      <c r="M536" s="74" t="s">
        <v>1598</v>
      </c>
      <c r="N536" s="64">
        <v>6.962923240337E12</v>
      </c>
      <c r="O536" s="65" t="str">
        <f t="shared" si="1"/>
        <v>12/06/2026</v>
      </c>
      <c r="P536" s="66">
        <f t="shared" si="2"/>
        <v>1781273520</v>
      </c>
      <c r="Q536" s="67"/>
      <c r="R536" s="65"/>
      <c r="S536" s="68"/>
      <c r="T536" s="68" t="s">
        <v>3814</v>
      </c>
      <c r="U536" s="68" t="s">
        <v>3815</v>
      </c>
      <c r="V536" s="68" t="s">
        <v>3816</v>
      </c>
      <c r="W536" s="68"/>
      <c r="X536" s="68" t="s">
        <v>132</v>
      </c>
      <c r="Y536" s="75" t="s">
        <v>133</v>
      </c>
      <c r="Z536" s="75" t="s">
        <v>134</v>
      </c>
      <c r="AA536" s="68"/>
      <c r="AB536" s="68"/>
      <c r="AC536" s="76" t="s">
        <v>1282</v>
      </c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</row>
    <row r="537">
      <c r="A537" s="55">
        <v>46186.0</v>
      </c>
      <c r="B537" s="56" t="s">
        <v>226</v>
      </c>
      <c r="C537" s="71" t="s">
        <v>3817</v>
      </c>
      <c r="D537" s="71" t="s">
        <v>3818</v>
      </c>
      <c r="E537" s="72">
        <v>4740310120</v>
      </c>
      <c r="F537" s="59" t="s">
        <v>3819</v>
      </c>
      <c r="G537" s="28" t="str">
        <f>IF(NOT(ISERROR(MATCH(D537,'Tannbleking - Oppsalg US'!D:D, 0))), "Ja", "")</f>
        <v/>
      </c>
      <c r="H537" s="71" t="s">
        <v>50</v>
      </c>
      <c r="I537" s="71" t="s">
        <v>44</v>
      </c>
      <c r="J537" s="60" t="s">
        <v>339</v>
      </c>
      <c r="K537" s="61"/>
      <c r="L537" s="73" t="s">
        <v>128</v>
      </c>
      <c r="M537" s="74" t="s">
        <v>1954</v>
      </c>
      <c r="N537" s="64">
        <v>6.962923238537E12</v>
      </c>
      <c r="O537" s="65" t="str">
        <f t="shared" si="1"/>
        <v>13/06/2026</v>
      </c>
      <c r="P537" s="66">
        <f t="shared" si="2"/>
        <v>1781351700</v>
      </c>
      <c r="Q537" s="67"/>
      <c r="R537" s="65"/>
      <c r="S537" s="68"/>
      <c r="T537" s="68" t="s">
        <v>3820</v>
      </c>
      <c r="U537" s="68" t="s">
        <v>3821</v>
      </c>
      <c r="V537" s="68" t="s">
        <v>3822</v>
      </c>
      <c r="W537" s="68"/>
      <c r="X537" s="68" t="s">
        <v>132</v>
      </c>
      <c r="Y537" s="75" t="s">
        <v>133</v>
      </c>
      <c r="Z537" s="75" t="s">
        <v>134</v>
      </c>
      <c r="AA537" s="68"/>
      <c r="AB537" s="68"/>
      <c r="AC537" s="76" t="s">
        <v>144</v>
      </c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</row>
    <row r="538">
      <c r="A538" s="55">
        <v>46186.0</v>
      </c>
      <c r="B538" s="56" t="s">
        <v>3823</v>
      </c>
      <c r="C538" s="71" t="s">
        <v>3824</v>
      </c>
      <c r="D538" s="71" t="s">
        <v>3825</v>
      </c>
      <c r="E538" s="72">
        <v>4746269353</v>
      </c>
      <c r="F538" s="59" t="s">
        <v>3826</v>
      </c>
      <c r="G538" s="28" t="str">
        <f>IF(NOT(ISERROR(MATCH(D538,'Tannbleking - Oppsalg US'!D:D, 0))), "Ja", "")</f>
        <v/>
      </c>
      <c r="H538" s="71" t="s">
        <v>50</v>
      </c>
      <c r="I538" s="71" t="s">
        <v>44</v>
      </c>
      <c r="J538" s="60"/>
      <c r="K538" s="61"/>
      <c r="L538" s="73" t="s">
        <v>128</v>
      </c>
      <c r="M538" s="74" t="s">
        <v>1605</v>
      </c>
      <c r="N538" s="64">
        <v>6.962923239537E12</v>
      </c>
      <c r="O538" s="65" t="str">
        <f t="shared" si="1"/>
        <v>13/06/2026</v>
      </c>
      <c r="P538" s="66">
        <f t="shared" si="2"/>
        <v>1781385660</v>
      </c>
      <c r="Q538" s="67"/>
      <c r="R538" s="65"/>
      <c r="S538" s="68"/>
      <c r="T538" s="68" t="s">
        <v>3827</v>
      </c>
      <c r="U538" s="68" t="s">
        <v>3828</v>
      </c>
      <c r="V538" s="68" t="s">
        <v>3829</v>
      </c>
      <c r="W538" s="68"/>
      <c r="X538" s="68" t="s">
        <v>132</v>
      </c>
      <c r="Y538" s="75" t="s">
        <v>133</v>
      </c>
      <c r="Z538" s="75" t="s">
        <v>134</v>
      </c>
      <c r="AA538" s="68"/>
      <c r="AB538" s="68"/>
      <c r="AC538" s="76" t="s">
        <v>144</v>
      </c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</row>
    <row r="539">
      <c r="A539" s="55">
        <v>46187.0</v>
      </c>
      <c r="B539" s="56" t="s">
        <v>1991</v>
      </c>
      <c r="C539" s="71" t="s">
        <v>3830</v>
      </c>
      <c r="D539" s="71" t="s">
        <v>3831</v>
      </c>
      <c r="E539" s="72">
        <v>4747840751</v>
      </c>
      <c r="F539" s="59" t="s">
        <v>3832</v>
      </c>
      <c r="G539" s="28" t="str">
        <f>IF(NOT(ISERROR(MATCH(D539,'Tannbleking - Oppsalg US'!D:D, 0))), "Ja", "")</f>
        <v/>
      </c>
      <c r="H539" s="71" t="s">
        <v>50</v>
      </c>
      <c r="I539" s="71" t="s">
        <v>44</v>
      </c>
      <c r="J539" s="60"/>
      <c r="K539" s="61"/>
      <c r="L539" s="73" t="s">
        <v>128</v>
      </c>
      <c r="M539" s="74" t="s">
        <v>1731</v>
      </c>
      <c r="N539" s="64">
        <v>6.962923240137E12</v>
      </c>
      <c r="O539" s="65" t="str">
        <f t="shared" si="1"/>
        <v>14/06/2026</v>
      </c>
      <c r="P539" s="66">
        <f t="shared" si="2"/>
        <v>1781439960</v>
      </c>
      <c r="Q539" s="67"/>
      <c r="R539" s="65"/>
      <c r="S539" s="68"/>
      <c r="T539" s="68" t="s">
        <v>3833</v>
      </c>
      <c r="U539" s="68" t="s">
        <v>3834</v>
      </c>
      <c r="V539" s="68" t="s">
        <v>3835</v>
      </c>
      <c r="W539" s="68"/>
      <c r="X539" s="68" t="s">
        <v>132</v>
      </c>
      <c r="Y539" s="75" t="s">
        <v>133</v>
      </c>
      <c r="Z539" s="75" t="s">
        <v>134</v>
      </c>
      <c r="AA539" s="68"/>
      <c r="AB539" s="68"/>
      <c r="AC539" s="76" t="s">
        <v>1686</v>
      </c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</row>
    <row r="540">
      <c r="A540" s="55">
        <v>46187.0</v>
      </c>
      <c r="B540" s="56" t="s">
        <v>3477</v>
      </c>
      <c r="C540" s="71" t="s">
        <v>3836</v>
      </c>
      <c r="D540" s="71" t="s">
        <v>3837</v>
      </c>
      <c r="E540" s="72">
        <v>4745536424</v>
      </c>
      <c r="F540" s="59" t="s">
        <v>3838</v>
      </c>
      <c r="G540" s="28" t="str">
        <f>IF(NOT(ISERROR(MATCH(D540,'Tannbleking - Oppsalg US'!D:D, 0))), "Ja", "")</f>
        <v/>
      </c>
      <c r="H540" s="71" t="s">
        <v>50</v>
      </c>
      <c r="I540" s="71" t="s">
        <v>44</v>
      </c>
      <c r="J540" s="60"/>
      <c r="K540" s="61"/>
      <c r="L540" s="73" t="s">
        <v>128</v>
      </c>
      <c r="M540" s="74" t="s">
        <v>1598</v>
      </c>
      <c r="N540" s="64">
        <v>6.962923239137E12</v>
      </c>
      <c r="O540" s="65" t="str">
        <f t="shared" si="1"/>
        <v>14/06/2026</v>
      </c>
      <c r="P540" s="66">
        <f t="shared" si="2"/>
        <v>1781459640</v>
      </c>
      <c r="Q540" s="67"/>
      <c r="R540" s="65"/>
      <c r="S540" s="68"/>
      <c r="T540" s="68" t="s">
        <v>3839</v>
      </c>
      <c r="U540" s="68" t="s">
        <v>3840</v>
      </c>
      <c r="V540" s="68" t="s">
        <v>3841</v>
      </c>
      <c r="W540" s="68"/>
      <c r="X540" s="68" t="s">
        <v>132</v>
      </c>
      <c r="Y540" s="75" t="s">
        <v>133</v>
      </c>
      <c r="Z540" s="75" t="s">
        <v>134</v>
      </c>
      <c r="AA540" s="68"/>
      <c r="AB540" s="68"/>
      <c r="AC540" s="76" t="s">
        <v>144</v>
      </c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</row>
    <row r="541">
      <c r="A541" s="55">
        <v>46188.0</v>
      </c>
      <c r="B541" s="56" t="s">
        <v>3842</v>
      </c>
      <c r="C541" s="71" t="s">
        <v>3843</v>
      </c>
      <c r="D541" s="71" t="s">
        <v>3844</v>
      </c>
      <c r="E541" s="72">
        <v>4740083958</v>
      </c>
      <c r="F541" s="59" t="s">
        <v>3845</v>
      </c>
      <c r="G541" s="28" t="str">
        <f>IF(NOT(ISERROR(MATCH(D541,'Tannbleking - Oppsalg US'!D:D, 0))), "Ja", "")</f>
        <v/>
      </c>
      <c r="H541" s="71" t="s">
        <v>50</v>
      </c>
      <c r="I541" s="71" t="s">
        <v>44</v>
      </c>
      <c r="J541" s="60"/>
      <c r="K541" s="61"/>
      <c r="L541" s="73" t="s">
        <v>128</v>
      </c>
      <c r="M541" s="74" t="s">
        <v>1605</v>
      </c>
      <c r="N541" s="64">
        <v>6.962923239537E12</v>
      </c>
      <c r="O541" s="65" t="str">
        <f t="shared" si="1"/>
        <v>15/06/2026</v>
      </c>
      <c r="P541" s="66">
        <f t="shared" si="2"/>
        <v>1781531220</v>
      </c>
      <c r="Q541" s="67"/>
      <c r="R541" s="65"/>
      <c r="S541" s="68"/>
      <c r="T541" s="68" t="s">
        <v>3846</v>
      </c>
      <c r="U541" s="68" t="s">
        <v>3847</v>
      </c>
      <c r="V541" s="68" t="s">
        <v>3848</v>
      </c>
      <c r="W541" s="68"/>
      <c r="X541" s="68" t="s">
        <v>132</v>
      </c>
      <c r="Y541" s="75" t="s">
        <v>133</v>
      </c>
      <c r="Z541" s="75" t="s">
        <v>134</v>
      </c>
      <c r="AA541" s="68"/>
      <c r="AB541" s="68"/>
      <c r="AC541" s="76" t="s">
        <v>280</v>
      </c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</row>
    <row r="542">
      <c r="A542" s="55">
        <v>46188.0</v>
      </c>
      <c r="B542" s="56" t="s">
        <v>3823</v>
      </c>
      <c r="C542" s="71" t="s">
        <v>3849</v>
      </c>
      <c r="D542" s="71" t="s">
        <v>3850</v>
      </c>
      <c r="E542" s="72">
        <v>4792012549</v>
      </c>
      <c r="F542" s="59" t="s">
        <v>2777</v>
      </c>
      <c r="G542" s="71" t="str">
        <f>IF(NOT(ISERROR(MATCH(D542,'Tannbleking - Oppsalg US'!D:D, 0))), "Ja", "")</f>
        <v/>
      </c>
      <c r="H542" s="71" t="s">
        <v>50</v>
      </c>
      <c r="I542" s="71" t="s">
        <v>44</v>
      </c>
      <c r="J542" s="60"/>
      <c r="K542" s="61"/>
      <c r="L542" s="73" t="s">
        <v>128</v>
      </c>
      <c r="M542" s="74" t="s">
        <v>1598</v>
      </c>
      <c r="N542" s="64">
        <v>6.962923240337E12</v>
      </c>
      <c r="O542" s="65" t="str">
        <f t="shared" si="1"/>
        <v>15/06/2026</v>
      </c>
      <c r="P542" s="66">
        <f t="shared" si="2"/>
        <v>1781558460</v>
      </c>
      <c r="Q542" s="67"/>
      <c r="R542" s="65"/>
      <c r="S542" s="68"/>
      <c r="T542" s="68" t="s">
        <v>3851</v>
      </c>
      <c r="U542" s="68" t="s">
        <v>3852</v>
      </c>
      <c r="V542" s="68" t="s">
        <v>3853</v>
      </c>
      <c r="W542" s="68"/>
      <c r="X542" s="68" t="s">
        <v>132</v>
      </c>
      <c r="Y542" s="75" t="s">
        <v>133</v>
      </c>
      <c r="Z542" s="75" t="s">
        <v>134</v>
      </c>
      <c r="AA542" s="68"/>
      <c r="AB542" s="68"/>
      <c r="AC542" s="76" t="s">
        <v>280</v>
      </c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</row>
    <row r="543">
      <c r="A543" s="55">
        <v>46189.0</v>
      </c>
      <c r="B543" s="56" t="s">
        <v>1691</v>
      </c>
      <c r="C543" s="71" t="s">
        <v>3854</v>
      </c>
      <c r="D543" s="71" t="s">
        <v>3855</v>
      </c>
      <c r="E543" s="72">
        <v>4746221047</v>
      </c>
      <c r="F543" s="59" t="s">
        <v>3856</v>
      </c>
      <c r="G543" s="28" t="str">
        <f>IF(NOT(ISERROR(MATCH(D543,'Tannbleking - Oppsalg US'!D:D, 0))), "Ja", "")</f>
        <v/>
      </c>
      <c r="H543" s="71" t="s">
        <v>50</v>
      </c>
      <c r="I543" s="71" t="s">
        <v>44</v>
      </c>
      <c r="J543" s="60"/>
      <c r="K543" s="61"/>
      <c r="L543" s="73" t="s">
        <v>128</v>
      </c>
      <c r="M543" s="74" t="s">
        <v>1708</v>
      </c>
      <c r="N543" s="64">
        <v>6.962923237537E12</v>
      </c>
      <c r="O543" s="65" t="str">
        <f t="shared" si="1"/>
        <v>16/06/2026</v>
      </c>
      <c r="P543" s="66">
        <f t="shared" si="2"/>
        <v>1781603100</v>
      </c>
      <c r="Q543" s="67"/>
      <c r="R543" s="65"/>
      <c r="S543" s="68"/>
      <c r="T543" s="68" t="s">
        <v>3857</v>
      </c>
      <c r="U543" s="68" t="s">
        <v>3858</v>
      </c>
      <c r="V543" s="68" t="s">
        <v>3859</v>
      </c>
      <c r="W543" s="68"/>
      <c r="X543" s="68" t="s">
        <v>132</v>
      </c>
      <c r="Y543" s="75" t="s">
        <v>133</v>
      </c>
      <c r="Z543" s="75" t="s">
        <v>134</v>
      </c>
      <c r="AA543" s="68"/>
      <c r="AB543" s="68"/>
      <c r="AC543" s="76" t="s">
        <v>144</v>
      </c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</row>
    <row r="544">
      <c r="A544" s="55">
        <v>46189.0</v>
      </c>
      <c r="B544" s="56" t="s">
        <v>3860</v>
      </c>
      <c r="C544" s="71" t="s">
        <v>3861</v>
      </c>
      <c r="D544" s="71" t="s">
        <v>3862</v>
      </c>
      <c r="E544" s="72">
        <v>4740450072</v>
      </c>
      <c r="F544" s="59" t="s">
        <v>3863</v>
      </c>
      <c r="G544" s="28" t="str">
        <f>IF(NOT(ISERROR(MATCH(D544,'Tannbleking - Oppsalg US'!D:D, 0))), "Ja", "")</f>
        <v/>
      </c>
      <c r="H544" s="71" t="s">
        <v>50</v>
      </c>
      <c r="I544" s="71" t="s">
        <v>44</v>
      </c>
      <c r="J544" s="60"/>
      <c r="K544" s="61"/>
      <c r="L544" s="73" t="s">
        <v>128</v>
      </c>
      <c r="M544" s="74" t="s">
        <v>3255</v>
      </c>
      <c r="N544" s="64">
        <v>6.962923239937E12</v>
      </c>
      <c r="O544" s="65" t="str">
        <f t="shared" si="1"/>
        <v>16/06/2026</v>
      </c>
      <c r="P544" s="66">
        <f t="shared" si="2"/>
        <v>1781617140</v>
      </c>
      <c r="Q544" s="67"/>
      <c r="R544" s="65"/>
      <c r="S544" s="68"/>
      <c r="T544" s="68" t="s">
        <v>3864</v>
      </c>
      <c r="U544" s="68" t="s">
        <v>3865</v>
      </c>
      <c r="V544" s="68" t="s">
        <v>3866</v>
      </c>
      <c r="W544" s="68"/>
      <c r="X544" s="68" t="s">
        <v>132</v>
      </c>
      <c r="Y544" s="75" t="s">
        <v>133</v>
      </c>
      <c r="Z544" s="75" t="s">
        <v>134</v>
      </c>
      <c r="AA544" s="68"/>
      <c r="AB544" s="68"/>
      <c r="AC544" s="76" t="s">
        <v>280</v>
      </c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</row>
    <row r="545">
      <c r="A545" s="55">
        <v>46189.0</v>
      </c>
      <c r="B545" s="56" t="s">
        <v>3867</v>
      </c>
      <c r="C545" s="71" t="s">
        <v>3868</v>
      </c>
      <c r="D545" s="71" t="s">
        <v>3869</v>
      </c>
      <c r="E545" s="72">
        <v>4793201627</v>
      </c>
      <c r="F545" s="59" t="s">
        <v>3870</v>
      </c>
      <c r="G545" s="28" t="str">
        <f>IF(NOT(ISERROR(MATCH(D545,'Tannbleking - Oppsalg US'!D:D, 0))), "Ja", "")</f>
        <v/>
      </c>
      <c r="H545" s="71" t="s">
        <v>50</v>
      </c>
      <c r="I545" s="71" t="s">
        <v>107</v>
      </c>
      <c r="J545" s="60"/>
      <c r="K545" s="61"/>
      <c r="L545" s="68"/>
      <c r="M545" s="68"/>
      <c r="N545" s="65"/>
      <c r="O545" s="65" t="str">
        <f t="shared" si="1"/>
        <v>16/06/2026</v>
      </c>
      <c r="P545" s="66">
        <f t="shared" si="2"/>
        <v>1781620860</v>
      </c>
      <c r="Q545" s="67"/>
      <c r="R545" s="65"/>
      <c r="S545" s="68"/>
      <c r="T545" s="68" t="s">
        <v>3871</v>
      </c>
      <c r="U545" s="68" t="s">
        <v>3872</v>
      </c>
      <c r="V545" s="68" t="s">
        <v>3873</v>
      </c>
      <c r="W545" s="68"/>
      <c r="X545" s="68" t="s">
        <v>132</v>
      </c>
      <c r="Y545" s="75" t="s">
        <v>133</v>
      </c>
      <c r="Z545" s="75" t="s">
        <v>134</v>
      </c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</row>
    <row r="546">
      <c r="A546" s="55">
        <v>46190.0</v>
      </c>
      <c r="B546" s="56" t="s">
        <v>3874</v>
      </c>
      <c r="C546" s="71" t="s">
        <v>3875</v>
      </c>
      <c r="D546" s="71" t="s">
        <v>88</v>
      </c>
      <c r="E546" s="72">
        <v>4792622622</v>
      </c>
      <c r="F546" s="59" t="s">
        <v>3876</v>
      </c>
      <c r="G546" s="28" t="str">
        <f>IF(NOT(ISERROR(MATCH(D546,'Tannbleking - Oppsalg US'!D:D, 0))), "Ja", "")</f>
        <v/>
      </c>
      <c r="H546" s="71" t="s">
        <v>90</v>
      </c>
      <c r="I546" s="71" t="s">
        <v>107</v>
      </c>
      <c r="J546" s="60" t="s">
        <v>3877</v>
      </c>
      <c r="K546" s="61"/>
      <c r="L546" s="73" t="s">
        <v>128</v>
      </c>
      <c r="M546" s="74" t="s">
        <v>1954</v>
      </c>
      <c r="N546" s="64">
        <v>6.962923238537E12</v>
      </c>
      <c r="O546" s="65" t="str">
        <f t="shared" si="1"/>
        <v>17/06/2026</v>
      </c>
      <c r="P546" s="66">
        <f t="shared" si="2"/>
        <v>1781703120</v>
      </c>
      <c r="Q546" s="67"/>
      <c r="R546" s="65"/>
      <c r="S546" s="68"/>
      <c r="T546" s="68" t="s">
        <v>3878</v>
      </c>
      <c r="U546" s="68" t="s">
        <v>3879</v>
      </c>
      <c r="V546" s="68" t="s">
        <v>3880</v>
      </c>
      <c r="W546" s="68"/>
      <c r="X546" s="68" t="s">
        <v>132</v>
      </c>
      <c r="Y546" s="75" t="s">
        <v>133</v>
      </c>
      <c r="Z546" s="75" t="s">
        <v>134</v>
      </c>
      <c r="AA546" s="68"/>
      <c r="AB546" s="68"/>
      <c r="AC546" s="76" t="s">
        <v>135</v>
      </c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</row>
    <row r="547">
      <c r="A547" s="55">
        <v>46191.0</v>
      </c>
      <c r="B547" s="56" t="s">
        <v>2984</v>
      </c>
      <c r="C547" s="71" t="s">
        <v>3881</v>
      </c>
      <c r="D547" s="71" t="s">
        <v>3882</v>
      </c>
      <c r="E547" s="72">
        <v>4747167475</v>
      </c>
      <c r="F547" s="59" t="s">
        <v>3883</v>
      </c>
      <c r="G547" s="28" t="str">
        <f>IF(NOT(ISERROR(MATCH(D547,'Tannbleking - Oppsalg US'!D:D, 0))), "Ja", "")</f>
        <v/>
      </c>
      <c r="H547" s="71" t="s">
        <v>50</v>
      </c>
      <c r="I547" s="71" t="s">
        <v>44</v>
      </c>
      <c r="J547" s="60"/>
      <c r="K547" s="61"/>
      <c r="L547" s="73" t="s">
        <v>128</v>
      </c>
      <c r="M547" s="74" t="s">
        <v>1598</v>
      </c>
      <c r="N547" s="64">
        <v>6.962923240337E12</v>
      </c>
      <c r="O547" s="65" t="str">
        <f t="shared" si="1"/>
        <v>18/06/2026</v>
      </c>
      <c r="P547" s="66">
        <f t="shared" si="2"/>
        <v>1781778660</v>
      </c>
      <c r="Q547" s="67"/>
      <c r="R547" s="65"/>
      <c r="S547" s="68"/>
      <c r="T547" s="68" t="s">
        <v>3884</v>
      </c>
      <c r="U547" s="68" t="s">
        <v>3885</v>
      </c>
      <c r="V547" s="68" t="s">
        <v>3886</v>
      </c>
      <c r="W547" s="68"/>
      <c r="X547" s="68" t="s">
        <v>132</v>
      </c>
      <c r="Y547" s="75" t="s">
        <v>133</v>
      </c>
      <c r="Z547" s="75" t="s">
        <v>134</v>
      </c>
      <c r="AA547" s="68"/>
      <c r="AB547" s="68"/>
      <c r="AC547" s="76" t="s">
        <v>280</v>
      </c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</row>
    <row r="548">
      <c r="A548" s="55">
        <v>46191.0</v>
      </c>
      <c r="B548" s="56" t="s">
        <v>95</v>
      </c>
      <c r="C548" s="71" t="s">
        <v>3887</v>
      </c>
      <c r="D548" s="71" t="s">
        <v>3888</v>
      </c>
      <c r="E548" s="72">
        <v>4794282231</v>
      </c>
      <c r="F548" s="59" t="s">
        <v>3889</v>
      </c>
      <c r="G548" s="28" t="str">
        <f>IF(NOT(ISERROR(MATCH(D548,'Tannbleking - Oppsalg US'!D:D, 0))), "Ja", "")</f>
        <v/>
      </c>
      <c r="H548" s="71" t="s">
        <v>50</v>
      </c>
      <c r="I548" s="71" t="s">
        <v>44</v>
      </c>
      <c r="J548" s="60"/>
      <c r="K548" s="61"/>
      <c r="L548" s="73" t="s">
        <v>128</v>
      </c>
      <c r="M548" s="74" t="s">
        <v>1844</v>
      </c>
      <c r="N548" s="64">
        <v>6.962923237937E12</v>
      </c>
      <c r="O548" s="65" t="str">
        <f t="shared" si="1"/>
        <v>18/06/2026</v>
      </c>
      <c r="P548" s="66">
        <f t="shared" si="2"/>
        <v>1781790180</v>
      </c>
      <c r="Q548" s="67"/>
      <c r="R548" s="65"/>
      <c r="S548" s="68"/>
      <c r="T548" s="68" t="s">
        <v>3890</v>
      </c>
      <c r="U548" s="68" t="s">
        <v>3891</v>
      </c>
      <c r="V548" s="68" t="s">
        <v>3892</v>
      </c>
      <c r="W548" s="68"/>
      <c r="X548" s="68" t="s">
        <v>132</v>
      </c>
      <c r="Y548" s="75" t="s">
        <v>133</v>
      </c>
      <c r="Z548" s="75" t="s">
        <v>134</v>
      </c>
      <c r="AA548" s="68"/>
      <c r="AB548" s="68"/>
      <c r="AC548" s="76" t="s">
        <v>280</v>
      </c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</row>
    <row r="549">
      <c r="A549" s="55">
        <v>46192.0</v>
      </c>
      <c r="B549" s="56" t="s">
        <v>3893</v>
      </c>
      <c r="C549" s="71" t="s">
        <v>3894</v>
      </c>
      <c r="D549" s="71" t="s">
        <v>3895</v>
      </c>
      <c r="E549" s="72">
        <v>4792563445</v>
      </c>
      <c r="F549" s="59" t="s">
        <v>3896</v>
      </c>
      <c r="G549" s="71" t="str">
        <f>IF(NOT(ISERROR(MATCH(D549,'Tannbleking - Oppsalg US'!D:D, 0))), "Ja", "")</f>
        <v/>
      </c>
      <c r="H549" s="71" t="s">
        <v>50</v>
      </c>
      <c r="I549" s="71" t="s">
        <v>44</v>
      </c>
      <c r="J549" s="60"/>
      <c r="K549" s="61"/>
      <c r="L549" s="73" t="s">
        <v>128</v>
      </c>
      <c r="M549" s="74" t="s">
        <v>1954</v>
      </c>
      <c r="N549" s="64">
        <v>6.962923238537E12</v>
      </c>
      <c r="O549" s="65" t="str">
        <f t="shared" si="1"/>
        <v>19/06/2026</v>
      </c>
      <c r="P549" s="66">
        <f t="shared" si="2"/>
        <v>1781864220</v>
      </c>
      <c r="Q549" s="67"/>
      <c r="R549" s="65"/>
      <c r="S549" s="68"/>
      <c r="T549" s="68" t="s">
        <v>3897</v>
      </c>
      <c r="U549" s="68" t="s">
        <v>3898</v>
      </c>
      <c r="V549" s="68" t="s">
        <v>3899</v>
      </c>
      <c r="W549" s="68"/>
      <c r="X549" s="68" t="s">
        <v>132</v>
      </c>
      <c r="Y549" s="75" t="s">
        <v>133</v>
      </c>
      <c r="Z549" s="75" t="s">
        <v>134</v>
      </c>
      <c r="AA549" s="68"/>
      <c r="AB549" s="68"/>
      <c r="AC549" s="76" t="s">
        <v>135</v>
      </c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</row>
    <row r="550">
      <c r="A550" s="55">
        <v>46192.0</v>
      </c>
      <c r="B550" s="56" t="s">
        <v>3900</v>
      </c>
      <c r="C550" s="71" t="s">
        <v>3901</v>
      </c>
      <c r="D550" s="71" t="s">
        <v>3902</v>
      </c>
      <c r="E550" s="72">
        <v>4792011742</v>
      </c>
      <c r="F550" s="59" t="s">
        <v>3903</v>
      </c>
      <c r="G550" s="28" t="str">
        <f>IF(NOT(ISERROR(MATCH(D550,'Tannbleking - Oppsalg US'!D:D, 0))), "Ja", "")</f>
        <v/>
      </c>
      <c r="H550" s="71" t="s">
        <v>50</v>
      </c>
      <c r="I550" s="71" t="s">
        <v>140</v>
      </c>
      <c r="J550" s="60"/>
      <c r="K550" s="61"/>
      <c r="L550" s="73" t="s">
        <v>128</v>
      </c>
      <c r="M550" s="74" t="s">
        <v>1731</v>
      </c>
      <c r="N550" s="64">
        <v>6.962923240137E12</v>
      </c>
      <c r="O550" s="65" t="str">
        <f t="shared" si="1"/>
        <v>19/06/2026</v>
      </c>
      <c r="P550" s="66">
        <f t="shared" si="2"/>
        <v>1781872860</v>
      </c>
      <c r="Q550" s="67"/>
      <c r="R550" s="65"/>
      <c r="S550" s="68"/>
      <c r="T550" s="68" t="s">
        <v>3904</v>
      </c>
      <c r="U550" s="68" t="s">
        <v>3905</v>
      </c>
      <c r="V550" s="68" t="s">
        <v>3906</v>
      </c>
      <c r="W550" s="68"/>
      <c r="X550" s="68" t="s">
        <v>132</v>
      </c>
      <c r="Y550" s="75" t="s">
        <v>133</v>
      </c>
      <c r="Z550" s="75" t="s">
        <v>134</v>
      </c>
      <c r="AA550" s="68"/>
      <c r="AB550" s="68"/>
      <c r="AC550" s="76" t="s">
        <v>135</v>
      </c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</row>
    <row r="551">
      <c r="A551" s="55">
        <v>46193.0</v>
      </c>
      <c r="B551" s="56" t="s">
        <v>3907</v>
      </c>
      <c r="C551" s="71" t="s">
        <v>3908</v>
      </c>
      <c r="D551" s="71" t="s">
        <v>3909</v>
      </c>
      <c r="E551" s="72">
        <v>4746833818</v>
      </c>
      <c r="F551" s="59" t="s">
        <v>3883</v>
      </c>
      <c r="G551" s="28" t="str">
        <f>IF(NOT(ISERROR(MATCH(D551,'Tannbleking - Oppsalg US'!D:D, 0))), "Ja", "")</f>
        <v/>
      </c>
      <c r="H551" s="71" t="s">
        <v>43</v>
      </c>
      <c r="I551" s="71" t="s">
        <v>72</v>
      </c>
      <c r="J551" s="60"/>
      <c r="K551" s="61"/>
      <c r="L551" s="73" t="s">
        <v>128</v>
      </c>
      <c r="M551" s="74" t="s">
        <v>1598</v>
      </c>
      <c r="N551" s="64">
        <v>6.962923239137E12</v>
      </c>
      <c r="O551" s="65" t="str">
        <f t="shared" si="1"/>
        <v>20/06/2026</v>
      </c>
      <c r="P551" s="66">
        <f t="shared" si="2"/>
        <v>1781915400</v>
      </c>
      <c r="Q551" s="67"/>
      <c r="R551" s="65"/>
      <c r="S551" s="68"/>
      <c r="T551" s="68" t="s">
        <v>3910</v>
      </c>
      <c r="U551" s="68" t="s">
        <v>3911</v>
      </c>
      <c r="V551" s="68" t="s">
        <v>3912</v>
      </c>
      <c r="W551" s="68"/>
      <c r="X551" s="68" t="s">
        <v>132</v>
      </c>
      <c r="Y551" s="75" t="s">
        <v>133</v>
      </c>
      <c r="Z551" s="75" t="s">
        <v>134</v>
      </c>
      <c r="AA551" s="68"/>
      <c r="AB551" s="68"/>
      <c r="AC551" s="76" t="s">
        <v>135</v>
      </c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</row>
    <row r="552">
      <c r="A552" s="55">
        <v>46193.0</v>
      </c>
      <c r="B552" s="56" t="s">
        <v>3913</v>
      </c>
      <c r="C552" s="71" t="s">
        <v>3881</v>
      </c>
      <c r="D552" s="71" t="s">
        <v>3882</v>
      </c>
      <c r="E552" s="72">
        <v>4747167475</v>
      </c>
      <c r="F552" s="59" t="s">
        <v>3914</v>
      </c>
      <c r="G552" s="28" t="str">
        <f>IF(NOT(ISERROR(MATCH(D552,'Tannbleking - Oppsalg US'!D:D, 0))), "Ja", "")</f>
        <v/>
      </c>
      <c r="H552" s="71" t="s">
        <v>50</v>
      </c>
      <c r="I552" s="71" t="s">
        <v>44</v>
      </c>
      <c r="J552" s="60"/>
      <c r="K552" s="61"/>
      <c r="L552" s="73" t="s">
        <v>128</v>
      </c>
      <c r="M552" s="74" t="s">
        <v>1613</v>
      </c>
      <c r="N552" s="64">
        <v>6.962923238937E12</v>
      </c>
      <c r="O552" s="65" t="str">
        <f t="shared" si="1"/>
        <v>20/06/2026</v>
      </c>
      <c r="P552" s="66">
        <f t="shared" si="2"/>
        <v>1781958720</v>
      </c>
      <c r="Q552" s="67"/>
      <c r="R552" s="65"/>
      <c r="S552" s="68"/>
      <c r="T552" s="68" t="s">
        <v>3884</v>
      </c>
      <c r="U552" s="68" t="s">
        <v>3885</v>
      </c>
      <c r="V552" s="68" t="s">
        <v>3915</v>
      </c>
      <c r="W552" s="68"/>
      <c r="X552" s="68" t="s">
        <v>132</v>
      </c>
      <c r="Y552" s="75" t="s">
        <v>133</v>
      </c>
      <c r="Z552" s="75" t="s">
        <v>134</v>
      </c>
      <c r="AA552" s="68"/>
      <c r="AB552" s="68"/>
      <c r="AC552" s="76" t="s">
        <v>1282</v>
      </c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</row>
    <row r="553">
      <c r="A553" s="55">
        <v>46194.0</v>
      </c>
      <c r="B553" s="56" t="s">
        <v>3916</v>
      </c>
      <c r="C553" s="71" t="s">
        <v>3917</v>
      </c>
      <c r="D553" s="71" t="s">
        <v>3918</v>
      </c>
      <c r="E553" s="72">
        <v>4792816174</v>
      </c>
      <c r="F553" s="59" t="s">
        <v>3919</v>
      </c>
      <c r="G553" s="28" t="str">
        <f>IF(NOT(ISERROR(MATCH(D553,'Tannbleking - Oppsalg US'!D:D, 0))), "Ja", "")</f>
        <v/>
      </c>
      <c r="H553" s="71" t="s">
        <v>50</v>
      </c>
      <c r="I553" s="71" t="s">
        <v>44</v>
      </c>
      <c r="J553" s="60"/>
      <c r="K553" s="61"/>
      <c r="L553" s="73" t="s">
        <v>347</v>
      </c>
      <c r="M553" s="73">
        <v>6.962923238737E12</v>
      </c>
      <c r="N553" s="65"/>
      <c r="O553" s="65" t="str">
        <f t="shared" si="1"/>
        <v>21/06/2026</v>
      </c>
      <c r="P553" s="66">
        <f t="shared" si="2"/>
        <v>1782045900</v>
      </c>
      <c r="Q553" s="67"/>
      <c r="R553" s="65"/>
      <c r="S553" s="68"/>
      <c r="T553" s="68" t="s">
        <v>3920</v>
      </c>
      <c r="U553" s="68" t="s">
        <v>3921</v>
      </c>
      <c r="V553" s="68" t="s">
        <v>3922</v>
      </c>
      <c r="W553" s="68"/>
      <c r="X553" s="68" t="s">
        <v>132</v>
      </c>
      <c r="Y553" s="75" t="s">
        <v>133</v>
      </c>
      <c r="Z553" s="75" t="s">
        <v>134</v>
      </c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</row>
    <row r="554">
      <c r="A554" s="55">
        <v>46194.0</v>
      </c>
      <c r="B554" s="56" t="s">
        <v>2614</v>
      </c>
      <c r="C554" s="71" t="s">
        <v>3917</v>
      </c>
      <c r="D554" s="71" t="s">
        <v>3918</v>
      </c>
      <c r="E554" s="72">
        <v>4792816174</v>
      </c>
      <c r="F554" s="59" t="s">
        <v>3923</v>
      </c>
      <c r="G554" s="28" t="str">
        <f>IF(NOT(ISERROR(MATCH(D554,'Tannbleking - Oppsalg US'!D:D, 0))), "Ja", "")</f>
        <v/>
      </c>
      <c r="H554" s="71" t="s">
        <v>50</v>
      </c>
      <c r="I554" s="28"/>
      <c r="J554" s="60"/>
      <c r="K554" s="61"/>
      <c r="L554" s="73" t="s">
        <v>347</v>
      </c>
      <c r="M554" s="73">
        <v>6.962923238737E12</v>
      </c>
      <c r="N554" s="65"/>
      <c r="O554" s="65" t="str">
        <f t="shared" si="1"/>
        <v>21/06/2026</v>
      </c>
      <c r="P554" s="66">
        <f t="shared" si="2"/>
        <v>1782045960</v>
      </c>
      <c r="Q554" s="67"/>
      <c r="R554" s="65"/>
      <c r="S554" s="68"/>
      <c r="T554" s="68" t="s">
        <v>3924</v>
      </c>
      <c r="U554" s="68" t="s">
        <v>3921</v>
      </c>
      <c r="V554" s="68" t="s">
        <v>3925</v>
      </c>
      <c r="W554" s="68"/>
      <c r="X554" s="68" t="s">
        <v>132</v>
      </c>
      <c r="Y554" s="75" t="s">
        <v>133</v>
      </c>
      <c r="Z554" s="75" t="s">
        <v>134</v>
      </c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</row>
    <row r="555">
      <c r="A555" s="55">
        <v>46195.0</v>
      </c>
      <c r="B555" s="56" t="s">
        <v>3926</v>
      </c>
      <c r="C555" s="71" t="s">
        <v>3927</v>
      </c>
      <c r="D555" s="71" t="s">
        <v>3928</v>
      </c>
      <c r="E555" s="72">
        <v>4794364937</v>
      </c>
      <c r="F555" s="59" t="s">
        <v>3929</v>
      </c>
      <c r="G555" s="28" t="str">
        <f>IF(NOT(ISERROR(MATCH(D555,'Tannbleking - Oppsalg US'!D:D, 0))), "Ja", "")</f>
        <v/>
      </c>
      <c r="H555" s="71" t="s">
        <v>50</v>
      </c>
      <c r="I555" s="71" t="s">
        <v>44</v>
      </c>
      <c r="J555" s="60"/>
      <c r="K555" s="61"/>
      <c r="L555" s="73" t="s">
        <v>128</v>
      </c>
      <c r="M555" s="74" t="s">
        <v>1613</v>
      </c>
      <c r="N555" s="64">
        <v>6.962923238937E12</v>
      </c>
      <c r="O555" s="65" t="str">
        <f t="shared" si="1"/>
        <v>22/06/2026</v>
      </c>
      <c r="P555" s="66">
        <f t="shared" si="2"/>
        <v>1782087540</v>
      </c>
      <c r="Q555" s="67"/>
      <c r="R555" s="65"/>
      <c r="S555" s="68"/>
      <c r="T555" s="68" t="s">
        <v>3930</v>
      </c>
      <c r="U555" s="68" t="s">
        <v>3931</v>
      </c>
      <c r="V555" s="68" t="s">
        <v>3932</v>
      </c>
      <c r="W555" s="68"/>
      <c r="X555" s="68" t="s">
        <v>132</v>
      </c>
      <c r="Y555" s="75" t="s">
        <v>133</v>
      </c>
      <c r="Z555" s="75" t="s">
        <v>134</v>
      </c>
      <c r="AA555" s="68"/>
      <c r="AB555" s="68"/>
      <c r="AC555" s="76" t="s">
        <v>280</v>
      </c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</row>
    <row r="556">
      <c r="A556" s="55">
        <v>46195.0</v>
      </c>
      <c r="B556" s="56" t="s">
        <v>3670</v>
      </c>
      <c r="C556" s="71" t="s">
        <v>3933</v>
      </c>
      <c r="D556" s="71" t="s">
        <v>3934</v>
      </c>
      <c r="E556" s="72">
        <v>4792686109</v>
      </c>
      <c r="F556" s="59" t="s">
        <v>3935</v>
      </c>
      <c r="G556" s="28" t="str">
        <f>IF(NOT(ISERROR(MATCH(D556,'Tannbleking - Oppsalg US'!D:D, 0))), "Ja", "")</f>
        <v/>
      </c>
      <c r="H556" s="71" t="s">
        <v>50</v>
      </c>
      <c r="I556" s="71" t="s">
        <v>44</v>
      </c>
      <c r="J556" s="60"/>
      <c r="K556" s="61"/>
      <c r="L556" s="73" t="s">
        <v>128</v>
      </c>
      <c r="M556" s="74" t="s">
        <v>1954</v>
      </c>
      <c r="N556" s="64">
        <v>6.962923238537E12</v>
      </c>
      <c r="O556" s="65" t="str">
        <f t="shared" si="1"/>
        <v>22/06/2026</v>
      </c>
      <c r="P556" s="66">
        <f t="shared" si="2"/>
        <v>1782129540</v>
      </c>
      <c r="Q556" s="67"/>
      <c r="R556" s="65"/>
      <c r="S556" s="68"/>
      <c r="T556" s="68" t="s">
        <v>3936</v>
      </c>
      <c r="U556" s="68" t="s">
        <v>3937</v>
      </c>
      <c r="V556" s="68" t="s">
        <v>3938</v>
      </c>
      <c r="W556" s="68"/>
      <c r="X556" s="68" t="s">
        <v>132</v>
      </c>
      <c r="Y556" s="75" t="s">
        <v>133</v>
      </c>
      <c r="Z556" s="75" t="s">
        <v>134</v>
      </c>
      <c r="AA556" s="68"/>
      <c r="AB556" s="68"/>
      <c r="AC556" s="76" t="s">
        <v>135</v>
      </c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</row>
    <row r="557">
      <c r="A557" s="55">
        <v>46196.0</v>
      </c>
      <c r="B557" s="56" t="s">
        <v>2107</v>
      </c>
      <c r="C557" s="71" t="s">
        <v>3939</v>
      </c>
      <c r="D557" s="71" t="s">
        <v>3940</v>
      </c>
      <c r="E557" s="72">
        <v>4740198586</v>
      </c>
      <c r="F557" s="59" t="s">
        <v>3941</v>
      </c>
      <c r="G557" s="28" t="str">
        <f>IF(NOT(ISERROR(MATCH(D557,'Tannbleking - Oppsalg US'!D:D, 0))), "Ja", "")</f>
        <v/>
      </c>
      <c r="H557" s="71" t="s">
        <v>90</v>
      </c>
      <c r="I557" s="71" t="s">
        <v>107</v>
      </c>
      <c r="J557" s="60" t="s">
        <v>3942</v>
      </c>
      <c r="K557" s="61"/>
      <c r="L557" s="73" t="s">
        <v>128</v>
      </c>
      <c r="M557" s="74" t="s">
        <v>1613</v>
      </c>
      <c r="N557" s="64">
        <v>6.962923238937E12</v>
      </c>
      <c r="O557" s="65" t="str">
        <f t="shared" si="1"/>
        <v>23/06/2026</v>
      </c>
      <c r="P557" s="66">
        <f t="shared" si="2"/>
        <v>1782245340</v>
      </c>
      <c r="Q557" s="67"/>
      <c r="R557" s="65"/>
      <c r="S557" s="68"/>
      <c r="T557" s="68" t="s">
        <v>3943</v>
      </c>
      <c r="U557" s="68" t="s">
        <v>3944</v>
      </c>
      <c r="V557" s="68" t="s">
        <v>3945</v>
      </c>
      <c r="W557" s="68"/>
      <c r="X557" s="68" t="s">
        <v>132</v>
      </c>
      <c r="Y557" s="75" t="s">
        <v>133</v>
      </c>
      <c r="Z557" s="75" t="s">
        <v>134</v>
      </c>
      <c r="AA557" s="68"/>
      <c r="AB557" s="68"/>
      <c r="AC557" s="76" t="s">
        <v>135</v>
      </c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</row>
    <row r="558">
      <c r="A558" s="55">
        <v>46196.0</v>
      </c>
      <c r="B558" s="56" t="s">
        <v>3946</v>
      </c>
      <c r="C558" s="71" t="s">
        <v>3947</v>
      </c>
      <c r="D558" s="71" t="s">
        <v>3948</v>
      </c>
      <c r="E558" s="72">
        <v>4790228246</v>
      </c>
      <c r="F558" s="59" t="s">
        <v>3949</v>
      </c>
      <c r="G558" s="28" t="str">
        <f>IF(NOT(ISERROR(MATCH(D558,'Tannbleking - Oppsalg US'!D:D, 0))), "Ja", "")</f>
        <v/>
      </c>
      <c r="H558" s="71" t="s">
        <v>50</v>
      </c>
      <c r="I558" s="71" t="s">
        <v>44</v>
      </c>
      <c r="J558" s="60"/>
      <c r="K558" s="61"/>
      <c r="L558" s="73" t="s">
        <v>128</v>
      </c>
      <c r="M558" s="74" t="s">
        <v>1613</v>
      </c>
      <c r="N558" s="64">
        <v>6.962923238937E12</v>
      </c>
      <c r="O558" s="65" t="str">
        <f t="shared" si="1"/>
        <v>23/06/2026</v>
      </c>
      <c r="P558" s="66">
        <f t="shared" si="2"/>
        <v>1782250800</v>
      </c>
      <c r="Q558" s="67"/>
      <c r="R558" s="65"/>
      <c r="S558" s="68"/>
      <c r="T558" s="68" t="s">
        <v>3950</v>
      </c>
      <c r="U558" s="68" t="s">
        <v>3951</v>
      </c>
      <c r="V558" s="68" t="s">
        <v>3952</v>
      </c>
      <c r="W558" s="68"/>
      <c r="X558" s="68" t="s">
        <v>132</v>
      </c>
      <c r="Y558" s="75" t="s">
        <v>133</v>
      </c>
      <c r="Z558" s="75" t="s">
        <v>134</v>
      </c>
      <c r="AA558" s="68"/>
      <c r="AB558" s="68"/>
      <c r="AC558" s="76" t="s">
        <v>144</v>
      </c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</row>
    <row r="559">
      <c r="A559" s="55">
        <v>46197.0</v>
      </c>
      <c r="B559" s="56" t="s">
        <v>3953</v>
      </c>
      <c r="C559" s="71" t="s">
        <v>3954</v>
      </c>
      <c r="D559" s="71" t="s">
        <v>3955</v>
      </c>
      <c r="E559" s="72">
        <v>4745185045</v>
      </c>
      <c r="F559" s="59" t="s">
        <v>3956</v>
      </c>
      <c r="G559" s="28" t="str">
        <f>IF(NOT(ISERROR(MATCH(D559,'Tannbleking - Oppsalg US'!D:D, 0))), "Ja", "")</f>
        <v/>
      </c>
      <c r="H559" s="71" t="s">
        <v>50</v>
      </c>
      <c r="I559" s="71" t="s">
        <v>44</v>
      </c>
      <c r="J559" s="60"/>
      <c r="K559" s="61"/>
      <c r="L559" s="73" t="s">
        <v>128</v>
      </c>
      <c r="M559" s="74" t="s">
        <v>1613</v>
      </c>
      <c r="N559" s="64">
        <v>6.962923238937E12</v>
      </c>
      <c r="O559" s="65" t="str">
        <f t="shared" si="1"/>
        <v>24/06/2026</v>
      </c>
      <c r="P559" s="66">
        <f t="shared" si="2"/>
        <v>1782296460</v>
      </c>
      <c r="Q559" s="67"/>
      <c r="R559" s="65"/>
      <c r="S559" s="68"/>
      <c r="T559" s="68" t="s">
        <v>3957</v>
      </c>
      <c r="U559" s="68" t="s">
        <v>3958</v>
      </c>
      <c r="V559" s="68" t="s">
        <v>3959</v>
      </c>
      <c r="W559" s="68"/>
      <c r="X559" s="68" t="s">
        <v>132</v>
      </c>
      <c r="Y559" s="75" t="s">
        <v>133</v>
      </c>
      <c r="Z559" s="75" t="s">
        <v>134</v>
      </c>
      <c r="AA559" s="68"/>
      <c r="AB559" s="68"/>
      <c r="AC559" s="76" t="s">
        <v>135</v>
      </c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</row>
    <row r="560">
      <c r="A560" s="55">
        <v>46197.0</v>
      </c>
      <c r="B560" s="56" t="s">
        <v>3960</v>
      </c>
      <c r="C560" s="71" t="s">
        <v>3961</v>
      </c>
      <c r="D560" s="71" t="s">
        <v>3962</v>
      </c>
      <c r="E560" s="72">
        <v>4792812940</v>
      </c>
      <c r="F560" s="59" t="s">
        <v>3963</v>
      </c>
      <c r="G560" s="28" t="str">
        <f>IF(NOT(ISERROR(MATCH(D560,'Tannbleking - Oppsalg US'!D:D, 0))), "Ja", "")</f>
        <v/>
      </c>
      <c r="H560" s="71" t="s">
        <v>50</v>
      </c>
      <c r="I560" s="71" t="s">
        <v>44</v>
      </c>
      <c r="J560" s="60"/>
      <c r="K560" s="61"/>
      <c r="L560" s="73" t="s">
        <v>128</v>
      </c>
      <c r="M560" s="74" t="s">
        <v>1731</v>
      </c>
      <c r="N560" s="64">
        <v>6.962923240137E12</v>
      </c>
      <c r="O560" s="65" t="str">
        <f t="shared" si="1"/>
        <v>24/06/2026</v>
      </c>
      <c r="P560" s="66">
        <f t="shared" si="2"/>
        <v>1782309540</v>
      </c>
      <c r="Q560" s="67"/>
      <c r="R560" s="65"/>
      <c r="S560" s="68"/>
      <c r="T560" s="68" t="s">
        <v>3964</v>
      </c>
      <c r="U560" s="68" t="s">
        <v>3965</v>
      </c>
      <c r="V560" s="68" t="s">
        <v>3966</v>
      </c>
      <c r="W560" s="68"/>
      <c r="X560" s="68" t="s">
        <v>132</v>
      </c>
      <c r="Y560" s="75" t="s">
        <v>133</v>
      </c>
      <c r="Z560" s="75" t="s">
        <v>134</v>
      </c>
      <c r="AA560" s="68"/>
      <c r="AB560" s="68"/>
      <c r="AC560" s="76" t="s">
        <v>144</v>
      </c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</row>
    <row r="561">
      <c r="A561" s="55">
        <v>46198.0</v>
      </c>
      <c r="B561" s="56" t="s">
        <v>3967</v>
      </c>
      <c r="C561" s="71" t="s">
        <v>3968</v>
      </c>
      <c r="D561" s="71" t="s">
        <v>3969</v>
      </c>
      <c r="E561" s="72">
        <v>4790952904</v>
      </c>
      <c r="F561" s="59" t="s">
        <v>3970</v>
      </c>
      <c r="G561" s="28" t="str">
        <f>IF(NOT(ISERROR(MATCH(D561,'Tannbleking - Oppsalg US'!D:D, 0))), "Ja", "")</f>
        <v/>
      </c>
      <c r="H561" s="71" t="s">
        <v>676</v>
      </c>
      <c r="I561" s="71" t="s">
        <v>44</v>
      </c>
      <c r="J561" s="60" t="s">
        <v>3971</v>
      </c>
      <c r="K561" s="61"/>
      <c r="L561" s="73" t="s">
        <v>347</v>
      </c>
      <c r="M561" s="73">
        <v>6.962923238937E12</v>
      </c>
      <c r="N561" s="65"/>
      <c r="O561" s="65" t="str">
        <f t="shared" si="1"/>
        <v>25/06/2026</v>
      </c>
      <c r="P561" s="66">
        <f t="shared" si="2"/>
        <v>1782355860</v>
      </c>
      <c r="Q561" s="67"/>
      <c r="R561" s="65"/>
      <c r="S561" s="68"/>
      <c r="T561" s="68" t="s">
        <v>3972</v>
      </c>
      <c r="U561" s="68" t="s">
        <v>3973</v>
      </c>
      <c r="V561" s="68" t="s">
        <v>3974</v>
      </c>
      <c r="W561" s="68"/>
      <c r="X561" s="68" t="s">
        <v>132</v>
      </c>
      <c r="Y561" s="75" t="s">
        <v>133</v>
      </c>
      <c r="Z561" s="75" t="s">
        <v>134</v>
      </c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</row>
    <row r="562">
      <c r="A562" s="55">
        <v>46198.0</v>
      </c>
      <c r="B562" s="56" t="s">
        <v>266</v>
      </c>
      <c r="C562" s="71" t="s">
        <v>3704</v>
      </c>
      <c r="D562" s="71" t="s">
        <v>3705</v>
      </c>
      <c r="E562" s="72">
        <v>4797854657</v>
      </c>
      <c r="F562" s="59" t="s">
        <v>581</v>
      </c>
      <c r="G562" s="71" t="str">
        <f>IF(NOT(ISERROR(MATCH(D562,'Tannbleking - Oppsalg US'!D:D, 0))), "Ja", "")</f>
        <v/>
      </c>
      <c r="H562" s="71" t="s">
        <v>676</v>
      </c>
      <c r="I562" s="71" t="s">
        <v>44</v>
      </c>
      <c r="J562" s="60" t="s">
        <v>3971</v>
      </c>
      <c r="K562" s="61"/>
      <c r="L562" s="73" t="s">
        <v>128</v>
      </c>
      <c r="M562" s="74" t="s">
        <v>1605</v>
      </c>
      <c r="N562" s="64">
        <v>6.962923239537E12</v>
      </c>
      <c r="O562" s="65" t="str">
        <f t="shared" si="1"/>
        <v>25/06/2026</v>
      </c>
      <c r="P562" s="66">
        <f t="shared" si="2"/>
        <v>1782393600</v>
      </c>
      <c r="Q562" s="67"/>
      <c r="R562" s="65"/>
      <c r="S562" s="68"/>
      <c r="T562" s="68" t="s">
        <v>3975</v>
      </c>
      <c r="U562" s="68" t="s">
        <v>3709</v>
      </c>
      <c r="V562" s="68" t="s">
        <v>3976</v>
      </c>
      <c r="W562" s="68"/>
      <c r="X562" s="68" t="s">
        <v>132</v>
      </c>
      <c r="Y562" s="75" t="s">
        <v>133</v>
      </c>
      <c r="Z562" s="75" t="s">
        <v>134</v>
      </c>
      <c r="AA562" s="68"/>
      <c r="AB562" s="68"/>
      <c r="AC562" s="76" t="s">
        <v>144</v>
      </c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</row>
    <row r="563">
      <c r="A563" s="55">
        <v>46200.0</v>
      </c>
      <c r="B563" s="56" t="s">
        <v>3977</v>
      </c>
      <c r="C563" s="71" t="s">
        <v>3978</v>
      </c>
      <c r="D563" s="71" t="s">
        <v>3979</v>
      </c>
      <c r="E563" s="72">
        <v>4748917088</v>
      </c>
      <c r="F563" s="59" t="s">
        <v>3980</v>
      </c>
      <c r="G563" s="28" t="str">
        <f>IF(NOT(ISERROR(MATCH(D563,'Tannbleking - Oppsalg US'!D:D, 0))), "Ja", "")</f>
        <v/>
      </c>
      <c r="H563" s="71" t="s">
        <v>50</v>
      </c>
      <c r="I563" s="71" t="s">
        <v>44</v>
      </c>
      <c r="J563" s="60"/>
      <c r="K563" s="61"/>
      <c r="L563" s="73" t="s">
        <v>128</v>
      </c>
      <c r="M563" s="74" t="s">
        <v>1613</v>
      </c>
      <c r="N563" s="64">
        <v>6.962923238937E12</v>
      </c>
      <c r="O563" s="65" t="str">
        <f t="shared" si="1"/>
        <v>27/06/2026</v>
      </c>
      <c r="P563" s="66">
        <f t="shared" si="2"/>
        <v>1782518880</v>
      </c>
      <c r="Q563" s="67"/>
      <c r="R563" s="65"/>
      <c r="S563" s="68"/>
      <c r="T563" s="68" t="s">
        <v>3981</v>
      </c>
      <c r="U563" s="68" t="s">
        <v>3982</v>
      </c>
      <c r="V563" s="68" t="s">
        <v>3983</v>
      </c>
      <c r="W563" s="68"/>
      <c r="X563" s="68" t="s">
        <v>132</v>
      </c>
      <c r="Y563" s="75" t="s">
        <v>133</v>
      </c>
      <c r="Z563" s="75" t="s">
        <v>134</v>
      </c>
      <c r="AA563" s="68"/>
      <c r="AB563" s="68"/>
      <c r="AC563" s="76" t="s">
        <v>144</v>
      </c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</row>
    <row r="564">
      <c r="A564" s="55">
        <v>46200.0</v>
      </c>
      <c r="B564" s="56" t="s">
        <v>3984</v>
      </c>
      <c r="C564" s="71" t="s">
        <v>3985</v>
      </c>
      <c r="D564" s="71" t="s">
        <v>3986</v>
      </c>
      <c r="E564" s="72">
        <v>4746589319</v>
      </c>
      <c r="F564" s="59" t="s">
        <v>3987</v>
      </c>
      <c r="G564" s="28" t="str">
        <f>IF(NOT(ISERROR(MATCH(D564,'Tannbleking - Oppsalg US'!D:D, 0))), "Ja", "")</f>
        <v/>
      </c>
      <c r="H564" s="71" t="s">
        <v>90</v>
      </c>
      <c r="I564" s="71" t="s">
        <v>44</v>
      </c>
      <c r="J564" s="60" t="s">
        <v>3988</v>
      </c>
      <c r="K564" s="61"/>
      <c r="L564" s="73" t="s">
        <v>128</v>
      </c>
      <c r="M564" s="74" t="s">
        <v>1598</v>
      </c>
      <c r="N564" s="64">
        <v>6.962923240337E12</v>
      </c>
      <c r="O564" s="65" t="str">
        <f t="shared" si="1"/>
        <v>27/06/2026</v>
      </c>
      <c r="P564" s="66">
        <f t="shared" si="2"/>
        <v>1782569220</v>
      </c>
      <c r="Q564" s="67"/>
      <c r="R564" s="65"/>
      <c r="S564" s="68"/>
      <c r="T564" s="68" t="s">
        <v>3989</v>
      </c>
      <c r="U564" s="68" t="s">
        <v>3990</v>
      </c>
      <c r="V564" s="68" t="s">
        <v>3991</v>
      </c>
      <c r="W564" s="68"/>
      <c r="X564" s="68" t="s">
        <v>132</v>
      </c>
      <c r="Y564" s="75" t="s">
        <v>133</v>
      </c>
      <c r="Z564" s="75" t="s">
        <v>134</v>
      </c>
      <c r="AA564" s="68"/>
      <c r="AB564" s="68"/>
      <c r="AC564" s="76" t="s">
        <v>144</v>
      </c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</row>
    <row r="565">
      <c r="A565" s="55">
        <v>46201.0</v>
      </c>
      <c r="B565" s="56" t="s">
        <v>3992</v>
      </c>
      <c r="C565" s="71" t="s">
        <v>3993</v>
      </c>
      <c r="D565" s="71" t="s">
        <v>3994</v>
      </c>
      <c r="E565" s="72">
        <v>4792050107</v>
      </c>
      <c r="F565" s="59" t="s">
        <v>3995</v>
      </c>
      <c r="G565" s="28" t="str">
        <f>IF(NOT(ISERROR(MATCH(D565,'Tannbleking - Oppsalg US'!D:D, 0))), "Ja", "")</f>
        <v/>
      </c>
      <c r="H565" s="71" t="s">
        <v>50</v>
      </c>
      <c r="I565" s="28"/>
      <c r="J565" s="60"/>
      <c r="K565" s="61"/>
      <c r="L565" s="73" t="s">
        <v>128</v>
      </c>
      <c r="M565" s="74" t="s">
        <v>1613</v>
      </c>
      <c r="N565" s="64">
        <v>6.962923238937E12</v>
      </c>
      <c r="O565" s="65" t="str">
        <f t="shared" si="1"/>
        <v>28/06/2026</v>
      </c>
      <c r="P565" s="66">
        <f t="shared" si="2"/>
        <v>1782671940</v>
      </c>
      <c r="Q565" s="67"/>
      <c r="R565" s="65"/>
      <c r="S565" s="68"/>
      <c r="T565" s="68" t="s">
        <v>3996</v>
      </c>
      <c r="U565" s="68" t="s">
        <v>3997</v>
      </c>
      <c r="V565" s="68" t="s">
        <v>3998</v>
      </c>
      <c r="W565" s="68"/>
      <c r="X565" s="68" t="s">
        <v>132</v>
      </c>
      <c r="Y565" s="75" t="s">
        <v>133</v>
      </c>
      <c r="Z565" s="75" t="s">
        <v>134</v>
      </c>
      <c r="AA565" s="68"/>
      <c r="AB565" s="68"/>
      <c r="AC565" s="76" t="s">
        <v>423</v>
      </c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</row>
    <row r="566">
      <c r="A566" s="55">
        <v>46202.0</v>
      </c>
      <c r="B566" s="56" t="s">
        <v>3999</v>
      </c>
      <c r="C566" s="71" t="s">
        <v>4000</v>
      </c>
      <c r="D566" s="71" t="s">
        <v>4001</v>
      </c>
      <c r="E566" s="72">
        <v>4740178617</v>
      </c>
      <c r="F566" s="59" t="s">
        <v>4002</v>
      </c>
      <c r="G566" s="28" t="str">
        <f>IF(NOT(ISERROR(MATCH(D566,'Tannbleking - Oppsalg US'!D:D, 0))), "Ja", "")</f>
        <v/>
      </c>
      <c r="H566" s="71" t="s">
        <v>50</v>
      </c>
      <c r="I566" s="71" t="s">
        <v>44</v>
      </c>
      <c r="J566" s="60"/>
      <c r="K566" s="61"/>
      <c r="L566" s="73" t="s">
        <v>128</v>
      </c>
      <c r="M566" s="74" t="s">
        <v>1836</v>
      </c>
      <c r="N566" s="64">
        <v>6.962923238737E12</v>
      </c>
      <c r="O566" s="65" t="str">
        <f t="shared" si="1"/>
        <v>29/06/2026</v>
      </c>
      <c r="P566" s="66">
        <f t="shared" si="2"/>
        <v>1782772500</v>
      </c>
      <c r="Q566" s="67"/>
      <c r="R566" s="65"/>
      <c r="S566" s="68"/>
      <c r="T566" s="68" t="s">
        <v>4003</v>
      </c>
      <c r="U566" s="68" t="s">
        <v>4004</v>
      </c>
      <c r="V566" s="68" t="s">
        <v>4005</v>
      </c>
      <c r="W566" s="68"/>
      <c r="X566" s="68" t="s">
        <v>132</v>
      </c>
      <c r="Y566" s="75" t="s">
        <v>133</v>
      </c>
      <c r="Z566" s="75" t="s">
        <v>134</v>
      </c>
      <c r="AA566" s="68"/>
      <c r="AB566" s="68"/>
      <c r="AC566" s="76" t="s">
        <v>1126</v>
      </c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</row>
    <row r="567">
      <c r="A567" s="55">
        <v>46202.0</v>
      </c>
      <c r="B567" s="56" t="s">
        <v>4006</v>
      </c>
      <c r="C567" s="71" t="s">
        <v>4007</v>
      </c>
      <c r="D567" s="71" t="s">
        <v>4008</v>
      </c>
      <c r="E567" s="72">
        <v>4748631978</v>
      </c>
      <c r="F567" s="59" t="s">
        <v>4009</v>
      </c>
      <c r="G567" s="28" t="str">
        <f>IF(NOT(ISERROR(MATCH(D567,'Tannbleking - Oppsalg US'!D:D, 0))), "Ja", "")</f>
        <v/>
      </c>
      <c r="H567" s="71" t="s">
        <v>50</v>
      </c>
      <c r="I567" s="71" t="s">
        <v>44</v>
      </c>
      <c r="J567" s="60"/>
      <c r="K567" s="61"/>
      <c r="L567" s="73" t="s">
        <v>347</v>
      </c>
      <c r="M567" s="73">
        <v>6.962923238937E12</v>
      </c>
      <c r="N567" s="65"/>
      <c r="O567" s="65" t="str">
        <f t="shared" si="1"/>
        <v>29/06/2026</v>
      </c>
      <c r="P567" s="66">
        <f t="shared" si="2"/>
        <v>1782776940</v>
      </c>
      <c r="Q567" s="67"/>
      <c r="R567" s="65"/>
      <c r="S567" s="68"/>
      <c r="T567" s="68" t="s">
        <v>4010</v>
      </c>
      <c r="U567" s="68" t="s">
        <v>4011</v>
      </c>
      <c r="V567" s="68" t="s">
        <v>4012</v>
      </c>
      <c r="W567" s="68"/>
      <c r="X567" s="68" t="s">
        <v>132</v>
      </c>
      <c r="Y567" s="75" t="s">
        <v>133</v>
      </c>
      <c r="Z567" s="75" t="s">
        <v>134</v>
      </c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</row>
    <row r="568">
      <c r="A568" s="55">
        <v>46203.0</v>
      </c>
      <c r="B568" s="56" t="s">
        <v>2179</v>
      </c>
      <c r="C568" s="71" t="s">
        <v>4013</v>
      </c>
      <c r="D568" s="71" t="s">
        <v>4014</v>
      </c>
      <c r="E568" s="72">
        <v>4797775520</v>
      </c>
      <c r="F568" s="59" t="s">
        <v>4015</v>
      </c>
      <c r="G568" s="28" t="str">
        <f>IF(NOT(ISERROR(MATCH(D568,'Tannbleking - Oppsalg US'!D:D, 0))), "Ja", "")</f>
        <v/>
      </c>
      <c r="H568" s="71" t="s">
        <v>50</v>
      </c>
      <c r="I568" s="71" t="s">
        <v>44</v>
      </c>
      <c r="J568" s="60"/>
      <c r="K568" s="61"/>
      <c r="L568" s="73" t="s">
        <v>128</v>
      </c>
      <c r="M568" s="74" t="s">
        <v>1613</v>
      </c>
      <c r="N568" s="64">
        <v>6.962923238937E12</v>
      </c>
      <c r="O568" s="65" t="str">
        <f t="shared" si="1"/>
        <v>30/06/2026</v>
      </c>
      <c r="P568" s="66">
        <f t="shared" si="2"/>
        <v>1782824400</v>
      </c>
      <c r="Q568" s="67"/>
      <c r="R568" s="65"/>
      <c r="S568" s="68"/>
      <c r="T568" s="68" t="s">
        <v>4016</v>
      </c>
      <c r="U568" s="68" t="s">
        <v>4017</v>
      </c>
      <c r="V568" s="68" t="s">
        <v>4018</v>
      </c>
      <c r="W568" s="68"/>
      <c r="X568" s="68" t="s">
        <v>132</v>
      </c>
      <c r="Y568" s="75" t="s">
        <v>133</v>
      </c>
      <c r="Z568" s="75" t="s">
        <v>134</v>
      </c>
      <c r="AA568" s="68"/>
      <c r="AB568" s="68"/>
      <c r="AC568" s="76" t="s">
        <v>1686</v>
      </c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</row>
    <row r="569" ht="15.0" customHeight="1">
      <c r="A569" s="55">
        <v>46203.0</v>
      </c>
      <c r="B569" s="56" t="s">
        <v>4019</v>
      </c>
      <c r="C569" s="71" t="s">
        <v>4020</v>
      </c>
      <c r="D569" s="71" t="s">
        <v>4021</v>
      </c>
      <c r="E569" s="72">
        <v>4796988567</v>
      </c>
      <c r="F569" s="59" t="s">
        <v>4022</v>
      </c>
      <c r="G569" s="28" t="str">
        <f>IF(NOT(ISERROR(MATCH(D569,'Tannbleking - Oppsalg US'!D:D, 0))), "Ja", "")</f>
        <v/>
      </c>
      <c r="H569" s="20" t="s">
        <v>90</v>
      </c>
      <c r="I569" s="20" t="s">
        <v>44</v>
      </c>
      <c r="J569" s="20" t="s">
        <v>4023</v>
      </c>
      <c r="K569" s="61"/>
      <c r="L569" s="73" t="s">
        <v>128</v>
      </c>
      <c r="M569" s="74" t="s">
        <v>1852</v>
      </c>
      <c r="N569" s="64">
        <v>6.962923238337E12</v>
      </c>
      <c r="O569" s="65" t="str">
        <f t="shared" si="1"/>
        <v>30/06/2026</v>
      </c>
      <c r="P569" s="66">
        <f t="shared" si="2"/>
        <v>1782828600</v>
      </c>
      <c r="Q569" s="67"/>
      <c r="R569" s="65"/>
      <c r="S569" s="68"/>
      <c r="T569" s="68" t="s">
        <v>4024</v>
      </c>
      <c r="U569" s="68" t="s">
        <v>4025</v>
      </c>
      <c r="V569" s="68" t="s">
        <v>4026</v>
      </c>
      <c r="W569" s="68"/>
      <c r="X569" s="68" t="s">
        <v>132</v>
      </c>
      <c r="Y569" s="75" t="s">
        <v>133</v>
      </c>
      <c r="Z569" s="75" t="s">
        <v>134</v>
      </c>
      <c r="AA569" s="68"/>
      <c r="AB569" s="68"/>
      <c r="AC569" s="76" t="s">
        <v>135</v>
      </c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</row>
  </sheetData>
  <dataValidations>
    <dataValidation type="list" allowBlank="1" showErrorMessage="1" sqref="I1:I569">
      <formula1>"#1,#2,#3,#4,#5"</formula1>
    </dataValidation>
    <dataValidation type="list" allowBlank="1" sqref="G2:G569">
      <formula1>"Ja,Nei,Usikker"</formula1>
    </dataValidation>
    <dataValidation type="list" allowBlank="1" sqref="H1:H569">
      <formula1>"Booket til time,Ikke fått kontakt,Ikke interessert,Følg opp"</formula1>
    </dataValidation>
  </dataValidations>
  <hyperlinks>
    <hyperlink r:id="rId1" ref="Y1"/>
    <hyperlink r:id="rId2" ref="Z1"/>
    <hyperlink r:id="rId3" ref="Y2"/>
    <hyperlink r:id="rId4" ref="Z2"/>
    <hyperlink r:id="rId5" ref="Y3"/>
    <hyperlink r:id="rId6" ref="Z3"/>
    <hyperlink r:id="rId7" ref="Y4"/>
    <hyperlink r:id="rId8" ref="Z4"/>
    <hyperlink r:id="rId9" ref="Y5"/>
    <hyperlink r:id="rId10" ref="Z5"/>
    <hyperlink r:id="rId11" ref="Y6"/>
    <hyperlink r:id="rId12" ref="Z6"/>
    <hyperlink r:id="rId13" ref="Y7"/>
    <hyperlink r:id="rId14" ref="Z7"/>
    <hyperlink r:id="rId15" ref="Y8"/>
    <hyperlink r:id="rId16" ref="Z8"/>
    <hyperlink r:id="rId17" ref="Y9"/>
    <hyperlink r:id="rId18" ref="Z9"/>
    <hyperlink r:id="rId19" ref="Y10"/>
    <hyperlink r:id="rId20" ref="Z10"/>
    <hyperlink r:id="rId21" ref="Y11"/>
    <hyperlink r:id="rId22" ref="Z11"/>
    <hyperlink r:id="rId23" ref="Y12"/>
    <hyperlink r:id="rId24" ref="Z12"/>
    <hyperlink r:id="rId25" ref="Y13"/>
    <hyperlink r:id="rId26" ref="Z13"/>
    <hyperlink r:id="rId27" ref="Y14"/>
    <hyperlink r:id="rId28" ref="Z14"/>
    <hyperlink r:id="rId29" ref="Y15"/>
    <hyperlink r:id="rId30" ref="Z15"/>
    <hyperlink r:id="rId31" ref="Y16"/>
    <hyperlink r:id="rId32" ref="Z16"/>
    <hyperlink r:id="rId33" ref="Y17"/>
    <hyperlink r:id="rId34" ref="Z17"/>
    <hyperlink r:id="rId35" ref="Y18"/>
    <hyperlink r:id="rId36" ref="Z18"/>
    <hyperlink r:id="rId37" ref="Y19"/>
    <hyperlink r:id="rId38" ref="Z19"/>
    <hyperlink r:id="rId39" ref="Y20"/>
    <hyperlink r:id="rId40" ref="Z20"/>
    <hyperlink r:id="rId41" ref="Y21"/>
    <hyperlink r:id="rId42" ref="Z21"/>
    <hyperlink r:id="rId43" ref="Y22"/>
    <hyperlink r:id="rId44" ref="Z22"/>
    <hyperlink r:id="rId45" ref="Y23"/>
    <hyperlink r:id="rId46" ref="Z23"/>
    <hyperlink r:id="rId47" ref="Y24"/>
    <hyperlink r:id="rId48" ref="Z24"/>
    <hyperlink r:id="rId49" ref="Y25"/>
    <hyperlink r:id="rId50" ref="Z25"/>
    <hyperlink r:id="rId51" ref="Y26"/>
    <hyperlink r:id="rId52" ref="Z26"/>
    <hyperlink r:id="rId53" ref="Y27"/>
    <hyperlink r:id="rId54" ref="Z27"/>
    <hyperlink r:id="rId55" ref="Y28"/>
    <hyperlink r:id="rId56" ref="Z28"/>
    <hyperlink r:id="rId57" ref="Y29"/>
    <hyperlink r:id="rId58" ref="Z29"/>
    <hyperlink r:id="rId59" ref="Y30"/>
    <hyperlink r:id="rId60" ref="Z30"/>
    <hyperlink r:id="rId61" ref="Y31"/>
    <hyperlink r:id="rId62" ref="Z31"/>
    <hyperlink r:id="rId63" ref="Y32"/>
    <hyperlink r:id="rId64" ref="Z32"/>
    <hyperlink r:id="rId65" ref="Y33"/>
    <hyperlink r:id="rId66" ref="Z33"/>
    <hyperlink r:id="rId67" ref="Y34"/>
    <hyperlink r:id="rId68" ref="Z34"/>
    <hyperlink r:id="rId69" ref="Y35"/>
    <hyperlink r:id="rId70" ref="Z35"/>
    <hyperlink r:id="rId71" ref="Y36"/>
    <hyperlink r:id="rId72" ref="Z36"/>
    <hyperlink r:id="rId73" ref="Y37"/>
    <hyperlink r:id="rId74" ref="Z37"/>
    <hyperlink r:id="rId75" ref="Y38"/>
    <hyperlink r:id="rId76" ref="Z38"/>
    <hyperlink r:id="rId77" ref="Y39"/>
    <hyperlink r:id="rId78" ref="Z39"/>
    <hyperlink r:id="rId79" ref="Y40"/>
    <hyperlink r:id="rId80" ref="Z40"/>
    <hyperlink r:id="rId81" ref="Y41"/>
    <hyperlink r:id="rId82" ref="Z41"/>
    <hyperlink r:id="rId83" ref="Y42"/>
    <hyperlink r:id="rId84" ref="Z42"/>
    <hyperlink r:id="rId85" ref="Y43"/>
    <hyperlink r:id="rId86" ref="Z43"/>
    <hyperlink r:id="rId87" ref="Y44"/>
    <hyperlink r:id="rId88" ref="Z44"/>
    <hyperlink r:id="rId89" ref="Y45"/>
    <hyperlink r:id="rId90" ref="Z45"/>
    <hyperlink r:id="rId91" ref="Y46"/>
    <hyperlink r:id="rId92" ref="Z46"/>
    <hyperlink r:id="rId93" ref="Y47"/>
    <hyperlink r:id="rId94" ref="Z47"/>
    <hyperlink r:id="rId95" ref="Y48"/>
    <hyperlink r:id="rId96" ref="Z48"/>
    <hyperlink r:id="rId97" ref="Y49"/>
    <hyperlink r:id="rId98" ref="Z49"/>
    <hyperlink r:id="rId99" ref="Y50"/>
    <hyperlink r:id="rId100" ref="Z50"/>
    <hyperlink r:id="rId101" ref="Y51"/>
    <hyperlink r:id="rId102" ref="Z51"/>
    <hyperlink r:id="rId103" ref="Y52"/>
    <hyperlink r:id="rId104" ref="Z52"/>
    <hyperlink r:id="rId105" ref="Y53"/>
    <hyperlink r:id="rId106" ref="Z53"/>
    <hyperlink r:id="rId107" ref="Y54"/>
    <hyperlink r:id="rId108" ref="Z54"/>
    <hyperlink r:id="rId109" ref="Y55"/>
    <hyperlink r:id="rId110" ref="Z55"/>
    <hyperlink r:id="rId111" ref="Y56"/>
    <hyperlink r:id="rId112" ref="Z56"/>
    <hyperlink r:id="rId113" ref="Y57"/>
    <hyperlink r:id="rId114" ref="Z57"/>
    <hyperlink r:id="rId115" ref="Y58"/>
    <hyperlink r:id="rId116" ref="Z58"/>
    <hyperlink r:id="rId117" ref="Y59"/>
    <hyperlink r:id="rId118" ref="Z59"/>
    <hyperlink r:id="rId119" ref="Y60"/>
    <hyperlink r:id="rId120" ref="Z60"/>
    <hyperlink r:id="rId121" ref="Y61"/>
    <hyperlink r:id="rId122" ref="Z61"/>
    <hyperlink r:id="rId123" ref="Y62"/>
    <hyperlink r:id="rId124" ref="Z62"/>
    <hyperlink r:id="rId125" ref="Y63"/>
    <hyperlink r:id="rId126" ref="Z63"/>
    <hyperlink r:id="rId127" ref="Y64"/>
    <hyperlink r:id="rId128" ref="Z64"/>
    <hyperlink r:id="rId129" ref="Y65"/>
    <hyperlink r:id="rId130" ref="Z65"/>
    <hyperlink r:id="rId131" ref="Y66"/>
    <hyperlink r:id="rId132" ref="Z66"/>
    <hyperlink r:id="rId133" ref="Y67"/>
    <hyperlink r:id="rId134" ref="Z67"/>
    <hyperlink r:id="rId135" ref="Y68"/>
    <hyperlink r:id="rId136" ref="Z68"/>
    <hyperlink r:id="rId137" ref="Y69"/>
    <hyperlink r:id="rId138" ref="Z69"/>
    <hyperlink r:id="rId139" ref="Y70"/>
    <hyperlink r:id="rId140" ref="Z70"/>
    <hyperlink r:id="rId141" ref="Y71"/>
    <hyperlink r:id="rId142" ref="Z71"/>
    <hyperlink r:id="rId143" ref="Y72"/>
    <hyperlink r:id="rId144" ref="Z72"/>
    <hyperlink r:id="rId145" ref="Y73"/>
    <hyperlink r:id="rId146" ref="Z73"/>
    <hyperlink r:id="rId147" ref="Y74"/>
    <hyperlink r:id="rId148" ref="Z74"/>
    <hyperlink r:id="rId149" ref="Y75"/>
    <hyperlink r:id="rId150" ref="Z75"/>
    <hyperlink r:id="rId151" ref="Y76"/>
    <hyperlink r:id="rId152" ref="Z76"/>
    <hyperlink r:id="rId153" ref="Y77"/>
    <hyperlink r:id="rId154" ref="Z77"/>
    <hyperlink r:id="rId155" ref="Y78"/>
    <hyperlink r:id="rId156" ref="Z78"/>
    <hyperlink r:id="rId157" ref="Y79"/>
    <hyperlink r:id="rId158" ref="Z79"/>
    <hyperlink r:id="rId159" ref="Y80"/>
    <hyperlink r:id="rId160" ref="Z80"/>
    <hyperlink r:id="rId161" ref="Y81"/>
    <hyperlink r:id="rId162" ref="Z81"/>
    <hyperlink r:id="rId163" ref="Y82"/>
    <hyperlink r:id="rId164" ref="Z82"/>
    <hyperlink r:id="rId165" ref="Y83"/>
    <hyperlink r:id="rId166" ref="Z83"/>
    <hyperlink r:id="rId167" ref="Y84"/>
    <hyperlink r:id="rId168" ref="Z84"/>
    <hyperlink r:id="rId169" ref="Y85"/>
    <hyperlink r:id="rId170" ref="Z85"/>
    <hyperlink r:id="rId171" ref="Y86"/>
    <hyperlink r:id="rId172" ref="Z86"/>
    <hyperlink r:id="rId173" ref="Y87"/>
    <hyperlink r:id="rId174" ref="Z87"/>
    <hyperlink r:id="rId175" ref="Y88"/>
    <hyperlink r:id="rId176" ref="Z88"/>
    <hyperlink r:id="rId177" ref="Y89"/>
    <hyperlink r:id="rId178" ref="Z89"/>
    <hyperlink r:id="rId179" ref="Y90"/>
    <hyperlink r:id="rId180" ref="Z90"/>
    <hyperlink r:id="rId181" ref="Y91"/>
    <hyperlink r:id="rId182" ref="Z91"/>
    <hyperlink r:id="rId183" ref="Y92"/>
    <hyperlink r:id="rId184" ref="Z92"/>
    <hyperlink r:id="rId185" ref="Y93"/>
    <hyperlink r:id="rId186" ref="Z93"/>
    <hyperlink r:id="rId187" ref="Y94"/>
    <hyperlink r:id="rId188" ref="Z94"/>
    <hyperlink r:id="rId189" ref="Y95"/>
    <hyperlink r:id="rId190" ref="Z95"/>
    <hyperlink r:id="rId191" ref="Y96"/>
    <hyperlink r:id="rId192" ref="Z96"/>
    <hyperlink r:id="rId193" ref="Y97"/>
    <hyperlink r:id="rId194" ref="Z97"/>
    <hyperlink r:id="rId195" ref="Y98"/>
    <hyperlink r:id="rId196" ref="Z98"/>
    <hyperlink r:id="rId197" ref="Y99"/>
    <hyperlink r:id="rId198" ref="Z99"/>
    <hyperlink r:id="rId199" ref="Y100"/>
    <hyperlink r:id="rId200" ref="Z100"/>
    <hyperlink r:id="rId201" ref="Y101"/>
    <hyperlink r:id="rId202" ref="Z101"/>
    <hyperlink r:id="rId203" ref="Y102"/>
    <hyperlink r:id="rId204" ref="Z102"/>
    <hyperlink r:id="rId205" ref="Y103"/>
    <hyperlink r:id="rId206" ref="Z103"/>
    <hyperlink r:id="rId207" ref="Y104"/>
    <hyperlink r:id="rId208" ref="Z104"/>
    <hyperlink r:id="rId209" ref="Y105"/>
    <hyperlink r:id="rId210" ref="Z105"/>
    <hyperlink r:id="rId211" ref="Y106"/>
    <hyperlink r:id="rId212" ref="Z106"/>
    <hyperlink r:id="rId213" ref="Y107"/>
    <hyperlink r:id="rId214" ref="Z107"/>
    <hyperlink r:id="rId215" ref="Y108"/>
    <hyperlink r:id="rId216" ref="Z108"/>
    <hyperlink r:id="rId217" ref="Y109"/>
    <hyperlink r:id="rId218" ref="Z109"/>
    <hyperlink r:id="rId219" ref="Y110"/>
    <hyperlink r:id="rId220" ref="Z110"/>
    <hyperlink r:id="rId221" ref="Y111"/>
    <hyperlink r:id="rId222" ref="Z111"/>
    <hyperlink r:id="rId223" ref="Y112"/>
    <hyperlink r:id="rId224" ref="Z112"/>
    <hyperlink r:id="rId225" ref="Y113"/>
    <hyperlink r:id="rId226" ref="Z113"/>
    <hyperlink r:id="rId227" ref="Y114"/>
    <hyperlink r:id="rId228" ref="Z114"/>
    <hyperlink r:id="rId229" ref="Y115"/>
    <hyperlink r:id="rId230" ref="Z115"/>
    <hyperlink r:id="rId231" ref="Y116"/>
    <hyperlink r:id="rId232" ref="Z116"/>
    <hyperlink r:id="rId233" ref="Y117"/>
    <hyperlink r:id="rId234" ref="Z117"/>
    <hyperlink r:id="rId235" ref="Y118"/>
    <hyperlink r:id="rId236" ref="Z118"/>
    <hyperlink r:id="rId237" ref="Y119"/>
    <hyperlink r:id="rId238" ref="Z119"/>
    <hyperlink r:id="rId239" ref="Y120"/>
    <hyperlink r:id="rId240" ref="Z120"/>
    <hyperlink r:id="rId241" ref="Y121"/>
    <hyperlink r:id="rId242" ref="Z121"/>
    <hyperlink r:id="rId243" ref="Y122"/>
    <hyperlink r:id="rId244" ref="Z122"/>
    <hyperlink r:id="rId245" ref="Y123"/>
    <hyperlink r:id="rId246" ref="Z123"/>
    <hyperlink r:id="rId247" ref="Y124"/>
    <hyperlink r:id="rId248" ref="Z124"/>
    <hyperlink r:id="rId249" ref="Y125"/>
    <hyperlink r:id="rId250" ref="Z125"/>
    <hyperlink r:id="rId251" ref="Y126"/>
    <hyperlink r:id="rId252" ref="Z126"/>
    <hyperlink r:id="rId253" ref="Y127"/>
    <hyperlink r:id="rId254" ref="Z127"/>
    <hyperlink r:id="rId255" ref="Y128"/>
    <hyperlink r:id="rId256" ref="Z128"/>
    <hyperlink r:id="rId257" ref="Y129"/>
    <hyperlink r:id="rId258" ref="Z129"/>
    <hyperlink r:id="rId259" ref="Y130"/>
    <hyperlink r:id="rId260" ref="Z130"/>
    <hyperlink r:id="rId261" ref="Y131"/>
    <hyperlink r:id="rId262" ref="Z131"/>
    <hyperlink r:id="rId263" ref="Y132"/>
    <hyperlink r:id="rId264" ref="Z132"/>
    <hyperlink r:id="rId265" ref="Y133"/>
    <hyperlink r:id="rId266" ref="Z133"/>
    <hyperlink r:id="rId267" ref="Y134"/>
    <hyperlink r:id="rId268" ref="Z134"/>
    <hyperlink r:id="rId269" ref="Y135"/>
    <hyperlink r:id="rId270" ref="Z135"/>
    <hyperlink r:id="rId271" ref="Y136"/>
    <hyperlink r:id="rId272" ref="Z136"/>
    <hyperlink r:id="rId273" ref="Y137"/>
    <hyperlink r:id="rId274" ref="Z137"/>
    <hyperlink r:id="rId275" ref="Y138"/>
    <hyperlink r:id="rId276" ref="Z138"/>
    <hyperlink r:id="rId277" ref="Y139"/>
    <hyperlink r:id="rId278" ref="Z139"/>
    <hyperlink r:id="rId279" ref="Y140"/>
    <hyperlink r:id="rId280" ref="Z140"/>
    <hyperlink r:id="rId281" ref="Y141"/>
    <hyperlink r:id="rId282" ref="Z141"/>
    <hyperlink r:id="rId283" ref="Y142"/>
    <hyperlink r:id="rId284" ref="Z142"/>
    <hyperlink r:id="rId285" ref="Y143"/>
    <hyperlink r:id="rId286" ref="Z143"/>
    <hyperlink r:id="rId287" ref="Y144"/>
    <hyperlink r:id="rId288" ref="Z144"/>
    <hyperlink r:id="rId289" ref="Y145"/>
    <hyperlink r:id="rId290" ref="Z145"/>
    <hyperlink r:id="rId291" ref="Y146"/>
    <hyperlink r:id="rId292" ref="Z146"/>
    <hyperlink r:id="rId293" ref="Y147"/>
    <hyperlink r:id="rId294" ref="Z147"/>
    <hyperlink r:id="rId295" ref="Y148"/>
    <hyperlink r:id="rId296" ref="Z148"/>
    <hyperlink r:id="rId297" ref="Y149"/>
    <hyperlink r:id="rId298" ref="Z149"/>
    <hyperlink r:id="rId299" ref="Y150"/>
    <hyperlink r:id="rId300" ref="Z150"/>
    <hyperlink r:id="rId301" ref="Y151"/>
    <hyperlink r:id="rId302" ref="Z151"/>
    <hyperlink r:id="rId303" ref="Y152"/>
    <hyperlink r:id="rId304" ref="Z152"/>
    <hyperlink r:id="rId305" ref="Y153"/>
    <hyperlink r:id="rId306" ref="Z153"/>
    <hyperlink r:id="rId307" ref="Y154"/>
    <hyperlink r:id="rId308" ref="Z154"/>
    <hyperlink r:id="rId309" ref="Y155"/>
    <hyperlink r:id="rId310" ref="Z155"/>
    <hyperlink r:id="rId311" ref="Y156"/>
    <hyperlink r:id="rId312" ref="Z156"/>
    <hyperlink r:id="rId313" ref="Y157"/>
    <hyperlink r:id="rId314" ref="Z157"/>
    <hyperlink r:id="rId315" ref="Y158"/>
    <hyperlink r:id="rId316" ref="Z158"/>
    <hyperlink r:id="rId317" ref="Y159"/>
    <hyperlink r:id="rId318" ref="Z159"/>
    <hyperlink r:id="rId319" ref="Y160"/>
    <hyperlink r:id="rId320" ref="Z160"/>
    <hyperlink r:id="rId321" ref="Y161"/>
    <hyperlink r:id="rId322" ref="Z161"/>
    <hyperlink r:id="rId323" ref="Y162"/>
    <hyperlink r:id="rId324" ref="Z162"/>
    <hyperlink r:id="rId325" ref="Y163"/>
    <hyperlink r:id="rId326" ref="Z163"/>
    <hyperlink r:id="rId327" ref="Y164"/>
    <hyperlink r:id="rId328" ref="Z164"/>
    <hyperlink r:id="rId329" ref="Y165"/>
    <hyperlink r:id="rId330" ref="Z165"/>
    <hyperlink r:id="rId331" ref="Y166"/>
    <hyperlink r:id="rId332" ref="Z166"/>
    <hyperlink r:id="rId333" ref="Y167"/>
    <hyperlink r:id="rId334" ref="Z167"/>
    <hyperlink r:id="rId335" ref="Y168"/>
    <hyperlink r:id="rId336" ref="Z168"/>
    <hyperlink r:id="rId337" ref="Y169"/>
    <hyperlink r:id="rId338" ref="Z169"/>
    <hyperlink r:id="rId339" ref="Y170"/>
    <hyperlink r:id="rId340" ref="Z170"/>
    <hyperlink r:id="rId341" ref="Y171"/>
    <hyperlink r:id="rId342" ref="Z171"/>
    <hyperlink r:id="rId343" ref="Y172"/>
    <hyperlink r:id="rId344" ref="Z172"/>
    <hyperlink r:id="rId345" ref="Y173"/>
    <hyperlink r:id="rId346" ref="Z173"/>
    <hyperlink r:id="rId347" ref="Y174"/>
    <hyperlink r:id="rId348" ref="Z174"/>
    <hyperlink r:id="rId349" ref="Y175"/>
    <hyperlink r:id="rId350" ref="Z175"/>
    <hyperlink r:id="rId351" ref="Y176"/>
    <hyperlink r:id="rId352" ref="Z176"/>
    <hyperlink r:id="rId353" ref="Y177"/>
    <hyperlink r:id="rId354" ref="Z177"/>
    <hyperlink r:id="rId355" ref="Y178"/>
    <hyperlink r:id="rId356" ref="Z178"/>
    <hyperlink r:id="rId357" ref="Y179"/>
    <hyperlink r:id="rId358" ref="Z179"/>
    <hyperlink r:id="rId359" ref="Y180"/>
    <hyperlink r:id="rId360" ref="Z180"/>
    <hyperlink r:id="rId361" ref="Y181"/>
    <hyperlink r:id="rId362" ref="Z181"/>
    <hyperlink r:id="rId363" ref="Y182"/>
    <hyperlink r:id="rId364" ref="Z182"/>
    <hyperlink r:id="rId365" ref="Y183"/>
    <hyperlink r:id="rId366" ref="Z183"/>
    <hyperlink r:id="rId367" ref="Y184"/>
    <hyperlink r:id="rId368" ref="Z184"/>
    <hyperlink r:id="rId369" ref="Y185"/>
    <hyperlink r:id="rId370" ref="Z185"/>
    <hyperlink r:id="rId371" ref="Y186"/>
    <hyperlink r:id="rId372" ref="Z186"/>
    <hyperlink r:id="rId373" ref="Y187"/>
    <hyperlink r:id="rId374" ref="Z187"/>
    <hyperlink r:id="rId375" ref="Y188"/>
    <hyperlink r:id="rId376" ref="Z188"/>
    <hyperlink r:id="rId377" ref="Y189"/>
    <hyperlink r:id="rId378" ref="Z189"/>
    <hyperlink r:id="rId379" ref="Y190"/>
    <hyperlink r:id="rId380" ref="Z190"/>
    <hyperlink r:id="rId381" ref="Y191"/>
    <hyperlink r:id="rId382" ref="Z191"/>
    <hyperlink r:id="rId383" ref="Y192"/>
    <hyperlink r:id="rId384" ref="Z192"/>
    <hyperlink r:id="rId385" ref="Y193"/>
    <hyperlink r:id="rId386" ref="Z193"/>
    <hyperlink r:id="rId387" ref="Y194"/>
    <hyperlink r:id="rId388" ref="Z194"/>
    <hyperlink r:id="rId389" ref="Y195"/>
    <hyperlink r:id="rId390" ref="Z195"/>
    <hyperlink r:id="rId391" ref="Y196"/>
    <hyperlink r:id="rId392" ref="Z196"/>
    <hyperlink r:id="rId393" ref="Y197"/>
    <hyperlink r:id="rId394" ref="Z197"/>
    <hyperlink r:id="rId395" ref="Y198"/>
    <hyperlink r:id="rId396" ref="Z198"/>
    <hyperlink r:id="rId397" ref="Y199"/>
    <hyperlink r:id="rId398" ref="Z199"/>
    <hyperlink r:id="rId399" ref="Y200"/>
    <hyperlink r:id="rId400" ref="Z200"/>
    <hyperlink r:id="rId401" ref="Y201"/>
    <hyperlink r:id="rId402" ref="Z201"/>
    <hyperlink r:id="rId403" ref="Y202"/>
    <hyperlink r:id="rId404" ref="Z202"/>
    <hyperlink r:id="rId405" ref="Y203"/>
    <hyperlink r:id="rId406" ref="Z203"/>
    <hyperlink r:id="rId407" ref="Y204"/>
    <hyperlink r:id="rId408" ref="Z204"/>
    <hyperlink r:id="rId409" ref="Y205"/>
    <hyperlink r:id="rId410" ref="Z205"/>
    <hyperlink r:id="rId411" ref="Y206"/>
    <hyperlink r:id="rId412" ref="Z206"/>
    <hyperlink r:id="rId413" ref="Y207"/>
    <hyperlink r:id="rId414" ref="Z207"/>
    <hyperlink r:id="rId415" ref="Y208"/>
    <hyperlink r:id="rId416" ref="Z208"/>
    <hyperlink r:id="rId417" ref="Y209"/>
    <hyperlink r:id="rId418" ref="Z209"/>
    <hyperlink r:id="rId419" ref="Y210"/>
    <hyperlink r:id="rId420" ref="Z210"/>
    <hyperlink r:id="rId421" ref="Y211"/>
    <hyperlink r:id="rId422" ref="Z211"/>
    <hyperlink r:id="rId423" ref="Y212"/>
    <hyperlink r:id="rId424" ref="Z212"/>
    <hyperlink r:id="rId425" ref="Y213"/>
    <hyperlink r:id="rId426" ref="Z213"/>
    <hyperlink r:id="rId427" ref="Y214"/>
    <hyperlink r:id="rId428" ref="Z214"/>
    <hyperlink r:id="rId429" ref="Y215"/>
    <hyperlink r:id="rId430" ref="Z215"/>
    <hyperlink r:id="rId431" ref="Y216"/>
    <hyperlink r:id="rId432" ref="Z216"/>
    <hyperlink r:id="rId433" ref="Y217"/>
    <hyperlink r:id="rId434" ref="Z217"/>
    <hyperlink r:id="rId435" ref="Y218"/>
    <hyperlink r:id="rId436" ref="Z218"/>
    <hyperlink r:id="rId437" ref="Y219"/>
    <hyperlink r:id="rId438" ref="Z219"/>
    <hyperlink r:id="rId439" ref="Y220"/>
    <hyperlink r:id="rId440" ref="Z220"/>
    <hyperlink r:id="rId441" ref="Y221"/>
    <hyperlink r:id="rId442" ref="Z221"/>
    <hyperlink r:id="rId443" ref="Y222"/>
    <hyperlink r:id="rId444" ref="Z222"/>
    <hyperlink r:id="rId445" ref="Y223"/>
    <hyperlink r:id="rId446" ref="Z223"/>
    <hyperlink r:id="rId447" ref="Y224"/>
    <hyperlink r:id="rId448" ref="Z224"/>
    <hyperlink r:id="rId449" ref="Y225"/>
    <hyperlink r:id="rId450" ref="Z225"/>
    <hyperlink r:id="rId451" ref="Y226"/>
    <hyperlink r:id="rId452" ref="Z226"/>
    <hyperlink r:id="rId453" ref="Y227"/>
    <hyperlink r:id="rId454" ref="Z227"/>
    <hyperlink r:id="rId455" ref="Y228"/>
    <hyperlink r:id="rId456" ref="Z228"/>
    <hyperlink r:id="rId457" ref="Y229"/>
    <hyperlink r:id="rId458" ref="Z229"/>
    <hyperlink r:id="rId459" ref="Y230"/>
    <hyperlink r:id="rId460" ref="Z230"/>
    <hyperlink r:id="rId461" ref="Y231"/>
    <hyperlink r:id="rId462" ref="Z231"/>
    <hyperlink r:id="rId463" ref="Y232"/>
    <hyperlink r:id="rId464" ref="Z232"/>
    <hyperlink r:id="rId465" ref="Y233"/>
    <hyperlink r:id="rId466" ref="Z233"/>
    <hyperlink r:id="rId467" ref="Y234"/>
    <hyperlink r:id="rId468" ref="Z234"/>
    <hyperlink r:id="rId469" ref="Y235"/>
    <hyperlink r:id="rId470" ref="Z235"/>
    <hyperlink r:id="rId471" ref="Y236"/>
    <hyperlink r:id="rId472" ref="Z236"/>
    <hyperlink r:id="rId473" ref="Y237"/>
    <hyperlink r:id="rId474" ref="Z237"/>
    <hyperlink r:id="rId475" ref="Y238"/>
    <hyperlink r:id="rId476" ref="Z238"/>
    <hyperlink r:id="rId477" ref="Y239"/>
    <hyperlink r:id="rId478" ref="Z239"/>
    <hyperlink r:id="rId479" ref="Y240"/>
    <hyperlink r:id="rId480" ref="Z240"/>
    <hyperlink r:id="rId481" ref="Y241"/>
    <hyperlink r:id="rId482" ref="Z241"/>
    <hyperlink r:id="rId483" ref="Y242"/>
    <hyperlink r:id="rId484" ref="Z242"/>
    <hyperlink r:id="rId485" ref="Y243"/>
    <hyperlink r:id="rId486" ref="Z243"/>
    <hyperlink r:id="rId487" ref="Y244"/>
    <hyperlink r:id="rId488" ref="Z244"/>
    <hyperlink r:id="rId489" ref="Y245"/>
    <hyperlink r:id="rId490" ref="Z245"/>
    <hyperlink r:id="rId491" ref="Y246"/>
    <hyperlink r:id="rId492" ref="Z246"/>
    <hyperlink r:id="rId493" ref="Y247"/>
    <hyperlink r:id="rId494" ref="Z247"/>
    <hyperlink r:id="rId495" ref="Y248"/>
    <hyperlink r:id="rId496" ref="Z248"/>
    <hyperlink r:id="rId497" ref="Y249"/>
    <hyperlink r:id="rId498" ref="Z249"/>
    <hyperlink r:id="rId499" ref="Y250"/>
    <hyperlink r:id="rId500" ref="Z250"/>
    <hyperlink r:id="rId501" ref="Y251"/>
    <hyperlink r:id="rId502" ref="Z251"/>
    <hyperlink r:id="rId503" ref="Y252"/>
    <hyperlink r:id="rId504" ref="Z252"/>
    <hyperlink r:id="rId505" ref="Y253"/>
    <hyperlink r:id="rId506" ref="Z253"/>
    <hyperlink r:id="rId507" ref="Y254"/>
    <hyperlink r:id="rId508" ref="Z254"/>
    <hyperlink r:id="rId509" ref="Y255"/>
    <hyperlink r:id="rId510" ref="Z255"/>
    <hyperlink r:id="rId511" ref="Y256"/>
    <hyperlink r:id="rId512" ref="Z256"/>
    <hyperlink r:id="rId513" ref="Y257"/>
    <hyperlink r:id="rId514" ref="Z257"/>
    <hyperlink r:id="rId515" ref="Y258"/>
    <hyperlink r:id="rId516" ref="Z258"/>
    <hyperlink r:id="rId517" ref="Y259"/>
    <hyperlink r:id="rId518" ref="Z259"/>
    <hyperlink r:id="rId519" ref="Y260"/>
    <hyperlink r:id="rId520" ref="Z260"/>
    <hyperlink r:id="rId521" ref="Y261"/>
    <hyperlink r:id="rId522" ref="Z261"/>
    <hyperlink r:id="rId523" ref="Y262"/>
    <hyperlink r:id="rId524" ref="Z262"/>
    <hyperlink r:id="rId525" ref="Y263"/>
    <hyperlink r:id="rId526" ref="Z263"/>
    <hyperlink r:id="rId527" ref="Y264"/>
    <hyperlink r:id="rId528" ref="Z264"/>
    <hyperlink r:id="rId529" ref="Y265"/>
    <hyperlink r:id="rId530" ref="Z265"/>
    <hyperlink r:id="rId531" ref="Y266"/>
    <hyperlink r:id="rId532" ref="Z266"/>
    <hyperlink r:id="rId533" ref="Y267"/>
    <hyperlink r:id="rId534" ref="Z267"/>
    <hyperlink r:id="rId535" ref="Y268"/>
    <hyperlink r:id="rId536" ref="Z268"/>
    <hyperlink r:id="rId537" ref="Y269"/>
    <hyperlink r:id="rId538" ref="Z269"/>
    <hyperlink r:id="rId539" ref="Y270"/>
    <hyperlink r:id="rId540" ref="Z270"/>
    <hyperlink r:id="rId541" ref="Y271"/>
    <hyperlink r:id="rId542" ref="Z271"/>
    <hyperlink r:id="rId543" ref="Y272"/>
    <hyperlink r:id="rId544" ref="Z272"/>
    <hyperlink r:id="rId545" ref="Y273"/>
    <hyperlink r:id="rId546" ref="Z273"/>
    <hyperlink r:id="rId547" ref="Y274"/>
    <hyperlink r:id="rId548" ref="Z274"/>
    <hyperlink r:id="rId549" ref="Y275"/>
    <hyperlink r:id="rId550" ref="Z275"/>
    <hyperlink r:id="rId551" ref="Y276"/>
    <hyperlink r:id="rId552" ref="Z276"/>
    <hyperlink r:id="rId553" ref="Y277"/>
    <hyperlink r:id="rId554" ref="Z277"/>
    <hyperlink r:id="rId555" ref="Y278"/>
    <hyperlink r:id="rId556" ref="Z278"/>
    <hyperlink r:id="rId557" ref="Y279"/>
    <hyperlink r:id="rId558" ref="Z279"/>
    <hyperlink r:id="rId559" ref="Y280"/>
    <hyperlink r:id="rId560" ref="Z280"/>
    <hyperlink r:id="rId561" ref="Y281"/>
    <hyperlink r:id="rId562" ref="Z281"/>
    <hyperlink r:id="rId563" ref="Y282"/>
    <hyperlink r:id="rId564" ref="Z282"/>
    <hyperlink r:id="rId565" ref="Y283"/>
    <hyperlink r:id="rId566" ref="Z283"/>
    <hyperlink r:id="rId567" ref="Y284"/>
    <hyperlink r:id="rId568" ref="Z284"/>
    <hyperlink r:id="rId569" ref="Y285"/>
    <hyperlink r:id="rId570" ref="Z285"/>
    <hyperlink r:id="rId571" ref="Y286"/>
    <hyperlink r:id="rId572" ref="Z286"/>
    <hyperlink r:id="rId573" ref="Y287"/>
    <hyperlink r:id="rId574" ref="Z287"/>
    <hyperlink r:id="rId575" ref="Y288"/>
    <hyperlink r:id="rId576" ref="Z288"/>
    <hyperlink r:id="rId577" ref="Y289"/>
    <hyperlink r:id="rId578" ref="Z289"/>
    <hyperlink r:id="rId579" ref="Y290"/>
    <hyperlink r:id="rId580" ref="Z290"/>
    <hyperlink r:id="rId581" ref="Y291"/>
    <hyperlink r:id="rId582" ref="Z291"/>
    <hyperlink r:id="rId583" ref="Y292"/>
    <hyperlink r:id="rId584" ref="Z292"/>
    <hyperlink r:id="rId585" ref="Y293"/>
    <hyperlink r:id="rId586" ref="Z293"/>
    <hyperlink r:id="rId587" ref="Y294"/>
    <hyperlink r:id="rId588" ref="Z294"/>
    <hyperlink r:id="rId589" ref="Y295"/>
    <hyperlink r:id="rId590" ref="Z295"/>
    <hyperlink r:id="rId591" ref="Y296"/>
    <hyperlink r:id="rId592" ref="Z296"/>
    <hyperlink r:id="rId593" ref="Y297"/>
    <hyperlink r:id="rId594" ref="Z297"/>
    <hyperlink r:id="rId595" ref="Y298"/>
    <hyperlink r:id="rId596" ref="Z298"/>
    <hyperlink r:id="rId597" ref="Y299"/>
    <hyperlink r:id="rId598" ref="Z299"/>
    <hyperlink r:id="rId599" ref="Y300"/>
    <hyperlink r:id="rId600" ref="Z300"/>
    <hyperlink r:id="rId601" ref="Y301"/>
    <hyperlink r:id="rId602" ref="Z301"/>
    <hyperlink r:id="rId603" ref="Y302"/>
    <hyperlink r:id="rId604" ref="Z302"/>
    <hyperlink r:id="rId605" ref="Y303"/>
    <hyperlink r:id="rId606" ref="Z303"/>
    <hyperlink r:id="rId607" ref="Y304"/>
    <hyperlink r:id="rId608" ref="Z304"/>
    <hyperlink r:id="rId609" ref="Y305"/>
    <hyperlink r:id="rId610" ref="Z305"/>
    <hyperlink r:id="rId611" ref="Y306"/>
    <hyperlink r:id="rId612" ref="Z306"/>
    <hyperlink r:id="rId613" ref="Y307"/>
    <hyperlink r:id="rId614" ref="Z307"/>
    <hyperlink r:id="rId615" ref="Y308"/>
    <hyperlink r:id="rId616" ref="Z308"/>
    <hyperlink r:id="rId617" ref="Y309"/>
    <hyperlink r:id="rId618" ref="Z309"/>
    <hyperlink r:id="rId619" ref="Y310"/>
    <hyperlink r:id="rId620" ref="Z310"/>
    <hyperlink r:id="rId621" ref="Y311"/>
    <hyperlink r:id="rId622" ref="Z311"/>
    <hyperlink r:id="rId623" ref="Y312"/>
    <hyperlink r:id="rId624" ref="Z312"/>
    <hyperlink r:id="rId625" ref="Y313"/>
    <hyperlink r:id="rId626" ref="Z313"/>
    <hyperlink r:id="rId627" ref="Y314"/>
    <hyperlink r:id="rId628" ref="Z314"/>
    <hyperlink r:id="rId629" ref="Y315"/>
    <hyperlink r:id="rId630" ref="Z315"/>
    <hyperlink r:id="rId631" ref="Y316"/>
    <hyperlink r:id="rId632" ref="Z316"/>
    <hyperlink r:id="rId633" ref="Y317"/>
    <hyperlink r:id="rId634" ref="Z317"/>
    <hyperlink r:id="rId635" ref="Y318"/>
    <hyperlink r:id="rId636" ref="Z318"/>
    <hyperlink r:id="rId637" ref="Y319"/>
    <hyperlink r:id="rId638" ref="Z319"/>
    <hyperlink r:id="rId639" ref="Y320"/>
    <hyperlink r:id="rId640" ref="Z320"/>
    <hyperlink r:id="rId641" ref="Y321"/>
    <hyperlink r:id="rId642" ref="Z321"/>
    <hyperlink r:id="rId643" ref="Y322"/>
    <hyperlink r:id="rId644" ref="Z322"/>
    <hyperlink r:id="rId645" ref="Y323"/>
    <hyperlink r:id="rId646" ref="Z323"/>
    <hyperlink r:id="rId647" ref="Y324"/>
    <hyperlink r:id="rId648" ref="Z324"/>
    <hyperlink r:id="rId649" ref="Y325"/>
    <hyperlink r:id="rId650" ref="Z325"/>
    <hyperlink r:id="rId651" ref="Y326"/>
    <hyperlink r:id="rId652" ref="Z326"/>
    <hyperlink r:id="rId653" ref="Y327"/>
    <hyperlink r:id="rId654" ref="Z327"/>
    <hyperlink r:id="rId655" ref="Y328"/>
    <hyperlink r:id="rId656" ref="Z328"/>
    <hyperlink r:id="rId657" ref="Y329"/>
    <hyperlink r:id="rId658" ref="Z329"/>
    <hyperlink r:id="rId659" ref="Y330"/>
    <hyperlink r:id="rId660" ref="Z330"/>
    <hyperlink r:id="rId661" ref="Y331"/>
    <hyperlink r:id="rId662" ref="Z331"/>
    <hyperlink r:id="rId663" ref="Y332"/>
    <hyperlink r:id="rId664" ref="Z332"/>
    <hyperlink r:id="rId665" ref="Y333"/>
    <hyperlink r:id="rId666" ref="Z333"/>
    <hyperlink r:id="rId667" ref="Y334"/>
    <hyperlink r:id="rId668" ref="Z334"/>
    <hyperlink r:id="rId669" ref="Y335"/>
    <hyperlink r:id="rId670" ref="Z335"/>
    <hyperlink r:id="rId671" ref="Y336"/>
    <hyperlink r:id="rId672" ref="Z336"/>
    <hyperlink r:id="rId673" ref="Y337"/>
    <hyperlink r:id="rId674" ref="Z337"/>
    <hyperlink r:id="rId675" ref="Y338"/>
    <hyperlink r:id="rId676" ref="Z338"/>
    <hyperlink r:id="rId677" ref="Y339"/>
    <hyperlink r:id="rId678" ref="Z339"/>
    <hyperlink r:id="rId679" ref="Y340"/>
    <hyperlink r:id="rId680" ref="Z340"/>
    <hyperlink r:id="rId681" ref="Y341"/>
    <hyperlink r:id="rId682" ref="Z341"/>
    <hyperlink r:id="rId683" ref="Y342"/>
    <hyperlink r:id="rId684" ref="Z342"/>
    <hyperlink r:id="rId685" ref="Y343"/>
    <hyperlink r:id="rId686" ref="Z343"/>
    <hyperlink r:id="rId687" ref="Y344"/>
    <hyperlink r:id="rId688" ref="Z344"/>
    <hyperlink r:id="rId689" ref="Y345"/>
    <hyperlink r:id="rId690" ref="Z345"/>
    <hyperlink r:id="rId691" ref="Y346"/>
    <hyperlink r:id="rId692" ref="Z346"/>
    <hyperlink r:id="rId693" ref="Y347"/>
    <hyperlink r:id="rId694" ref="Z347"/>
    <hyperlink r:id="rId695" ref="Y348"/>
    <hyperlink r:id="rId696" ref="Z348"/>
    <hyperlink r:id="rId697" ref="Y349"/>
    <hyperlink r:id="rId698" ref="Z349"/>
    <hyperlink r:id="rId699" ref="Y350"/>
    <hyperlink r:id="rId700" ref="Z350"/>
    <hyperlink r:id="rId701" ref="Y351"/>
    <hyperlink r:id="rId702" ref="Z351"/>
    <hyperlink r:id="rId703" ref="Y352"/>
    <hyperlink r:id="rId704" ref="Z352"/>
    <hyperlink r:id="rId705" ref="Y353"/>
    <hyperlink r:id="rId706" ref="Z353"/>
    <hyperlink r:id="rId707" ref="Y354"/>
    <hyperlink r:id="rId708" ref="Z354"/>
    <hyperlink r:id="rId709" ref="Y355"/>
    <hyperlink r:id="rId710" ref="Z355"/>
    <hyperlink r:id="rId711" ref="Y356"/>
    <hyperlink r:id="rId712" ref="Z356"/>
    <hyperlink r:id="rId713" ref="Y357"/>
    <hyperlink r:id="rId714" ref="Z357"/>
    <hyperlink r:id="rId715" ref="Y358"/>
    <hyperlink r:id="rId716" ref="Z358"/>
    <hyperlink r:id="rId717" ref="Y359"/>
    <hyperlink r:id="rId718" ref="Z359"/>
    <hyperlink r:id="rId719" ref="Y360"/>
    <hyperlink r:id="rId720" ref="Z360"/>
    <hyperlink r:id="rId721" ref="Y361"/>
    <hyperlink r:id="rId722" ref="Z361"/>
    <hyperlink r:id="rId723" ref="Y362"/>
    <hyperlink r:id="rId724" ref="Z362"/>
    <hyperlink r:id="rId725" ref="Y363"/>
    <hyperlink r:id="rId726" ref="Z363"/>
    <hyperlink r:id="rId727" ref="Y364"/>
    <hyperlink r:id="rId728" ref="Z364"/>
    <hyperlink r:id="rId729" ref="Y365"/>
    <hyperlink r:id="rId730" ref="Z365"/>
    <hyperlink r:id="rId731" ref="Y366"/>
    <hyperlink r:id="rId732" ref="Z366"/>
    <hyperlink r:id="rId733" ref="Y367"/>
    <hyperlink r:id="rId734" ref="Z367"/>
    <hyperlink r:id="rId735" ref="Y368"/>
    <hyperlink r:id="rId736" ref="Z368"/>
    <hyperlink r:id="rId737" ref="Y369"/>
    <hyperlink r:id="rId738" ref="Z369"/>
    <hyperlink r:id="rId739" ref="Y370"/>
    <hyperlink r:id="rId740" ref="Z370"/>
    <hyperlink r:id="rId741" ref="Y371"/>
    <hyperlink r:id="rId742" ref="Z371"/>
    <hyperlink r:id="rId743" ref="Y372"/>
    <hyperlink r:id="rId744" ref="Z372"/>
    <hyperlink r:id="rId745" ref="Y373"/>
    <hyperlink r:id="rId746" ref="Z373"/>
    <hyperlink r:id="rId747" ref="Y374"/>
    <hyperlink r:id="rId748" ref="Z374"/>
    <hyperlink r:id="rId749" ref="Y375"/>
    <hyperlink r:id="rId750" ref="Z375"/>
    <hyperlink r:id="rId751" ref="Y376"/>
    <hyperlink r:id="rId752" ref="Z376"/>
    <hyperlink r:id="rId753" ref="Y377"/>
    <hyperlink r:id="rId754" ref="Z377"/>
    <hyperlink r:id="rId755" ref="Y378"/>
    <hyperlink r:id="rId756" ref="Z378"/>
    <hyperlink r:id="rId757" ref="Y379"/>
    <hyperlink r:id="rId758" ref="Z379"/>
    <hyperlink r:id="rId759" ref="Y380"/>
    <hyperlink r:id="rId760" ref="Z380"/>
    <hyperlink r:id="rId761" ref="Y381"/>
    <hyperlink r:id="rId762" ref="Z381"/>
    <hyperlink r:id="rId763" ref="Y382"/>
    <hyperlink r:id="rId764" ref="Z382"/>
    <hyperlink r:id="rId765" ref="Y383"/>
    <hyperlink r:id="rId766" ref="Z383"/>
    <hyperlink r:id="rId767" ref="Y384"/>
    <hyperlink r:id="rId768" ref="Z384"/>
    <hyperlink r:id="rId769" ref="Y385"/>
    <hyperlink r:id="rId770" ref="Z385"/>
    <hyperlink r:id="rId771" ref="Y386"/>
    <hyperlink r:id="rId772" ref="Z386"/>
    <hyperlink r:id="rId773" ref="Y387"/>
    <hyperlink r:id="rId774" ref="Z387"/>
    <hyperlink r:id="rId775" ref="Y388"/>
    <hyperlink r:id="rId776" ref="Z388"/>
    <hyperlink r:id="rId777" ref="Y389"/>
    <hyperlink r:id="rId778" ref="Z389"/>
    <hyperlink r:id="rId779" ref="Y390"/>
    <hyperlink r:id="rId780" ref="Z390"/>
    <hyperlink r:id="rId781" ref="Y391"/>
    <hyperlink r:id="rId782" ref="Z391"/>
    <hyperlink r:id="rId783" ref="Y392"/>
    <hyperlink r:id="rId784" ref="Z392"/>
    <hyperlink r:id="rId785" ref="Y393"/>
    <hyperlink r:id="rId786" ref="Z393"/>
    <hyperlink r:id="rId787" ref="Y394"/>
    <hyperlink r:id="rId788" ref="Z394"/>
    <hyperlink r:id="rId789" ref="Y395"/>
    <hyperlink r:id="rId790" ref="Z395"/>
    <hyperlink r:id="rId791" ref="Y396"/>
    <hyperlink r:id="rId792" ref="Z396"/>
    <hyperlink r:id="rId793" ref="Y397"/>
    <hyperlink r:id="rId794" ref="Z397"/>
    <hyperlink r:id="rId795" ref="Y398"/>
    <hyperlink r:id="rId796" ref="Z398"/>
    <hyperlink r:id="rId797" ref="Y399"/>
    <hyperlink r:id="rId798" ref="Z399"/>
    <hyperlink r:id="rId799" ref="Y400"/>
    <hyperlink r:id="rId800" ref="Z400"/>
    <hyperlink r:id="rId801" ref="Y401"/>
    <hyperlink r:id="rId802" ref="Z401"/>
    <hyperlink r:id="rId803" ref="Y402"/>
    <hyperlink r:id="rId804" ref="Z402"/>
    <hyperlink r:id="rId805" ref="Y403"/>
    <hyperlink r:id="rId806" ref="Z403"/>
    <hyperlink r:id="rId807" ref="Y404"/>
    <hyperlink r:id="rId808" ref="Z404"/>
    <hyperlink r:id="rId809" ref="Y405"/>
    <hyperlink r:id="rId810" ref="Z405"/>
    <hyperlink r:id="rId811" ref="Y406"/>
    <hyperlink r:id="rId812" ref="Z406"/>
    <hyperlink r:id="rId813" ref="Y407"/>
    <hyperlink r:id="rId814" ref="Z407"/>
    <hyperlink r:id="rId815" ref="Y408"/>
    <hyperlink r:id="rId816" ref="Z408"/>
    <hyperlink r:id="rId817" ref="Y409"/>
    <hyperlink r:id="rId818" ref="Z409"/>
    <hyperlink r:id="rId819" ref="Y410"/>
    <hyperlink r:id="rId820" ref="Z410"/>
    <hyperlink r:id="rId821" ref="Y411"/>
    <hyperlink r:id="rId822" ref="Z411"/>
    <hyperlink r:id="rId823" ref="Y412"/>
    <hyperlink r:id="rId824" ref="Z412"/>
    <hyperlink r:id="rId825" ref="Y413"/>
    <hyperlink r:id="rId826" ref="Z413"/>
    <hyperlink r:id="rId827" ref="Y414"/>
    <hyperlink r:id="rId828" ref="Z414"/>
    <hyperlink r:id="rId829" ref="Y415"/>
    <hyperlink r:id="rId830" ref="Z415"/>
    <hyperlink r:id="rId831" ref="Y416"/>
    <hyperlink r:id="rId832" ref="Z416"/>
    <hyperlink r:id="rId833" ref="Y417"/>
    <hyperlink r:id="rId834" ref="Z417"/>
    <hyperlink r:id="rId835" ref="Y418"/>
    <hyperlink r:id="rId836" ref="Z418"/>
    <hyperlink r:id="rId837" ref="Y419"/>
    <hyperlink r:id="rId838" ref="Z419"/>
    <hyperlink r:id="rId839" ref="Y420"/>
    <hyperlink r:id="rId840" ref="Z420"/>
    <hyperlink r:id="rId841" ref="Y421"/>
    <hyperlink r:id="rId842" ref="Z421"/>
    <hyperlink r:id="rId843" ref="Y422"/>
    <hyperlink r:id="rId844" ref="Z422"/>
    <hyperlink r:id="rId845" ref="Y423"/>
    <hyperlink r:id="rId846" ref="Z423"/>
    <hyperlink r:id="rId847" ref="Y424"/>
    <hyperlink r:id="rId848" ref="Z424"/>
    <hyperlink r:id="rId849" ref="Y425"/>
    <hyperlink r:id="rId850" ref="Z425"/>
    <hyperlink r:id="rId851" ref="Y426"/>
    <hyperlink r:id="rId852" ref="Z426"/>
    <hyperlink r:id="rId853" ref="Y427"/>
    <hyperlink r:id="rId854" ref="Z427"/>
    <hyperlink r:id="rId855" ref="Y428"/>
    <hyperlink r:id="rId856" ref="Z428"/>
    <hyperlink r:id="rId857" ref="Y429"/>
    <hyperlink r:id="rId858" ref="Z429"/>
    <hyperlink r:id="rId859" ref="Y430"/>
    <hyperlink r:id="rId860" ref="Z430"/>
    <hyperlink r:id="rId861" ref="Y431"/>
    <hyperlink r:id="rId862" ref="Z431"/>
    <hyperlink r:id="rId863" ref="Y432"/>
    <hyperlink r:id="rId864" ref="Z432"/>
    <hyperlink r:id="rId865" ref="Y433"/>
    <hyperlink r:id="rId866" ref="Z433"/>
    <hyperlink r:id="rId867" ref="Y434"/>
    <hyperlink r:id="rId868" ref="Z434"/>
    <hyperlink r:id="rId869" ref="Y435"/>
    <hyperlink r:id="rId870" ref="Z435"/>
    <hyperlink r:id="rId871" ref="Y436"/>
    <hyperlink r:id="rId872" ref="Z436"/>
    <hyperlink r:id="rId873" ref="Y437"/>
    <hyperlink r:id="rId874" ref="Z437"/>
    <hyperlink r:id="rId875" ref="Y438"/>
    <hyperlink r:id="rId876" ref="Z438"/>
    <hyperlink r:id="rId877" ref="Y439"/>
    <hyperlink r:id="rId878" ref="Z439"/>
    <hyperlink r:id="rId879" ref="Y440"/>
    <hyperlink r:id="rId880" ref="Z440"/>
    <hyperlink r:id="rId881" ref="Y441"/>
    <hyperlink r:id="rId882" ref="Z441"/>
    <hyperlink r:id="rId883" ref="Y442"/>
    <hyperlink r:id="rId884" ref="Z442"/>
    <hyperlink r:id="rId885" ref="Y443"/>
    <hyperlink r:id="rId886" ref="Z443"/>
    <hyperlink r:id="rId887" ref="Y444"/>
    <hyperlink r:id="rId888" ref="Z444"/>
    <hyperlink r:id="rId889" ref="Y445"/>
    <hyperlink r:id="rId890" ref="Z445"/>
    <hyperlink r:id="rId891" ref="Y446"/>
    <hyperlink r:id="rId892" ref="Z446"/>
    <hyperlink r:id="rId893" ref="Y447"/>
    <hyperlink r:id="rId894" ref="Z447"/>
    <hyperlink r:id="rId895" ref="Y448"/>
    <hyperlink r:id="rId896" ref="Z448"/>
    <hyperlink r:id="rId897" ref="Y449"/>
    <hyperlink r:id="rId898" ref="Z449"/>
    <hyperlink r:id="rId899" ref="Y450"/>
    <hyperlink r:id="rId900" ref="Z450"/>
    <hyperlink r:id="rId901" ref="Y451"/>
    <hyperlink r:id="rId902" ref="Z451"/>
    <hyperlink r:id="rId903" ref="Y452"/>
    <hyperlink r:id="rId904" ref="Z452"/>
    <hyperlink r:id="rId905" ref="Y453"/>
    <hyperlink r:id="rId906" ref="Z453"/>
    <hyperlink r:id="rId907" ref="Y454"/>
    <hyperlink r:id="rId908" ref="Z454"/>
    <hyperlink r:id="rId909" ref="Y455"/>
    <hyperlink r:id="rId910" ref="Z455"/>
    <hyperlink r:id="rId911" ref="Y456"/>
    <hyperlink r:id="rId912" ref="Z456"/>
    <hyperlink r:id="rId913" ref="Y457"/>
    <hyperlink r:id="rId914" ref="Z457"/>
    <hyperlink r:id="rId915" ref="Y458"/>
    <hyperlink r:id="rId916" ref="Z458"/>
    <hyperlink r:id="rId917" ref="Y459"/>
    <hyperlink r:id="rId918" ref="Z459"/>
    <hyperlink r:id="rId919" ref="Y460"/>
    <hyperlink r:id="rId920" ref="Z460"/>
    <hyperlink r:id="rId921" ref="Y461"/>
    <hyperlink r:id="rId922" ref="Z461"/>
    <hyperlink r:id="rId923" ref="Y462"/>
    <hyperlink r:id="rId924" ref="Z462"/>
    <hyperlink r:id="rId925" ref="Y463"/>
    <hyperlink r:id="rId926" ref="Z463"/>
    <hyperlink r:id="rId927" ref="Y464"/>
    <hyperlink r:id="rId928" ref="Z464"/>
    <hyperlink r:id="rId929" ref="Y465"/>
    <hyperlink r:id="rId930" ref="Z465"/>
    <hyperlink r:id="rId931" ref="Y466"/>
    <hyperlink r:id="rId932" ref="Z466"/>
    <hyperlink r:id="rId933" ref="Y467"/>
    <hyperlink r:id="rId934" ref="Z467"/>
    <hyperlink r:id="rId935" ref="Y468"/>
    <hyperlink r:id="rId936" ref="Z468"/>
    <hyperlink r:id="rId937" ref="Y469"/>
    <hyperlink r:id="rId938" ref="Z469"/>
    <hyperlink r:id="rId939" ref="Y470"/>
    <hyperlink r:id="rId940" ref="Z470"/>
    <hyperlink r:id="rId941" ref="Y471"/>
    <hyperlink r:id="rId942" ref="Z471"/>
    <hyperlink r:id="rId943" ref="Y472"/>
    <hyperlink r:id="rId944" ref="Z472"/>
    <hyperlink r:id="rId945" ref="Y473"/>
    <hyperlink r:id="rId946" ref="Z473"/>
    <hyperlink r:id="rId947" ref="Y474"/>
    <hyperlink r:id="rId948" ref="Z474"/>
    <hyperlink r:id="rId949" ref="Y475"/>
    <hyperlink r:id="rId950" ref="Z475"/>
    <hyperlink r:id="rId951" ref="Y476"/>
    <hyperlink r:id="rId952" ref="Z476"/>
    <hyperlink r:id="rId953" ref="Y477"/>
    <hyperlink r:id="rId954" ref="Z477"/>
    <hyperlink r:id="rId955" ref="Y478"/>
    <hyperlink r:id="rId956" ref="Z478"/>
    <hyperlink r:id="rId957" ref="Y479"/>
    <hyperlink r:id="rId958" ref="Z479"/>
    <hyperlink r:id="rId959" ref="Y480"/>
    <hyperlink r:id="rId960" ref="Z480"/>
    <hyperlink r:id="rId961" ref="Y481"/>
    <hyperlink r:id="rId962" ref="Z481"/>
    <hyperlink r:id="rId963" ref="Y482"/>
    <hyperlink r:id="rId964" ref="Z482"/>
    <hyperlink r:id="rId965" ref="Y483"/>
    <hyperlink r:id="rId966" ref="Z483"/>
    <hyperlink r:id="rId967" ref="Y484"/>
    <hyperlink r:id="rId968" ref="Z484"/>
    <hyperlink r:id="rId969" ref="Y485"/>
    <hyperlink r:id="rId970" ref="Z485"/>
    <hyperlink r:id="rId971" ref="Y486"/>
    <hyperlink r:id="rId972" ref="Z486"/>
    <hyperlink r:id="rId973" ref="Y487"/>
    <hyperlink r:id="rId974" ref="Z487"/>
    <hyperlink r:id="rId975" ref="Y488"/>
    <hyperlink r:id="rId976" ref="Z488"/>
    <hyperlink r:id="rId977" ref="Y489"/>
    <hyperlink r:id="rId978" ref="Z489"/>
    <hyperlink r:id="rId979" ref="Y490"/>
    <hyperlink r:id="rId980" ref="Z490"/>
    <hyperlink r:id="rId981" ref="Y491"/>
    <hyperlink r:id="rId982" ref="Z491"/>
    <hyperlink r:id="rId983" ref="Y492"/>
    <hyperlink r:id="rId984" ref="Z492"/>
    <hyperlink r:id="rId985" ref="Y493"/>
    <hyperlink r:id="rId986" ref="Z493"/>
    <hyperlink r:id="rId987" ref="Y494"/>
    <hyperlink r:id="rId988" ref="Z494"/>
    <hyperlink r:id="rId989" ref="Y495"/>
    <hyperlink r:id="rId990" ref="Z495"/>
    <hyperlink r:id="rId991" ref="Y496"/>
    <hyperlink r:id="rId992" ref="Z496"/>
    <hyperlink r:id="rId993" ref="Y497"/>
    <hyperlink r:id="rId994" ref="Z497"/>
    <hyperlink r:id="rId995" ref="Y498"/>
    <hyperlink r:id="rId996" ref="Z498"/>
    <hyperlink r:id="rId997" ref="Y499"/>
    <hyperlink r:id="rId998" ref="Z499"/>
    <hyperlink r:id="rId999" ref="Y500"/>
    <hyperlink r:id="rId1000" ref="Z500"/>
    <hyperlink r:id="rId1001" ref="Y501"/>
    <hyperlink r:id="rId1002" ref="Z501"/>
    <hyperlink r:id="rId1003" ref="Y502"/>
    <hyperlink r:id="rId1004" ref="Z502"/>
    <hyperlink r:id="rId1005" ref="Y503"/>
    <hyperlink r:id="rId1006" ref="Z503"/>
    <hyperlink r:id="rId1007" ref="Y504"/>
    <hyperlink r:id="rId1008" ref="Z504"/>
    <hyperlink r:id="rId1009" ref="Y505"/>
    <hyperlink r:id="rId1010" ref="Z505"/>
    <hyperlink r:id="rId1011" ref="Y506"/>
    <hyperlink r:id="rId1012" ref="Z506"/>
    <hyperlink r:id="rId1013" ref="Y507"/>
    <hyperlink r:id="rId1014" ref="Z507"/>
    <hyperlink r:id="rId1015" ref="Y508"/>
    <hyperlink r:id="rId1016" ref="Z508"/>
    <hyperlink r:id="rId1017" ref="Y509"/>
    <hyperlink r:id="rId1018" ref="Z509"/>
    <hyperlink r:id="rId1019" ref="Y510"/>
    <hyperlink r:id="rId1020" ref="Z510"/>
    <hyperlink r:id="rId1021" ref="Y511"/>
    <hyperlink r:id="rId1022" ref="Z511"/>
    <hyperlink r:id="rId1023" ref="Y512"/>
    <hyperlink r:id="rId1024" ref="Z512"/>
    <hyperlink r:id="rId1025" ref="Y513"/>
    <hyperlink r:id="rId1026" ref="Z513"/>
    <hyperlink r:id="rId1027" ref="Y514"/>
    <hyperlink r:id="rId1028" ref="Z514"/>
    <hyperlink r:id="rId1029" ref="Y515"/>
    <hyperlink r:id="rId1030" ref="Z515"/>
    <hyperlink r:id="rId1031" ref="Y516"/>
    <hyperlink r:id="rId1032" ref="Z516"/>
    <hyperlink r:id="rId1033" ref="Y517"/>
    <hyperlink r:id="rId1034" ref="Z517"/>
    <hyperlink r:id="rId1035" ref="Y518"/>
    <hyperlink r:id="rId1036" ref="Z518"/>
    <hyperlink r:id="rId1037" ref="Y519"/>
    <hyperlink r:id="rId1038" ref="Z519"/>
    <hyperlink r:id="rId1039" ref="Y520"/>
    <hyperlink r:id="rId1040" ref="Z520"/>
    <hyperlink r:id="rId1041" ref="Y521"/>
    <hyperlink r:id="rId1042" ref="Z521"/>
    <hyperlink r:id="rId1043" ref="Y522"/>
    <hyperlink r:id="rId1044" ref="Z522"/>
    <hyperlink r:id="rId1045" ref="Y523"/>
    <hyperlink r:id="rId1046" ref="Z523"/>
    <hyperlink r:id="rId1047" ref="Y524"/>
    <hyperlink r:id="rId1048" ref="Z524"/>
    <hyperlink r:id="rId1049" ref="Y525"/>
    <hyperlink r:id="rId1050" ref="Z525"/>
    <hyperlink r:id="rId1051" ref="Y526"/>
    <hyperlink r:id="rId1052" ref="Z526"/>
    <hyperlink r:id="rId1053" ref="Y527"/>
    <hyperlink r:id="rId1054" ref="Z527"/>
    <hyperlink r:id="rId1055" ref="Y528"/>
    <hyperlink r:id="rId1056" ref="Z528"/>
    <hyperlink r:id="rId1057" ref="Y529"/>
    <hyperlink r:id="rId1058" ref="Z529"/>
    <hyperlink r:id="rId1059" ref="Y530"/>
    <hyperlink r:id="rId1060" ref="Z530"/>
    <hyperlink r:id="rId1061" ref="Y531"/>
    <hyperlink r:id="rId1062" ref="Z531"/>
    <hyperlink r:id="rId1063" ref="Y532"/>
    <hyperlink r:id="rId1064" ref="Z532"/>
    <hyperlink r:id="rId1065" ref="Y533"/>
    <hyperlink r:id="rId1066" ref="Z533"/>
    <hyperlink r:id="rId1067" ref="Y534"/>
    <hyperlink r:id="rId1068" ref="Z534"/>
    <hyperlink r:id="rId1069" ref="Y535"/>
    <hyperlink r:id="rId1070" ref="Z535"/>
    <hyperlink r:id="rId1071" ref="Y536"/>
    <hyperlink r:id="rId1072" ref="Z536"/>
    <hyperlink r:id="rId1073" ref="Y537"/>
    <hyperlink r:id="rId1074" ref="Z537"/>
    <hyperlink r:id="rId1075" ref="Y538"/>
    <hyperlink r:id="rId1076" ref="Z538"/>
    <hyperlink r:id="rId1077" ref="Y539"/>
    <hyperlink r:id="rId1078" ref="Z539"/>
    <hyperlink r:id="rId1079" ref="Y540"/>
    <hyperlink r:id="rId1080" ref="Z540"/>
    <hyperlink r:id="rId1081" ref="Y541"/>
    <hyperlink r:id="rId1082" ref="Z541"/>
    <hyperlink r:id="rId1083" ref="Y542"/>
    <hyperlink r:id="rId1084" ref="Z542"/>
    <hyperlink r:id="rId1085" ref="Y543"/>
    <hyperlink r:id="rId1086" ref="Z543"/>
    <hyperlink r:id="rId1087" ref="Y544"/>
    <hyperlink r:id="rId1088" ref="Z544"/>
    <hyperlink r:id="rId1089" ref="Y545"/>
    <hyperlink r:id="rId1090" ref="Z545"/>
    <hyperlink r:id="rId1091" ref="Y546"/>
    <hyperlink r:id="rId1092" ref="Z546"/>
    <hyperlink r:id="rId1093" ref="Y547"/>
    <hyperlink r:id="rId1094" ref="Z547"/>
    <hyperlink r:id="rId1095" ref="Y548"/>
    <hyperlink r:id="rId1096" ref="Z548"/>
    <hyperlink r:id="rId1097" ref="Y549"/>
    <hyperlink r:id="rId1098" ref="Z549"/>
    <hyperlink r:id="rId1099" ref="Y550"/>
    <hyperlink r:id="rId1100" ref="Z550"/>
    <hyperlink r:id="rId1101" ref="Y551"/>
    <hyperlink r:id="rId1102" ref="Z551"/>
    <hyperlink r:id="rId1103" ref="Y552"/>
    <hyperlink r:id="rId1104" ref="Z552"/>
    <hyperlink r:id="rId1105" ref="Y553"/>
    <hyperlink r:id="rId1106" ref="Z553"/>
    <hyperlink r:id="rId1107" ref="Y554"/>
    <hyperlink r:id="rId1108" ref="Z554"/>
    <hyperlink r:id="rId1109" ref="Y555"/>
    <hyperlink r:id="rId1110" ref="Z555"/>
    <hyperlink r:id="rId1111" ref="Y556"/>
    <hyperlink r:id="rId1112" ref="Z556"/>
    <hyperlink r:id="rId1113" ref="Y557"/>
    <hyperlink r:id="rId1114" ref="Z557"/>
    <hyperlink r:id="rId1115" ref="Y558"/>
    <hyperlink r:id="rId1116" ref="Z558"/>
    <hyperlink r:id="rId1117" ref="Y559"/>
    <hyperlink r:id="rId1118" ref="Z559"/>
    <hyperlink r:id="rId1119" ref="Y560"/>
    <hyperlink r:id="rId1120" ref="Z560"/>
    <hyperlink r:id="rId1121" ref="Y561"/>
    <hyperlink r:id="rId1122" ref="Z561"/>
    <hyperlink r:id="rId1123" ref="Y562"/>
    <hyperlink r:id="rId1124" ref="Z562"/>
    <hyperlink r:id="rId1125" ref="Y563"/>
    <hyperlink r:id="rId1126" ref="Z563"/>
    <hyperlink r:id="rId1127" ref="Y564"/>
    <hyperlink r:id="rId1128" ref="Z564"/>
    <hyperlink r:id="rId1129" ref="Y565"/>
    <hyperlink r:id="rId1130" ref="Z565"/>
    <hyperlink r:id="rId1131" ref="Y566"/>
    <hyperlink r:id="rId1132" ref="Z566"/>
    <hyperlink r:id="rId1133" ref="Y567"/>
    <hyperlink r:id="rId1134" ref="Z567"/>
    <hyperlink r:id="rId1135" ref="Y568"/>
    <hyperlink r:id="rId1136" ref="Z568"/>
    <hyperlink r:id="rId1137" ref="Y569"/>
    <hyperlink r:id="rId1138" ref="Z569"/>
  </hyperlinks>
  <drawing r:id="rId11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.63"/>
    <col customWidth="1" min="3" max="3" width="27.88"/>
    <col customWidth="1" min="4" max="4" width="28.63"/>
    <col customWidth="1" min="5" max="5" width="20.63"/>
    <col customWidth="1" min="6" max="6" width="115.38"/>
  </cols>
  <sheetData>
    <row r="1" ht="22.5" customHeight="1">
      <c r="A1" s="78" t="s">
        <v>4027</v>
      </c>
      <c r="B1" s="79" t="s">
        <v>4028</v>
      </c>
      <c r="C1" s="80" t="s">
        <v>2</v>
      </c>
      <c r="D1" s="80" t="s">
        <v>3</v>
      </c>
      <c r="E1" s="81" t="s">
        <v>4</v>
      </c>
      <c r="F1" s="82" t="s">
        <v>9</v>
      </c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</row>
    <row r="2">
      <c r="A2" s="84">
        <v>45407.0</v>
      </c>
      <c r="B2" s="85" t="s">
        <v>4029</v>
      </c>
      <c r="C2" s="85" t="s">
        <v>4030</v>
      </c>
      <c r="D2" s="85" t="s">
        <v>4031</v>
      </c>
      <c r="E2" s="86">
        <v>9.7974145E7</v>
      </c>
      <c r="F2" s="87"/>
      <c r="G2" s="88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</row>
    <row r="3">
      <c r="A3" s="84">
        <v>45930.0</v>
      </c>
      <c r="B3" s="85" t="s">
        <v>4032</v>
      </c>
      <c r="C3" s="85" t="s">
        <v>4033</v>
      </c>
      <c r="D3" s="85" t="s">
        <v>4034</v>
      </c>
      <c r="E3" s="86">
        <v>4.797467341E9</v>
      </c>
      <c r="F3" s="87"/>
      <c r="G3" s="88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</row>
    <row r="4">
      <c r="A4" s="84">
        <v>45930.0</v>
      </c>
      <c r="B4" s="85" t="s">
        <v>4035</v>
      </c>
      <c r="C4" s="85" t="s">
        <v>4033</v>
      </c>
      <c r="D4" s="85" t="s">
        <v>4034</v>
      </c>
      <c r="E4" s="86">
        <v>4.797467341E9</v>
      </c>
      <c r="F4" s="87"/>
      <c r="G4" s="88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</row>
    <row r="5">
      <c r="A5" s="84">
        <v>45930.0</v>
      </c>
      <c r="B5" s="85" t="s">
        <v>4035</v>
      </c>
      <c r="C5" s="85" t="s">
        <v>4033</v>
      </c>
      <c r="D5" s="85" t="s">
        <v>4034</v>
      </c>
      <c r="E5" s="86">
        <v>4.797467341E9</v>
      </c>
      <c r="F5" s="87"/>
      <c r="G5" s="88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</row>
    <row r="6">
      <c r="A6" s="84">
        <v>45931.0</v>
      </c>
      <c r="B6" s="85" t="s">
        <v>123</v>
      </c>
      <c r="C6" s="85" t="s">
        <v>124</v>
      </c>
      <c r="D6" s="85" t="s">
        <v>125</v>
      </c>
      <c r="E6" s="86">
        <v>4.8354835E7</v>
      </c>
      <c r="F6" s="87"/>
      <c r="G6" s="88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</row>
    <row r="7">
      <c r="A7" s="84">
        <v>45931.0</v>
      </c>
      <c r="B7" s="85" t="s">
        <v>136</v>
      </c>
      <c r="C7" s="85" t="s">
        <v>137</v>
      </c>
      <c r="D7" s="85" t="s">
        <v>138</v>
      </c>
      <c r="E7" s="86">
        <v>4.7467165E7</v>
      </c>
      <c r="F7" s="87"/>
      <c r="G7" s="88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</row>
    <row r="8">
      <c r="A8" s="90">
        <v>45940.0</v>
      </c>
      <c r="B8" s="85" t="s">
        <v>343</v>
      </c>
      <c r="C8" s="85" t="s">
        <v>344</v>
      </c>
      <c r="D8" s="85" t="s">
        <v>345</v>
      </c>
      <c r="E8" s="86">
        <v>9.36804E7</v>
      </c>
      <c r="F8" s="87"/>
      <c r="G8" s="88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</row>
    <row r="9">
      <c r="A9" s="90">
        <v>45952.0</v>
      </c>
      <c r="B9" s="85" t="s">
        <v>4036</v>
      </c>
      <c r="C9" s="85" t="s">
        <v>586</v>
      </c>
      <c r="D9" s="85" t="s">
        <v>587</v>
      </c>
      <c r="E9" s="86">
        <v>9.769221E7</v>
      </c>
      <c r="F9" s="87"/>
      <c r="G9" s="88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</row>
    <row r="10">
      <c r="A10" s="90">
        <v>45956.0</v>
      </c>
      <c r="B10" s="85" t="s">
        <v>4037</v>
      </c>
      <c r="C10" s="85" t="s">
        <v>682</v>
      </c>
      <c r="D10" s="85" t="s">
        <v>47</v>
      </c>
      <c r="E10" s="86">
        <v>9.8604319E7</v>
      </c>
      <c r="F10" s="87"/>
      <c r="G10" s="88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</row>
    <row r="11">
      <c r="A11" s="90">
        <v>45956.0</v>
      </c>
      <c r="B11" s="85" t="s">
        <v>4038</v>
      </c>
      <c r="C11" s="85" t="s">
        <v>697</v>
      </c>
      <c r="D11" s="85" t="s">
        <v>698</v>
      </c>
      <c r="E11" s="86">
        <v>9.6837894E7</v>
      </c>
      <c r="F11" s="87"/>
      <c r="G11" s="88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</row>
    <row r="12">
      <c r="A12" s="84">
        <v>45969.0</v>
      </c>
      <c r="B12" s="85" t="s">
        <v>3977</v>
      </c>
      <c r="C12" s="85" t="s">
        <v>874</v>
      </c>
      <c r="D12" s="85" t="s">
        <v>875</v>
      </c>
      <c r="E12" s="86">
        <v>4.792530934E9</v>
      </c>
      <c r="F12" s="87"/>
      <c r="G12" s="88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</row>
    <row r="13">
      <c r="A13" s="90">
        <v>45987.0</v>
      </c>
      <c r="B13" s="85" t="s">
        <v>4039</v>
      </c>
      <c r="C13" s="85" t="s">
        <v>1238</v>
      </c>
      <c r="D13" s="85" t="s">
        <v>1239</v>
      </c>
      <c r="E13" s="86">
        <v>4.79127834E9</v>
      </c>
      <c r="F13" s="87"/>
      <c r="G13" s="88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</row>
    <row r="14">
      <c r="A14" s="84">
        <v>45993.0</v>
      </c>
      <c r="B14" s="85" t="s">
        <v>4040</v>
      </c>
      <c r="C14" s="85" t="s">
        <v>1268</v>
      </c>
      <c r="D14" s="85" t="s">
        <v>1269</v>
      </c>
      <c r="E14" s="86">
        <v>4.5907199E7</v>
      </c>
      <c r="F14" s="87"/>
      <c r="G14" s="88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</row>
    <row r="15">
      <c r="A15" s="84">
        <v>45996.0</v>
      </c>
      <c r="B15" s="85" t="s">
        <v>4041</v>
      </c>
      <c r="C15" s="85" t="s">
        <v>1326</v>
      </c>
      <c r="D15" s="85" t="s">
        <v>1327</v>
      </c>
      <c r="E15" s="86">
        <v>9.2554392E7</v>
      </c>
      <c r="F15" s="87"/>
      <c r="G15" s="88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</row>
    <row r="16">
      <c r="A16" s="84">
        <v>45999.0</v>
      </c>
      <c r="B16" s="85" t="s">
        <v>273</v>
      </c>
      <c r="C16" s="85" t="s">
        <v>659</v>
      </c>
      <c r="D16" s="85" t="s">
        <v>660</v>
      </c>
      <c r="E16" s="86">
        <v>9.4296204E7</v>
      </c>
      <c r="F16" s="87"/>
      <c r="G16" s="88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</row>
    <row r="17">
      <c r="A17" s="84">
        <v>46000.0</v>
      </c>
      <c r="B17" s="85" t="s">
        <v>235</v>
      </c>
      <c r="C17" s="85" t="s">
        <v>1409</v>
      </c>
      <c r="D17" s="85" t="s">
        <v>1410</v>
      </c>
      <c r="E17" s="86">
        <v>9.2554614E7</v>
      </c>
      <c r="F17" s="87"/>
      <c r="G17" s="88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</row>
    <row r="18">
      <c r="A18" s="84">
        <v>46035.0</v>
      </c>
      <c r="B18" s="85" t="s">
        <v>1848</v>
      </c>
      <c r="C18" s="85" t="s">
        <v>244</v>
      </c>
      <c r="D18" s="85" t="s">
        <v>245</v>
      </c>
      <c r="E18" s="86">
        <v>9.8079851E7</v>
      </c>
      <c r="F18" s="87"/>
      <c r="G18" s="88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</row>
    <row r="19">
      <c r="A19" s="84">
        <v>46043.0</v>
      </c>
      <c r="B19" s="85" t="s">
        <v>2172</v>
      </c>
      <c r="C19" s="85" t="s">
        <v>1978</v>
      </c>
      <c r="D19" s="85" t="s">
        <v>1979</v>
      </c>
      <c r="E19" s="86">
        <v>9.6992026E7</v>
      </c>
      <c r="F19" s="87"/>
      <c r="G19" s="88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</row>
    <row r="20">
      <c r="A20" s="84">
        <v>46058.0</v>
      </c>
      <c r="B20" s="85" t="s">
        <v>4042</v>
      </c>
      <c r="C20" s="85" t="s">
        <v>2152</v>
      </c>
      <c r="D20" s="85" t="s">
        <v>2153</v>
      </c>
      <c r="E20" s="86">
        <v>4.791582786E9</v>
      </c>
      <c r="F20" s="87"/>
      <c r="G20" s="88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</row>
    <row r="21">
      <c r="A21" s="84">
        <v>46063.0</v>
      </c>
      <c r="B21" s="85" t="s">
        <v>4043</v>
      </c>
      <c r="C21" s="85" t="s">
        <v>2237</v>
      </c>
      <c r="D21" s="85" t="s">
        <v>2238</v>
      </c>
      <c r="E21" s="86">
        <v>9.8892576E7</v>
      </c>
      <c r="F21" s="87"/>
      <c r="G21" s="88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</row>
    <row r="22">
      <c r="A22" s="84">
        <v>46067.0</v>
      </c>
      <c r="B22" s="85" t="s">
        <v>1803</v>
      </c>
      <c r="C22" s="85" t="s">
        <v>2339</v>
      </c>
      <c r="D22" s="85" t="s">
        <v>2340</v>
      </c>
      <c r="E22" s="86">
        <v>4.792307589E9</v>
      </c>
      <c r="F22" s="87"/>
      <c r="G22" s="88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</row>
    <row r="23">
      <c r="A23" s="84">
        <v>46069.0</v>
      </c>
      <c r="B23" s="85" t="s">
        <v>2371</v>
      </c>
      <c r="C23" s="85" t="s">
        <v>2372</v>
      </c>
      <c r="D23" s="85" t="s">
        <v>2373</v>
      </c>
      <c r="E23" s="86">
        <v>9.2554257E7</v>
      </c>
      <c r="F23" s="87"/>
      <c r="G23" s="88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</row>
    <row r="24">
      <c r="A24" s="84">
        <v>46072.0</v>
      </c>
      <c r="B24" s="85" t="s">
        <v>4044</v>
      </c>
      <c r="C24" s="85" t="s">
        <v>2407</v>
      </c>
      <c r="D24" s="85" t="s">
        <v>2408</v>
      </c>
      <c r="E24" s="86">
        <v>9.3231893E7</v>
      </c>
      <c r="F24" s="87"/>
      <c r="G24" s="88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</row>
    <row r="25">
      <c r="A25" s="84">
        <v>46076.0</v>
      </c>
      <c r="B25" s="85" t="s">
        <v>2475</v>
      </c>
      <c r="C25" s="85" t="s">
        <v>2476</v>
      </c>
      <c r="D25" s="85" t="s">
        <v>2477</v>
      </c>
      <c r="E25" s="86">
        <v>4.797356577E9</v>
      </c>
      <c r="F25" s="87"/>
      <c r="G25" s="88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</row>
    <row r="26">
      <c r="A26" s="84">
        <v>46093.0</v>
      </c>
      <c r="B26" s="85" t="s">
        <v>4019</v>
      </c>
      <c r="C26" s="85" t="s">
        <v>2675</v>
      </c>
      <c r="D26" s="85" t="s">
        <v>2676</v>
      </c>
      <c r="E26" s="86">
        <v>9865437.0</v>
      </c>
      <c r="F26" s="87"/>
      <c r="G26" s="88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</row>
    <row r="27">
      <c r="A27" s="84">
        <v>46095.0</v>
      </c>
      <c r="B27" s="85" t="s">
        <v>2013</v>
      </c>
      <c r="C27" s="85" t="s">
        <v>2688</v>
      </c>
      <c r="D27" s="85" t="s">
        <v>2689</v>
      </c>
      <c r="E27" s="86">
        <v>4.748040662E9</v>
      </c>
      <c r="F27" s="87"/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</row>
    <row r="28">
      <c r="A28" s="84">
        <v>46104.0</v>
      </c>
      <c r="B28" s="85" t="s">
        <v>4045</v>
      </c>
      <c r="C28" s="85" t="s">
        <v>2807</v>
      </c>
      <c r="D28" s="85" t="s">
        <v>2808</v>
      </c>
      <c r="E28" s="86">
        <v>9.4442494E7</v>
      </c>
      <c r="F28" s="87"/>
      <c r="G28" s="88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</row>
    <row r="29">
      <c r="A29" s="84">
        <v>46130.0</v>
      </c>
      <c r="B29" s="85" t="s">
        <v>4046</v>
      </c>
      <c r="C29" s="85" t="s">
        <v>3118</v>
      </c>
      <c r="D29" s="85" t="s">
        <v>3119</v>
      </c>
      <c r="E29" s="86">
        <v>9.2250214E7</v>
      </c>
      <c r="F29" s="87"/>
      <c r="G29" s="88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</row>
    <row r="30">
      <c r="A30" s="84">
        <v>46134.0</v>
      </c>
      <c r="B30" s="85" t="s">
        <v>4047</v>
      </c>
      <c r="C30" s="85" t="s">
        <v>3185</v>
      </c>
      <c r="D30" s="85" t="s">
        <v>3186</v>
      </c>
      <c r="E30" s="86">
        <v>9.3994055E7</v>
      </c>
      <c r="F30" s="87"/>
      <c r="G30" s="88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</row>
    <row r="31">
      <c r="A31" s="84">
        <v>46137.0</v>
      </c>
      <c r="B31" s="85" t="s">
        <v>4048</v>
      </c>
      <c r="C31" s="85" t="s">
        <v>3217</v>
      </c>
      <c r="D31" s="85" t="s">
        <v>3218</v>
      </c>
      <c r="E31" s="86">
        <v>4.6823122E7</v>
      </c>
      <c r="F31" s="87"/>
      <c r="G31" s="88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</row>
    <row r="32">
      <c r="A32" s="84">
        <v>46149.0</v>
      </c>
      <c r="B32" s="85" t="s">
        <v>4049</v>
      </c>
      <c r="C32" s="85" t="s">
        <v>3322</v>
      </c>
      <c r="D32" s="85" t="s">
        <v>3323</v>
      </c>
      <c r="E32" s="86">
        <v>9.2547622E7</v>
      </c>
      <c r="F32" s="87"/>
      <c r="G32" s="88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</row>
    <row r="33">
      <c r="A33" s="84">
        <v>46149.0</v>
      </c>
      <c r="B33" s="85" t="s">
        <v>182</v>
      </c>
      <c r="C33" s="85" t="s">
        <v>3328</v>
      </c>
      <c r="D33" s="85" t="s">
        <v>3329</v>
      </c>
      <c r="E33" s="86">
        <v>9.7954378E7</v>
      </c>
      <c r="F33" s="87"/>
      <c r="G33" s="88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</row>
    <row r="34">
      <c r="A34" s="84">
        <v>46151.0</v>
      </c>
      <c r="B34" s="85" t="s">
        <v>1463</v>
      </c>
      <c r="C34" s="85" t="s">
        <v>3346</v>
      </c>
      <c r="D34" s="85" t="s">
        <v>3347</v>
      </c>
      <c r="E34" s="86">
        <v>4.79098332E9</v>
      </c>
      <c r="F34" s="87"/>
      <c r="G34" s="88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</row>
    <row r="35">
      <c r="A35" s="91"/>
      <c r="B35" s="91"/>
      <c r="C35" s="91"/>
      <c r="D35" s="91"/>
      <c r="E35" s="91"/>
      <c r="F35" s="92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</row>
    <row r="36">
      <c r="A36" s="91"/>
      <c r="B36" s="91"/>
      <c r="C36" s="91"/>
      <c r="D36" s="91"/>
      <c r="E36" s="91"/>
      <c r="F36" s="92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</row>
    <row r="37">
      <c r="A37" s="91"/>
      <c r="B37" s="91"/>
      <c r="C37" s="91"/>
      <c r="D37" s="91"/>
      <c r="E37" s="91"/>
      <c r="F37" s="92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</row>
    <row r="38">
      <c r="A38" s="91"/>
      <c r="B38" s="91"/>
      <c r="C38" s="91"/>
      <c r="D38" s="91"/>
      <c r="E38" s="91"/>
      <c r="F38" s="92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</row>
    <row r="39">
      <c r="A39" s="91"/>
      <c r="B39" s="91"/>
      <c r="C39" s="91"/>
      <c r="D39" s="91"/>
      <c r="E39" s="91"/>
      <c r="F39" s="92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</row>
    <row r="40">
      <c r="A40" s="91"/>
      <c r="B40" s="91"/>
      <c r="C40" s="91"/>
      <c r="D40" s="91"/>
      <c r="E40" s="91"/>
      <c r="F40" s="92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</row>
    <row r="41">
      <c r="A41" s="91"/>
      <c r="B41" s="91"/>
      <c r="C41" s="91"/>
      <c r="D41" s="91"/>
      <c r="E41" s="91"/>
      <c r="F41" s="92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</row>
    <row r="42">
      <c r="A42" s="91"/>
      <c r="B42" s="91"/>
      <c r="C42" s="91"/>
      <c r="D42" s="91"/>
      <c r="E42" s="91"/>
      <c r="F42" s="92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</row>
    <row r="43">
      <c r="A43" s="91"/>
      <c r="B43" s="91"/>
      <c r="C43" s="91"/>
      <c r="D43" s="91"/>
      <c r="E43" s="91"/>
      <c r="F43" s="92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</row>
    <row r="44">
      <c r="A44" s="91"/>
      <c r="B44" s="91"/>
      <c r="C44" s="91"/>
      <c r="D44" s="91"/>
      <c r="E44" s="91"/>
      <c r="F44" s="92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</row>
    <row r="45">
      <c r="A45" s="91"/>
      <c r="B45" s="91"/>
      <c r="C45" s="91"/>
      <c r="D45" s="91"/>
      <c r="E45" s="91"/>
      <c r="F45" s="92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</row>
    <row r="46">
      <c r="A46" s="91"/>
      <c r="B46" s="91"/>
      <c r="C46" s="91"/>
      <c r="D46" s="91"/>
      <c r="E46" s="91"/>
      <c r="F46" s="92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</row>
    <row r="47">
      <c r="A47" s="91"/>
      <c r="B47" s="91"/>
      <c r="C47" s="91"/>
      <c r="D47" s="91"/>
      <c r="E47" s="91"/>
      <c r="F47" s="92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</row>
    <row r="48">
      <c r="A48" s="91"/>
      <c r="B48" s="91"/>
      <c r="C48" s="91"/>
      <c r="D48" s="91"/>
      <c r="E48" s="91"/>
      <c r="F48" s="92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</row>
    <row r="49">
      <c r="A49" s="91"/>
      <c r="B49" s="91"/>
      <c r="C49" s="91"/>
      <c r="D49" s="91"/>
      <c r="E49" s="91"/>
      <c r="F49" s="92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</row>
    <row r="50">
      <c r="A50" s="91"/>
      <c r="B50" s="91"/>
      <c r="C50" s="91"/>
      <c r="D50" s="91"/>
      <c r="E50" s="91"/>
      <c r="F50" s="92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</row>
    <row r="51">
      <c r="A51" s="91"/>
      <c r="B51" s="91"/>
      <c r="C51" s="91"/>
      <c r="D51" s="91"/>
      <c r="E51" s="91"/>
      <c r="F51" s="92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</row>
    <row r="52">
      <c r="A52" s="91"/>
      <c r="B52" s="91"/>
      <c r="C52" s="91"/>
      <c r="D52" s="91"/>
      <c r="E52" s="91"/>
      <c r="F52" s="92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</row>
    <row r="53">
      <c r="A53" s="91"/>
      <c r="B53" s="91"/>
      <c r="C53" s="91"/>
      <c r="D53" s="91"/>
      <c r="E53" s="91"/>
      <c r="F53" s="92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</row>
    <row r="54">
      <c r="A54" s="91"/>
      <c r="B54" s="91"/>
      <c r="C54" s="91"/>
      <c r="D54" s="91"/>
      <c r="E54" s="91"/>
      <c r="F54" s="92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</row>
    <row r="55">
      <c r="A55" s="91"/>
      <c r="B55" s="91"/>
      <c r="C55" s="91"/>
      <c r="D55" s="91"/>
      <c r="E55" s="91"/>
      <c r="F55" s="92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</row>
    <row r="56">
      <c r="A56" s="91"/>
      <c r="B56" s="91"/>
      <c r="C56" s="91"/>
      <c r="D56" s="91"/>
      <c r="E56" s="91"/>
      <c r="F56" s="92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</row>
    <row r="57">
      <c r="A57" s="91"/>
      <c r="B57" s="91"/>
      <c r="C57" s="91"/>
      <c r="D57" s="91"/>
      <c r="E57" s="91"/>
      <c r="F57" s="92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</row>
    <row r="58">
      <c r="A58" s="91"/>
      <c r="B58" s="91"/>
      <c r="C58" s="91"/>
      <c r="D58" s="91"/>
      <c r="E58" s="91"/>
      <c r="F58" s="92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</row>
    <row r="59">
      <c r="A59" s="91"/>
      <c r="B59" s="91"/>
      <c r="C59" s="91"/>
      <c r="D59" s="91"/>
      <c r="E59" s="91"/>
      <c r="F59" s="92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</row>
    <row r="60">
      <c r="A60" s="91"/>
      <c r="B60" s="91"/>
      <c r="C60" s="91"/>
      <c r="D60" s="91"/>
      <c r="E60" s="91"/>
      <c r="F60" s="92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</row>
    <row r="61">
      <c r="A61" s="91"/>
      <c r="B61" s="91"/>
      <c r="C61" s="91"/>
      <c r="D61" s="91"/>
      <c r="E61" s="91"/>
      <c r="F61" s="92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</row>
    <row r="62">
      <c r="A62" s="91"/>
      <c r="B62" s="91"/>
      <c r="C62" s="91"/>
      <c r="D62" s="91"/>
      <c r="E62" s="91"/>
      <c r="F62" s="92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</row>
    <row r="63">
      <c r="A63" s="91"/>
      <c r="B63" s="91"/>
      <c r="C63" s="91"/>
      <c r="D63" s="91"/>
      <c r="E63" s="91"/>
      <c r="F63" s="92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</row>
    <row r="64">
      <c r="A64" s="91"/>
      <c r="B64" s="91"/>
      <c r="C64" s="91"/>
      <c r="D64" s="91"/>
      <c r="E64" s="91"/>
      <c r="F64" s="92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</row>
    <row r="65">
      <c r="A65" s="91"/>
      <c r="B65" s="91"/>
      <c r="C65" s="91"/>
      <c r="D65" s="91"/>
      <c r="E65" s="91"/>
      <c r="F65" s="92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</row>
    <row r="66">
      <c r="A66" s="91"/>
      <c r="B66" s="91"/>
      <c r="C66" s="91"/>
      <c r="D66" s="91"/>
      <c r="E66" s="91"/>
      <c r="F66" s="92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</row>
    <row r="67">
      <c r="A67" s="91"/>
      <c r="B67" s="91"/>
      <c r="C67" s="91"/>
      <c r="D67" s="91"/>
      <c r="E67" s="91"/>
      <c r="F67" s="92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</row>
    <row r="68">
      <c r="A68" s="91"/>
      <c r="B68" s="91"/>
      <c r="C68" s="91"/>
      <c r="D68" s="91"/>
      <c r="E68" s="91"/>
      <c r="F68" s="92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</row>
    <row r="69">
      <c r="A69" s="91"/>
      <c r="B69" s="91"/>
      <c r="C69" s="91"/>
      <c r="D69" s="91"/>
      <c r="E69" s="91"/>
      <c r="F69" s="92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</row>
    <row r="70">
      <c r="A70" s="91"/>
      <c r="B70" s="91"/>
      <c r="C70" s="91"/>
      <c r="D70" s="91"/>
      <c r="E70" s="91"/>
      <c r="F70" s="92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</row>
    <row r="71">
      <c r="A71" s="91"/>
      <c r="B71" s="91"/>
      <c r="C71" s="91"/>
      <c r="D71" s="91"/>
      <c r="E71" s="91"/>
      <c r="F71" s="92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</row>
    <row r="72">
      <c r="A72" s="91"/>
      <c r="B72" s="91"/>
      <c r="C72" s="91"/>
      <c r="D72" s="91"/>
      <c r="E72" s="91"/>
      <c r="F72" s="92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</row>
    <row r="73">
      <c r="A73" s="91"/>
      <c r="B73" s="91"/>
      <c r="C73" s="91"/>
      <c r="D73" s="91"/>
      <c r="E73" s="91"/>
      <c r="F73" s="92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</row>
    <row r="74">
      <c r="A74" s="91"/>
      <c r="B74" s="91"/>
      <c r="C74" s="91"/>
      <c r="D74" s="91"/>
      <c r="E74" s="91"/>
      <c r="F74" s="92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</row>
    <row r="75">
      <c r="A75" s="91"/>
      <c r="B75" s="91"/>
      <c r="C75" s="91"/>
      <c r="D75" s="91"/>
      <c r="E75" s="91"/>
      <c r="F75" s="92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</row>
    <row r="76">
      <c r="A76" s="91"/>
      <c r="B76" s="91"/>
      <c r="C76" s="91"/>
      <c r="D76" s="91"/>
      <c r="E76" s="91"/>
      <c r="F76" s="92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</row>
    <row r="77">
      <c r="A77" s="91"/>
      <c r="B77" s="91"/>
      <c r="C77" s="91"/>
      <c r="D77" s="91"/>
      <c r="E77" s="91"/>
      <c r="F77" s="92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</row>
    <row r="78">
      <c r="A78" s="91"/>
      <c r="B78" s="91"/>
      <c r="C78" s="91"/>
      <c r="D78" s="91"/>
      <c r="E78" s="91"/>
      <c r="F78" s="92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</row>
    <row r="79">
      <c r="A79" s="91"/>
      <c r="B79" s="91"/>
      <c r="C79" s="91"/>
      <c r="D79" s="91"/>
      <c r="E79" s="91"/>
      <c r="F79" s="92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</row>
    <row r="80">
      <c r="A80" s="91"/>
      <c r="B80" s="91"/>
      <c r="C80" s="91"/>
      <c r="D80" s="91"/>
      <c r="E80" s="91"/>
      <c r="F80" s="92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</row>
    <row r="81">
      <c r="A81" s="91"/>
      <c r="B81" s="91"/>
      <c r="C81" s="91"/>
      <c r="D81" s="91"/>
      <c r="E81" s="91"/>
      <c r="F81" s="92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</row>
    <row r="82">
      <c r="A82" s="91"/>
      <c r="B82" s="91"/>
      <c r="C82" s="91"/>
      <c r="D82" s="91"/>
      <c r="E82" s="91"/>
      <c r="F82" s="92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</row>
    <row r="83">
      <c r="A83" s="91"/>
      <c r="B83" s="91"/>
      <c r="C83" s="91"/>
      <c r="D83" s="91"/>
      <c r="E83" s="91"/>
      <c r="F83" s="92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</row>
    <row r="84">
      <c r="A84" s="91"/>
      <c r="B84" s="91"/>
      <c r="C84" s="91"/>
      <c r="D84" s="91"/>
      <c r="E84" s="91"/>
      <c r="F84" s="92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</row>
    <row r="85">
      <c r="A85" s="91"/>
      <c r="B85" s="91"/>
      <c r="C85" s="91"/>
      <c r="D85" s="91"/>
      <c r="E85" s="91"/>
      <c r="F85" s="92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</row>
    <row r="86">
      <c r="A86" s="91"/>
      <c r="B86" s="91"/>
      <c r="C86" s="91"/>
      <c r="D86" s="91"/>
      <c r="E86" s="91"/>
      <c r="F86" s="92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</row>
    <row r="87">
      <c r="A87" s="91"/>
      <c r="B87" s="91"/>
      <c r="C87" s="91"/>
      <c r="D87" s="91"/>
      <c r="E87" s="91"/>
      <c r="F87" s="92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</row>
    <row r="88">
      <c r="A88" s="91"/>
      <c r="B88" s="91"/>
      <c r="C88" s="91"/>
      <c r="D88" s="91"/>
      <c r="E88" s="91"/>
      <c r="F88" s="92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</row>
    <row r="89">
      <c r="A89" s="91"/>
      <c r="B89" s="91"/>
      <c r="C89" s="91"/>
      <c r="D89" s="91"/>
      <c r="E89" s="91"/>
      <c r="F89" s="92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</row>
    <row r="90">
      <c r="A90" s="91"/>
      <c r="B90" s="91"/>
      <c r="C90" s="91"/>
      <c r="D90" s="91"/>
      <c r="E90" s="91"/>
      <c r="F90" s="92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</row>
    <row r="91">
      <c r="A91" s="91"/>
      <c r="B91" s="91"/>
      <c r="C91" s="91"/>
      <c r="D91" s="91"/>
      <c r="E91" s="91"/>
      <c r="F91" s="92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</row>
    <row r="92">
      <c r="A92" s="91"/>
      <c r="B92" s="91"/>
      <c r="C92" s="91"/>
      <c r="D92" s="91"/>
      <c r="E92" s="91"/>
      <c r="F92" s="92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</row>
    <row r="93">
      <c r="A93" s="91"/>
      <c r="B93" s="91"/>
      <c r="C93" s="91"/>
      <c r="D93" s="91"/>
      <c r="E93" s="91"/>
      <c r="F93" s="92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</row>
    <row r="94">
      <c r="A94" s="91"/>
      <c r="B94" s="91"/>
      <c r="C94" s="91"/>
      <c r="D94" s="91"/>
      <c r="E94" s="91"/>
      <c r="F94" s="92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</row>
    <row r="95">
      <c r="A95" s="91"/>
      <c r="B95" s="91"/>
      <c r="C95" s="91"/>
      <c r="D95" s="91"/>
      <c r="E95" s="91"/>
      <c r="F95" s="92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</row>
    <row r="96">
      <c r="A96" s="91"/>
      <c r="B96" s="91"/>
      <c r="C96" s="91"/>
      <c r="D96" s="91"/>
      <c r="E96" s="91"/>
      <c r="F96" s="92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</row>
    <row r="97">
      <c r="A97" s="91"/>
      <c r="B97" s="91"/>
      <c r="C97" s="91"/>
      <c r="D97" s="91"/>
      <c r="E97" s="91"/>
      <c r="F97" s="92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</row>
    <row r="98">
      <c r="A98" s="91"/>
      <c r="B98" s="91"/>
      <c r="C98" s="91"/>
      <c r="D98" s="91"/>
      <c r="E98" s="91"/>
      <c r="F98" s="92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</row>
    <row r="99">
      <c r="A99" s="91"/>
      <c r="B99" s="91"/>
      <c r="C99" s="91"/>
      <c r="D99" s="91"/>
      <c r="E99" s="91"/>
      <c r="F99" s="92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</row>
    <row r="100">
      <c r="A100" s="91"/>
      <c r="B100" s="91"/>
      <c r="C100" s="91"/>
      <c r="D100" s="91"/>
      <c r="E100" s="91"/>
      <c r="F100" s="92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</row>
    <row r="101">
      <c r="A101" s="91"/>
      <c r="B101" s="91"/>
      <c r="C101" s="91"/>
      <c r="D101" s="91"/>
      <c r="E101" s="91"/>
      <c r="F101" s="92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</row>
    <row r="102">
      <c r="A102" s="91"/>
      <c r="B102" s="91"/>
      <c r="C102" s="91"/>
      <c r="D102" s="91"/>
      <c r="E102" s="91"/>
      <c r="F102" s="92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</row>
    <row r="103">
      <c r="A103" s="91"/>
      <c r="B103" s="91"/>
      <c r="C103" s="91"/>
      <c r="D103" s="91"/>
      <c r="E103" s="91"/>
      <c r="F103" s="92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</row>
    <row r="104">
      <c r="A104" s="91"/>
      <c r="B104" s="91"/>
      <c r="C104" s="91"/>
      <c r="D104" s="91"/>
      <c r="E104" s="91"/>
      <c r="F104" s="92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</row>
    <row r="105">
      <c r="A105" s="91"/>
      <c r="B105" s="91"/>
      <c r="C105" s="91"/>
      <c r="D105" s="91"/>
      <c r="E105" s="91"/>
      <c r="F105" s="92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</row>
    <row r="106">
      <c r="A106" s="91"/>
      <c r="B106" s="91"/>
      <c r="C106" s="91"/>
      <c r="D106" s="91"/>
      <c r="E106" s="91"/>
      <c r="F106" s="92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</row>
    <row r="107">
      <c r="A107" s="91"/>
      <c r="B107" s="91"/>
      <c r="C107" s="91"/>
      <c r="D107" s="91"/>
      <c r="E107" s="91"/>
      <c r="F107" s="92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</row>
    <row r="108">
      <c r="A108" s="91"/>
      <c r="B108" s="91"/>
      <c r="C108" s="91"/>
      <c r="D108" s="91"/>
      <c r="E108" s="91"/>
      <c r="F108" s="92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</row>
    <row r="109">
      <c r="A109" s="91"/>
      <c r="B109" s="91"/>
      <c r="C109" s="91"/>
      <c r="D109" s="91"/>
      <c r="E109" s="91"/>
      <c r="F109" s="92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</row>
    <row r="110">
      <c r="A110" s="91"/>
      <c r="B110" s="91"/>
      <c r="C110" s="91"/>
      <c r="D110" s="91"/>
      <c r="E110" s="91"/>
      <c r="F110" s="92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</row>
    <row r="111">
      <c r="A111" s="91"/>
      <c r="B111" s="91"/>
      <c r="C111" s="91"/>
      <c r="D111" s="91"/>
      <c r="E111" s="91"/>
      <c r="F111" s="92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</row>
    <row r="112">
      <c r="A112" s="91"/>
      <c r="B112" s="91"/>
      <c r="C112" s="91"/>
      <c r="D112" s="91"/>
      <c r="E112" s="91"/>
      <c r="F112" s="92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</row>
    <row r="113">
      <c r="A113" s="91"/>
      <c r="B113" s="91"/>
      <c r="C113" s="91"/>
      <c r="D113" s="91"/>
      <c r="E113" s="91"/>
      <c r="F113" s="92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</row>
    <row r="114">
      <c r="A114" s="91"/>
      <c r="B114" s="91"/>
      <c r="C114" s="91"/>
      <c r="D114" s="91"/>
      <c r="E114" s="91"/>
      <c r="F114" s="92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</row>
    <row r="115">
      <c r="A115" s="91"/>
      <c r="B115" s="91"/>
      <c r="C115" s="91"/>
      <c r="D115" s="91"/>
      <c r="E115" s="91"/>
      <c r="F115" s="92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</row>
    <row r="116">
      <c r="A116" s="91"/>
      <c r="B116" s="91"/>
      <c r="C116" s="91"/>
      <c r="D116" s="91"/>
      <c r="E116" s="91"/>
      <c r="F116" s="92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</row>
    <row r="117">
      <c r="A117" s="91"/>
      <c r="B117" s="91"/>
      <c r="C117" s="91"/>
      <c r="D117" s="91"/>
      <c r="E117" s="91"/>
      <c r="F117" s="92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</row>
    <row r="118">
      <c r="A118" s="91"/>
      <c r="B118" s="91"/>
      <c r="C118" s="91"/>
      <c r="D118" s="91"/>
      <c r="E118" s="91"/>
      <c r="F118" s="92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</row>
    <row r="119">
      <c r="A119" s="91"/>
      <c r="B119" s="91"/>
      <c r="C119" s="91"/>
      <c r="D119" s="91"/>
      <c r="E119" s="91"/>
      <c r="F119" s="92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</row>
    <row r="120">
      <c r="A120" s="91"/>
      <c r="B120" s="91"/>
      <c r="C120" s="91"/>
      <c r="D120" s="91"/>
      <c r="E120" s="91"/>
      <c r="F120" s="92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</row>
    <row r="121">
      <c r="A121" s="91"/>
      <c r="B121" s="91"/>
      <c r="C121" s="91"/>
      <c r="D121" s="91"/>
      <c r="E121" s="91"/>
      <c r="F121" s="92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</row>
    <row r="122">
      <c r="A122" s="91"/>
      <c r="B122" s="91"/>
      <c r="C122" s="91"/>
      <c r="D122" s="91"/>
      <c r="E122" s="91"/>
      <c r="F122" s="92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</row>
    <row r="123">
      <c r="A123" s="91"/>
      <c r="B123" s="91"/>
      <c r="C123" s="91"/>
      <c r="D123" s="91"/>
      <c r="E123" s="91"/>
      <c r="F123" s="92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</row>
    <row r="124">
      <c r="A124" s="91"/>
      <c r="B124" s="91"/>
      <c r="C124" s="91"/>
      <c r="D124" s="91"/>
      <c r="E124" s="91"/>
      <c r="F124" s="92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</row>
    <row r="125">
      <c r="A125" s="91"/>
      <c r="B125" s="91"/>
      <c r="C125" s="91"/>
      <c r="D125" s="91"/>
      <c r="E125" s="91"/>
      <c r="F125" s="92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</row>
    <row r="126">
      <c r="A126" s="91"/>
      <c r="B126" s="91"/>
      <c r="C126" s="91"/>
      <c r="D126" s="91"/>
      <c r="E126" s="91"/>
      <c r="F126" s="92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</row>
    <row r="127">
      <c r="A127" s="91"/>
      <c r="B127" s="91"/>
      <c r="C127" s="91"/>
      <c r="D127" s="91"/>
      <c r="E127" s="91"/>
      <c r="F127" s="92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</row>
    <row r="128">
      <c r="A128" s="91"/>
      <c r="B128" s="91"/>
      <c r="C128" s="91"/>
      <c r="D128" s="91"/>
      <c r="E128" s="91"/>
      <c r="F128" s="92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</row>
    <row r="129">
      <c r="A129" s="91"/>
      <c r="B129" s="91"/>
      <c r="C129" s="91"/>
      <c r="D129" s="91"/>
      <c r="E129" s="91"/>
      <c r="F129" s="92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</row>
    <row r="130">
      <c r="A130" s="91"/>
      <c r="B130" s="91"/>
      <c r="C130" s="91"/>
      <c r="D130" s="91"/>
      <c r="E130" s="91"/>
      <c r="F130" s="92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</row>
    <row r="131">
      <c r="A131" s="91"/>
      <c r="B131" s="91"/>
      <c r="C131" s="91"/>
      <c r="D131" s="91"/>
      <c r="E131" s="91"/>
      <c r="F131" s="92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</row>
    <row r="132">
      <c r="A132" s="91"/>
      <c r="B132" s="91"/>
      <c r="C132" s="91"/>
      <c r="D132" s="91"/>
      <c r="E132" s="91"/>
      <c r="F132" s="92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</row>
    <row r="133">
      <c r="A133" s="91"/>
      <c r="B133" s="91"/>
      <c r="C133" s="91"/>
      <c r="D133" s="91"/>
      <c r="E133" s="91"/>
      <c r="F133" s="92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</row>
    <row r="134">
      <c r="A134" s="91"/>
      <c r="B134" s="91"/>
      <c r="C134" s="91"/>
      <c r="D134" s="91"/>
      <c r="E134" s="91"/>
      <c r="F134" s="92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</row>
    <row r="135">
      <c r="A135" s="91"/>
      <c r="B135" s="91"/>
      <c r="C135" s="91"/>
      <c r="D135" s="91"/>
      <c r="E135" s="91"/>
      <c r="F135" s="92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</row>
    <row r="136">
      <c r="A136" s="91"/>
      <c r="B136" s="91"/>
      <c r="C136" s="91"/>
      <c r="D136" s="91"/>
      <c r="E136" s="91"/>
      <c r="F136" s="92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</row>
    <row r="137">
      <c r="A137" s="91"/>
      <c r="B137" s="91"/>
      <c r="C137" s="91"/>
      <c r="D137" s="91"/>
      <c r="E137" s="91"/>
      <c r="F137" s="92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</row>
    <row r="138">
      <c r="A138" s="91"/>
      <c r="B138" s="91"/>
      <c r="C138" s="91"/>
      <c r="D138" s="91"/>
      <c r="E138" s="91"/>
      <c r="F138" s="92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</row>
    <row r="139">
      <c r="A139" s="91"/>
      <c r="B139" s="91"/>
      <c r="C139" s="91"/>
      <c r="D139" s="91"/>
      <c r="E139" s="91"/>
      <c r="F139" s="92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</row>
    <row r="140">
      <c r="A140" s="91"/>
      <c r="B140" s="91"/>
      <c r="C140" s="91"/>
      <c r="D140" s="91"/>
      <c r="E140" s="91"/>
      <c r="F140" s="92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</row>
    <row r="141">
      <c r="A141" s="91"/>
      <c r="B141" s="91"/>
      <c r="C141" s="91"/>
      <c r="D141" s="91"/>
      <c r="E141" s="91"/>
      <c r="F141" s="92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</row>
    <row r="142">
      <c r="A142" s="91"/>
      <c r="B142" s="91"/>
      <c r="C142" s="91"/>
      <c r="D142" s="91"/>
      <c r="E142" s="91"/>
      <c r="F142" s="92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</row>
    <row r="143">
      <c r="A143" s="91"/>
      <c r="B143" s="91"/>
      <c r="C143" s="91"/>
      <c r="D143" s="91"/>
      <c r="E143" s="91"/>
      <c r="F143" s="92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</row>
    <row r="144">
      <c r="A144" s="91"/>
      <c r="B144" s="91"/>
      <c r="C144" s="91"/>
      <c r="D144" s="91"/>
      <c r="E144" s="91"/>
      <c r="F144" s="92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</row>
    <row r="145">
      <c r="A145" s="91"/>
      <c r="B145" s="91"/>
      <c r="C145" s="91"/>
      <c r="D145" s="91"/>
      <c r="E145" s="91"/>
      <c r="F145" s="92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</row>
    <row r="146">
      <c r="A146" s="91"/>
      <c r="B146" s="91"/>
      <c r="C146" s="91"/>
      <c r="D146" s="91"/>
      <c r="E146" s="91"/>
      <c r="F146" s="92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</row>
    <row r="147">
      <c r="A147" s="91"/>
      <c r="B147" s="91"/>
      <c r="C147" s="91"/>
      <c r="D147" s="91"/>
      <c r="E147" s="91"/>
      <c r="F147" s="92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</row>
    <row r="148">
      <c r="A148" s="91"/>
      <c r="B148" s="91"/>
      <c r="C148" s="91"/>
      <c r="D148" s="91"/>
      <c r="E148" s="91"/>
      <c r="F148" s="92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</row>
    <row r="149">
      <c r="A149" s="91"/>
      <c r="B149" s="91"/>
      <c r="C149" s="91"/>
      <c r="D149" s="91"/>
      <c r="E149" s="91"/>
      <c r="F149" s="92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</row>
    <row r="150">
      <c r="A150" s="91"/>
      <c r="B150" s="91"/>
      <c r="C150" s="91"/>
      <c r="D150" s="91"/>
      <c r="E150" s="91"/>
      <c r="F150" s="92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</row>
    <row r="151">
      <c r="A151" s="91"/>
      <c r="B151" s="91"/>
      <c r="C151" s="91"/>
      <c r="D151" s="91"/>
      <c r="E151" s="91"/>
      <c r="F151" s="92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</row>
    <row r="152">
      <c r="A152" s="91"/>
      <c r="B152" s="91"/>
      <c r="C152" s="91"/>
      <c r="D152" s="91"/>
      <c r="E152" s="91"/>
      <c r="F152" s="92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</row>
    <row r="153">
      <c r="A153" s="91"/>
      <c r="B153" s="91"/>
      <c r="C153" s="91"/>
      <c r="D153" s="91"/>
      <c r="E153" s="91"/>
      <c r="F153" s="92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</row>
    <row r="154">
      <c r="A154" s="91"/>
      <c r="B154" s="91"/>
      <c r="C154" s="91"/>
      <c r="D154" s="91"/>
      <c r="E154" s="91"/>
      <c r="F154" s="92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</row>
    <row r="155">
      <c r="A155" s="91"/>
      <c r="B155" s="91"/>
      <c r="C155" s="91"/>
      <c r="D155" s="91"/>
      <c r="E155" s="91"/>
      <c r="F155" s="92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</row>
    <row r="156">
      <c r="A156" s="91"/>
      <c r="B156" s="91"/>
      <c r="C156" s="91"/>
      <c r="D156" s="91"/>
      <c r="E156" s="91"/>
      <c r="F156" s="92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</row>
    <row r="157">
      <c r="A157" s="91"/>
      <c r="B157" s="91"/>
      <c r="C157" s="91"/>
      <c r="D157" s="91"/>
      <c r="E157" s="91"/>
      <c r="F157" s="92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</row>
    <row r="158">
      <c r="A158" s="91"/>
      <c r="B158" s="91"/>
      <c r="C158" s="91"/>
      <c r="D158" s="91"/>
      <c r="E158" s="91"/>
      <c r="F158" s="92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</row>
    <row r="159">
      <c r="A159" s="91"/>
      <c r="B159" s="91"/>
      <c r="C159" s="91"/>
      <c r="D159" s="91"/>
      <c r="E159" s="91"/>
      <c r="F159" s="92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</row>
    <row r="160">
      <c r="A160" s="91"/>
      <c r="B160" s="91"/>
      <c r="C160" s="91"/>
      <c r="D160" s="91"/>
      <c r="E160" s="91"/>
      <c r="F160" s="92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</row>
    <row r="161">
      <c r="A161" s="91"/>
      <c r="B161" s="91"/>
      <c r="C161" s="91"/>
      <c r="D161" s="91"/>
      <c r="E161" s="91"/>
      <c r="F161" s="92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</row>
    <row r="162">
      <c r="A162" s="91"/>
      <c r="B162" s="91"/>
      <c r="C162" s="91"/>
      <c r="D162" s="91"/>
      <c r="E162" s="91"/>
      <c r="F162" s="92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</row>
    <row r="163">
      <c r="A163" s="91"/>
      <c r="B163" s="91"/>
      <c r="C163" s="91"/>
      <c r="D163" s="91"/>
      <c r="E163" s="91"/>
      <c r="F163" s="92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</row>
    <row r="164">
      <c r="A164" s="91"/>
      <c r="B164" s="91"/>
      <c r="C164" s="91"/>
      <c r="D164" s="91"/>
      <c r="E164" s="91"/>
      <c r="F164" s="92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</row>
    <row r="165">
      <c r="A165" s="91"/>
      <c r="B165" s="91"/>
      <c r="C165" s="91"/>
      <c r="D165" s="91"/>
      <c r="E165" s="91"/>
      <c r="F165" s="92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</row>
    <row r="166">
      <c r="A166" s="91"/>
      <c r="B166" s="91"/>
      <c r="C166" s="91"/>
      <c r="D166" s="91"/>
      <c r="E166" s="91"/>
      <c r="F166" s="92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</row>
    <row r="167">
      <c r="A167" s="91"/>
      <c r="B167" s="91"/>
      <c r="C167" s="91"/>
      <c r="D167" s="91"/>
      <c r="E167" s="91"/>
      <c r="F167" s="92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</row>
    <row r="168">
      <c r="A168" s="91"/>
      <c r="B168" s="91"/>
      <c r="C168" s="91"/>
      <c r="D168" s="91"/>
      <c r="E168" s="91"/>
      <c r="F168" s="92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</row>
    <row r="169">
      <c r="A169" s="91"/>
      <c r="B169" s="91"/>
      <c r="C169" s="91"/>
      <c r="D169" s="91"/>
      <c r="E169" s="91"/>
      <c r="F169" s="92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</row>
    <row r="170">
      <c r="A170" s="91"/>
      <c r="B170" s="91"/>
      <c r="C170" s="91"/>
      <c r="D170" s="91"/>
      <c r="E170" s="91"/>
      <c r="F170" s="92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</row>
    <row r="171">
      <c r="A171" s="91"/>
      <c r="B171" s="91"/>
      <c r="C171" s="91"/>
      <c r="D171" s="91"/>
      <c r="E171" s="91"/>
      <c r="F171" s="92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</row>
    <row r="172">
      <c r="A172" s="91"/>
      <c r="B172" s="91"/>
      <c r="C172" s="91"/>
      <c r="D172" s="91"/>
      <c r="E172" s="91"/>
      <c r="F172" s="92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</row>
    <row r="173">
      <c r="A173" s="91"/>
      <c r="B173" s="91"/>
      <c r="C173" s="91"/>
      <c r="D173" s="91"/>
      <c r="E173" s="91"/>
      <c r="F173" s="92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</row>
    <row r="174">
      <c r="A174" s="91"/>
      <c r="B174" s="91"/>
      <c r="C174" s="91"/>
      <c r="D174" s="91"/>
      <c r="E174" s="91"/>
      <c r="F174" s="92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</row>
    <row r="175">
      <c r="A175" s="91"/>
      <c r="B175" s="91"/>
      <c r="C175" s="91"/>
      <c r="D175" s="91"/>
      <c r="E175" s="91"/>
      <c r="F175" s="92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</row>
    <row r="176">
      <c r="A176" s="91"/>
      <c r="B176" s="91"/>
      <c r="C176" s="91"/>
      <c r="D176" s="91"/>
      <c r="E176" s="91"/>
      <c r="F176" s="92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</row>
    <row r="177">
      <c r="A177" s="91"/>
      <c r="B177" s="91"/>
      <c r="C177" s="91"/>
      <c r="D177" s="91"/>
      <c r="E177" s="91"/>
      <c r="F177" s="92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</row>
    <row r="178">
      <c r="A178" s="91"/>
      <c r="B178" s="91"/>
      <c r="C178" s="91"/>
      <c r="D178" s="91"/>
      <c r="E178" s="91"/>
      <c r="F178" s="92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</row>
    <row r="179">
      <c r="A179" s="91"/>
      <c r="B179" s="91"/>
      <c r="C179" s="91"/>
      <c r="D179" s="91"/>
      <c r="E179" s="91"/>
      <c r="F179" s="92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</row>
    <row r="180">
      <c r="A180" s="91"/>
      <c r="B180" s="91"/>
      <c r="C180" s="91"/>
      <c r="D180" s="91"/>
      <c r="E180" s="91"/>
      <c r="F180" s="92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</row>
    <row r="181">
      <c r="A181" s="91"/>
      <c r="B181" s="91"/>
      <c r="C181" s="91"/>
      <c r="D181" s="91"/>
      <c r="E181" s="91"/>
      <c r="F181" s="92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</row>
    <row r="182">
      <c r="A182" s="91"/>
      <c r="B182" s="91"/>
      <c r="C182" s="91"/>
      <c r="D182" s="91"/>
      <c r="E182" s="91"/>
      <c r="F182" s="92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</row>
    <row r="183">
      <c r="A183" s="91"/>
      <c r="B183" s="91"/>
      <c r="C183" s="91"/>
      <c r="D183" s="91"/>
      <c r="E183" s="91"/>
      <c r="F183" s="92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</row>
    <row r="184">
      <c r="A184" s="91"/>
      <c r="B184" s="91"/>
      <c r="C184" s="91"/>
      <c r="D184" s="91"/>
      <c r="E184" s="91"/>
      <c r="F184" s="92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</row>
    <row r="185">
      <c r="A185" s="91"/>
      <c r="B185" s="91"/>
      <c r="C185" s="91"/>
      <c r="D185" s="91"/>
      <c r="E185" s="91"/>
      <c r="F185" s="92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</row>
    <row r="186">
      <c r="A186" s="91"/>
      <c r="B186" s="91"/>
      <c r="C186" s="91"/>
      <c r="D186" s="91"/>
      <c r="E186" s="91"/>
      <c r="F186" s="92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</row>
    <row r="187">
      <c r="A187" s="91"/>
      <c r="B187" s="91"/>
      <c r="C187" s="91"/>
      <c r="D187" s="91"/>
      <c r="E187" s="91"/>
      <c r="F187" s="92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</row>
    <row r="188">
      <c r="A188" s="91"/>
      <c r="B188" s="91"/>
      <c r="C188" s="91"/>
      <c r="D188" s="91"/>
      <c r="E188" s="91"/>
      <c r="F188" s="92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</row>
    <row r="189">
      <c r="A189" s="91"/>
      <c r="B189" s="91"/>
      <c r="C189" s="91"/>
      <c r="D189" s="91"/>
      <c r="E189" s="91"/>
      <c r="F189" s="92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</row>
    <row r="190">
      <c r="A190" s="91"/>
      <c r="B190" s="91"/>
      <c r="C190" s="91"/>
      <c r="D190" s="91"/>
      <c r="E190" s="91"/>
      <c r="F190" s="92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</row>
    <row r="191">
      <c r="A191" s="91"/>
      <c r="B191" s="91"/>
      <c r="C191" s="91"/>
      <c r="D191" s="91"/>
      <c r="E191" s="91"/>
      <c r="F191" s="92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</row>
    <row r="192">
      <c r="A192" s="91"/>
      <c r="B192" s="91"/>
      <c r="C192" s="91"/>
      <c r="D192" s="91"/>
      <c r="E192" s="91"/>
      <c r="F192" s="92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</row>
    <row r="193">
      <c r="A193" s="91"/>
      <c r="B193" s="91"/>
      <c r="C193" s="91"/>
      <c r="D193" s="91"/>
      <c r="E193" s="91"/>
      <c r="F193" s="92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</row>
    <row r="194">
      <c r="A194" s="91"/>
      <c r="B194" s="91"/>
      <c r="C194" s="91"/>
      <c r="D194" s="91"/>
      <c r="E194" s="91"/>
      <c r="F194" s="92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</row>
    <row r="195">
      <c r="A195" s="91"/>
      <c r="B195" s="91"/>
      <c r="C195" s="91"/>
      <c r="D195" s="91"/>
      <c r="E195" s="91"/>
      <c r="F195" s="92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</row>
    <row r="196">
      <c r="A196" s="91"/>
      <c r="B196" s="91"/>
      <c r="C196" s="91"/>
      <c r="D196" s="91"/>
      <c r="E196" s="91"/>
      <c r="F196" s="92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</row>
    <row r="197">
      <c r="A197" s="91"/>
      <c r="B197" s="91"/>
      <c r="C197" s="91"/>
      <c r="D197" s="91"/>
      <c r="E197" s="91"/>
      <c r="F197" s="92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</row>
    <row r="198">
      <c r="A198" s="91"/>
      <c r="B198" s="91"/>
      <c r="C198" s="91"/>
      <c r="D198" s="91"/>
      <c r="E198" s="91"/>
      <c r="F198" s="92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</row>
    <row r="199">
      <c r="A199" s="91"/>
      <c r="B199" s="91"/>
      <c r="C199" s="91"/>
      <c r="D199" s="91"/>
      <c r="E199" s="91"/>
      <c r="F199" s="92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</row>
    <row r="200">
      <c r="A200" s="91"/>
      <c r="B200" s="91"/>
      <c r="C200" s="91"/>
      <c r="D200" s="91"/>
      <c r="E200" s="91"/>
      <c r="F200" s="92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</row>
    <row r="201">
      <c r="A201" s="91"/>
      <c r="B201" s="91"/>
      <c r="C201" s="91"/>
      <c r="D201" s="91"/>
      <c r="E201" s="91"/>
      <c r="F201" s="92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</row>
    <row r="202">
      <c r="A202" s="91"/>
      <c r="B202" s="91"/>
      <c r="C202" s="91"/>
      <c r="D202" s="91"/>
      <c r="E202" s="91"/>
      <c r="F202" s="92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</row>
    <row r="203">
      <c r="A203" s="91"/>
      <c r="B203" s="91"/>
      <c r="C203" s="91"/>
      <c r="D203" s="91"/>
      <c r="E203" s="91"/>
      <c r="F203" s="92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</row>
    <row r="204">
      <c r="A204" s="91"/>
      <c r="B204" s="91"/>
      <c r="C204" s="91"/>
      <c r="D204" s="91"/>
      <c r="E204" s="91"/>
      <c r="F204" s="92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</row>
    <row r="205">
      <c r="A205" s="91"/>
      <c r="B205" s="91"/>
      <c r="C205" s="91"/>
      <c r="D205" s="91"/>
      <c r="E205" s="91"/>
      <c r="F205" s="92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</row>
    <row r="206">
      <c r="A206" s="91"/>
      <c r="B206" s="91"/>
      <c r="C206" s="91"/>
      <c r="D206" s="91"/>
      <c r="E206" s="91"/>
      <c r="F206" s="92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</row>
    <row r="207">
      <c r="A207" s="91"/>
      <c r="B207" s="91"/>
      <c r="C207" s="91"/>
      <c r="D207" s="91"/>
      <c r="E207" s="91"/>
      <c r="F207" s="92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</row>
    <row r="208">
      <c r="A208" s="91"/>
      <c r="B208" s="91"/>
      <c r="C208" s="91"/>
      <c r="D208" s="91"/>
      <c r="E208" s="91"/>
      <c r="F208" s="92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</row>
    <row r="209">
      <c r="A209" s="91"/>
      <c r="B209" s="91"/>
      <c r="C209" s="91"/>
      <c r="D209" s="91"/>
      <c r="E209" s="91"/>
      <c r="F209" s="92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</row>
    <row r="210">
      <c r="A210" s="91"/>
      <c r="B210" s="91"/>
      <c r="C210" s="91"/>
      <c r="D210" s="91"/>
      <c r="E210" s="91"/>
      <c r="F210" s="92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</row>
    <row r="211">
      <c r="A211" s="91"/>
      <c r="B211" s="91"/>
      <c r="C211" s="91"/>
      <c r="D211" s="91"/>
      <c r="E211" s="91"/>
      <c r="F211" s="92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</row>
    <row r="212">
      <c r="A212" s="91"/>
      <c r="B212" s="91"/>
      <c r="C212" s="91"/>
      <c r="D212" s="91"/>
      <c r="E212" s="91"/>
      <c r="F212" s="92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</row>
    <row r="213">
      <c r="A213" s="91"/>
      <c r="B213" s="91"/>
      <c r="C213" s="91"/>
      <c r="D213" s="91"/>
      <c r="E213" s="91"/>
      <c r="F213" s="92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</row>
    <row r="214">
      <c r="A214" s="91"/>
      <c r="B214" s="91"/>
      <c r="C214" s="91"/>
      <c r="D214" s="91"/>
      <c r="E214" s="91"/>
      <c r="F214" s="92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</row>
    <row r="215">
      <c r="A215" s="91"/>
      <c r="B215" s="91"/>
      <c r="C215" s="91"/>
      <c r="D215" s="91"/>
      <c r="E215" s="91"/>
      <c r="F215" s="92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</row>
    <row r="216">
      <c r="A216" s="91"/>
      <c r="B216" s="91"/>
      <c r="C216" s="91"/>
      <c r="D216" s="91"/>
      <c r="E216" s="91"/>
      <c r="F216" s="92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</row>
    <row r="217">
      <c r="A217" s="91"/>
      <c r="B217" s="91"/>
      <c r="C217" s="91"/>
      <c r="D217" s="91"/>
      <c r="E217" s="91"/>
      <c r="F217" s="92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</row>
    <row r="218">
      <c r="A218" s="91"/>
      <c r="B218" s="91"/>
      <c r="C218" s="91"/>
      <c r="D218" s="91"/>
      <c r="E218" s="91"/>
      <c r="F218" s="92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</row>
    <row r="219">
      <c r="A219" s="91"/>
      <c r="B219" s="91"/>
      <c r="C219" s="91"/>
      <c r="D219" s="91"/>
      <c r="E219" s="91"/>
      <c r="F219" s="92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</row>
    <row r="220">
      <c r="A220" s="91"/>
      <c r="B220" s="91"/>
      <c r="C220" s="91"/>
      <c r="D220" s="91"/>
      <c r="E220" s="91"/>
      <c r="F220" s="92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</row>
    <row r="221">
      <c r="A221" s="91"/>
      <c r="B221" s="91"/>
      <c r="C221" s="91"/>
      <c r="D221" s="91"/>
      <c r="E221" s="91"/>
      <c r="F221" s="92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</row>
    <row r="222">
      <c r="A222" s="91"/>
      <c r="B222" s="91"/>
      <c r="C222" s="91"/>
      <c r="D222" s="91"/>
      <c r="E222" s="91"/>
      <c r="F222" s="92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</row>
    <row r="223">
      <c r="A223" s="91"/>
      <c r="B223" s="91"/>
      <c r="C223" s="91"/>
      <c r="D223" s="91"/>
      <c r="E223" s="91"/>
      <c r="F223" s="92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</row>
    <row r="224">
      <c r="A224" s="91"/>
      <c r="B224" s="91"/>
      <c r="C224" s="91"/>
      <c r="D224" s="91"/>
      <c r="E224" s="91"/>
      <c r="F224" s="92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</row>
    <row r="225">
      <c r="A225" s="91"/>
      <c r="B225" s="91"/>
      <c r="C225" s="91"/>
      <c r="D225" s="91"/>
      <c r="E225" s="91"/>
      <c r="F225" s="92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</row>
    <row r="226">
      <c r="A226" s="91"/>
      <c r="B226" s="91"/>
      <c r="C226" s="91"/>
      <c r="D226" s="91"/>
      <c r="E226" s="91"/>
      <c r="F226" s="92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</row>
    <row r="227">
      <c r="A227" s="91"/>
      <c r="B227" s="91"/>
      <c r="C227" s="91"/>
      <c r="D227" s="91"/>
      <c r="E227" s="91"/>
      <c r="F227" s="92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</row>
    <row r="228">
      <c r="A228" s="91"/>
      <c r="B228" s="91"/>
      <c r="C228" s="91"/>
      <c r="D228" s="91"/>
      <c r="E228" s="91"/>
      <c r="F228" s="92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</row>
    <row r="229">
      <c r="A229" s="91"/>
      <c r="B229" s="91"/>
      <c r="C229" s="91"/>
      <c r="D229" s="91"/>
      <c r="E229" s="91"/>
      <c r="F229" s="92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</row>
    <row r="230">
      <c r="A230" s="91"/>
      <c r="B230" s="91"/>
      <c r="C230" s="91"/>
      <c r="D230" s="91"/>
      <c r="E230" s="91"/>
      <c r="F230" s="92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</row>
    <row r="231">
      <c r="A231" s="91"/>
      <c r="B231" s="91"/>
      <c r="C231" s="91"/>
      <c r="D231" s="91"/>
      <c r="E231" s="91"/>
      <c r="F231" s="92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</row>
    <row r="232">
      <c r="A232" s="91"/>
      <c r="B232" s="91"/>
      <c r="C232" s="91"/>
      <c r="D232" s="91"/>
      <c r="E232" s="91"/>
      <c r="F232" s="92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</row>
    <row r="233">
      <c r="A233" s="91"/>
      <c r="B233" s="91"/>
      <c r="C233" s="91"/>
      <c r="D233" s="91"/>
      <c r="E233" s="91"/>
      <c r="F233" s="92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</row>
    <row r="234">
      <c r="A234" s="91"/>
      <c r="B234" s="91"/>
      <c r="C234" s="91"/>
      <c r="D234" s="91"/>
      <c r="E234" s="91"/>
      <c r="F234" s="92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</row>
    <row r="235">
      <c r="A235" s="91"/>
      <c r="B235" s="91"/>
      <c r="C235" s="91"/>
      <c r="D235" s="91"/>
      <c r="E235" s="91"/>
      <c r="F235" s="92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</row>
    <row r="236">
      <c r="A236" s="91"/>
      <c r="B236" s="91"/>
      <c r="C236" s="91"/>
      <c r="D236" s="91"/>
      <c r="E236" s="91"/>
      <c r="F236" s="92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</row>
    <row r="237">
      <c r="A237" s="91"/>
      <c r="B237" s="91"/>
      <c r="C237" s="91"/>
      <c r="D237" s="91"/>
      <c r="E237" s="91"/>
      <c r="F237" s="92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</row>
    <row r="238">
      <c r="A238" s="91"/>
      <c r="B238" s="91"/>
      <c r="C238" s="91"/>
      <c r="D238" s="91"/>
      <c r="E238" s="91"/>
      <c r="F238" s="92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</row>
    <row r="239">
      <c r="A239" s="91"/>
      <c r="B239" s="91"/>
      <c r="C239" s="91"/>
      <c r="D239" s="91"/>
      <c r="E239" s="91"/>
      <c r="F239" s="92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</row>
    <row r="240">
      <c r="A240" s="91"/>
      <c r="B240" s="91"/>
      <c r="C240" s="91"/>
      <c r="D240" s="91"/>
      <c r="E240" s="91"/>
      <c r="F240" s="92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</row>
    <row r="241">
      <c r="A241" s="91"/>
      <c r="B241" s="91"/>
      <c r="C241" s="91"/>
      <c r="D241" s="91"/>
      <c r="E241" s="91"/>
      <c r="F241" s="92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</row>
    <row r="242">
      <c r="A242" s="91"/>
      <c r="B242" s="91"/>
      <c r="C242" s="91"/>
      <c r="D242" s="91"/>
      <c r="E242" s="91"/>
      <c r="F242" s="92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</row>
    <row r="243">
      <c r="A243" s="91"/>
      <c r="B243" s="91"/>
      <c r="C243" s="91"/>
      <c r="D243" s="91"/>
      <c r="E243" s="91"/>
      <c r="F243" s="92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</row>
    <row r="244">
      <c r="A244" s="91"/>
      <c r="B244" s="91"/>
      <c r="C244" s="91"/>
      <c r="D244" s="91"/>
      <c r="E244" s="91"/>
      <c r="F244" s="92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</row>
    <row r="245">
      <c r="A245" s="91"/>
      <c r="B245" s="91"/>
      <c r="C245" s="91"/>
      <c r="D245" s="91"/>
      <c r="E245" s="91"/>
      <c r="F245" s="92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</row>
    <row r="246">
      <c r="A246" s="91"/>
      <c r="B246" s="91"/>
      <c r="C246" s="91"/>
      <c r="D246" s="91"/>
      <c r="E246" s="91"/>
      <c r="F246" s="92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</row>
    <row r="247">
      <c r="A247" s="91"/>
      <c r="B247" s="91"/>
      <c r="C247" s="91"/>
      <c r="D247" s="91"/>
      <c r="E247" s="91"/>
      <c r="F247" s="92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</row>
    <row r="248">
      <c r="A248" s="91"/>
      <c r="B248" s="91"/>
      <c r="C248" s="91"/>
      <c r="D248" s="91"/>
      <c r="E248" s="91"/>
      <c r="F248" s="92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</row>
    <row r="249">
      <c r="A249" s="91"/>
      <c r="B249" s="91"/>
      <c r="C249" s="91"/>
      <c r="D249" s="91"/>
      <c r="E249" s="91"/>
      <c r="F249" s="92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</row>
    <row r="250">
      <c r="A250" s="91"/>
      <c r="B250" s="91"/>
      <c r="C250" s="91"/>
      <c r="D250" s="91"/>
      <c r="E250" s="91"/>
      <c r="F250" s="92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</row>
    <row r="251">
      <c r="A251" s="91"/>
      <c r="B251" s="91"/>
      <c r="C251" s="91"/>
      <c r="D251" s="91"/>
      <c r="E251" s="91"/>
      <c r="F251" s="92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</row>
    <row r="252">
      <c r="A252" s="91"/>
      <c r="B252" s="91"/>
      <c r="C252" s="91"/>
      <c r="D252" s="91"/>
      <c r="E252" s="91"/>
      <c r="F252" s="92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</row>
    <row r="253">
      <c r="A253" s="91"/>
      <c r="B253" s="91"/>
      <c r="C253" s="91"/>
      <c r="D253" s="91"/>
      <c r="E253" s="91"/>
      <c r="F253" s="92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</row>
    <row r="254">
      <c r="A254" s="91"/>
      <c r="B254" s="91"/>
      <c r="C254" s="91"/>
      <c r="D254" s="91"/>
      <c r="E254" s="91"/>
      <c r="F254" s="92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</row>
    <row r="255">
      <c r="A255" s="91"/>
      <c r="B255" s="91"/>
      <c r="C255" s="91"/>
      <c r="D255" s="91"/>
      <c r="E255" s="91"/>
      <c r="F255" s="92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</row>
    <row r="256">
      <c r="A256" s="91"/>
      <c r="B256" s="91"/>
      <c r="C256" s="91"/>
      <c r="D256" s="91"/>
      <c r="E256" s="91"/>
      <c r="F256" s="92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</row>
    <row r="257">
      <c r="A257" s="91"/>
      <c r="B257" s="91"/>
      <c r="C257" s="91"/>
      <c r="D257" s="91"/>
      <c r="E257" s="91"/>
      <c r="F257" s="92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</row>
    <row r="258">
      <c r="A258" s="91"/>
      <c r="B258" s="91"/>
      <c r="C258" s="91"/>
      <c r="D258" s="91"/>
      <c r="E258" s="91"/>
      <c r="F258" s="92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</row>
    <row r="259">
      <c r="A259" s="91"/>
      <c r="B259" s="91"/>
      <c r="C259" s="91"/>
      <c r="D259" s="91"/>
      <c r="E259" s="91"/>
      <c r="F259" s="92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</row>
    <row r="260">
      <c r="A260" s="91"/>
      <c r="B260" s="91"/>
      <c r="C260" s="91"/>
      <c r="D260" s="91"/>
      <c r="E260" s="91"/>
      <c r="F260" s="92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</row>
    <row r="261">
      <c r="A261" s="91"/>
      <c r="B261" s="91"/>
      <c r="C261" s="91"/>
      <c r="D261" s="91"/>
      <c r="E261" s="91"/>
      <c r="F261" s="92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</row>
    <row r="262">
      <c r="A262" s="91"/>
      <c r="B262" s="91"/>
      <c r="C262" s="91"/>
      <c r="D262" s="91"/>
      <c r="E262" s="91"/>
      <c r="F262" s="92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</row>
    <row r="263">
      <c r="A263" s="91"/>
      <c r="B263" s="91"/>
      <c r="C263" s="91"/>
      <c r="D263" s="91"/>
      <c r="E263" s="91"/>
      <c r="F263" s="92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</row>
    <row r="264">
      <c r="A264" s="91"/>
      <c r="B264" s="91"/>
      <c r="C264" s="91"/>
      <c r="D264" s="91"/>
      <c r="E264" s="91"/>
      <c r="F264" s="92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</row>
    <row r="265">
      <c r="A265" s="91"/>
      <c r="B265" s="91"/>
      <c r="C265" s="91"/>
      <c r="D265" s="91"/>
      <c r="E265" s="91"/>
      <c r="F265" s="92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</row>
    <row r="266">
      <c r="A266" s="91"/>
      <c r="B266" s="91"/>
      <c r="C266" s="91"/>
      <c r="D266" s="91"/>
      <c r="E266" s="91"/>
      <c r="F266" s="92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</row>
    <row r="267">
      <c r="A267" s="91"/>
      <c r="B267" s="91"/>
      <c r="C267" s="91"/>
      <c r="D267" s="91"/>
      <c r="E267" s="91"/>
      <c r="F267" s="92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</row>
    <row r="268">
      <c r="A268" s="91"/>
      <c r="B268" s="91"/>
      <c r="C268" s="91"/>
      <c r="D268" s="91"/>
      <c r="E268" s="91"/>
      <c r="F268" s="92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</row>
    <row r="269">
      <c r="A269" s="91"/>
      <c r="B269" s="91"/>
      <c r="C269" s="91"/>
      <c r="D269" s="91"/>
      <c r="E269" s="91"/>
      <c r="F269" s="92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</row>
    <row r="270">
      <c r="A270" s="91"/>
      <c r="B270" s="91"/>
      <c r="C270" s="91"/>
      <c r="D270" s="91"/>
      <c r="E270" s="91"/>
      <c r="F270" s="92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</row>
    <row r="271">
      <c r="A271" s="91"/>
      <c r="B271" s="91"/>
      <c r="C271" s="91"/>
      <c r="D271" s="91"/>
      <c r="E271" s="91"/>
      <c r="F271" s="92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</row>
    <row r="272">
      <c r="A272" s="91"/>
      <c r="B272" s="91"/>
      <c r="C272" s="91"/>
      <c r="D272" s="91"/>
      <c r="E272" s="91"/>
      <c r="F272" s="92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</row>
    <row r="273">
      <c r="A273" s="91"/>
      <c r="B273" s="91"/>
      <c r="C273" s="91"/>
      <c r="D273" s="91"/>
      <c r="E273" s="91"/>
      <c r="F273" s="92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</row>
    <row r="274">
      <c r="A274" s="91"/>
      <c r="B274" s="91"/>
      <c r="C274" s="91"/>
      <c r="D274" s="91"/>
      <c r="E274" s="91"/>
      <c r="F274" s="92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</row>
    <row r="275">
      <c r="A275" s="91"/>
      <c r="B275" s="91"/>
      <c r="C275" s="91"/>
      <c r="D275" s="91"/>
      <c r="E275" s="91"/>
      <c r="F275" s="92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</row>
    <row r="276">
      <c r="A276" s="91"/>
      <c r="B276" s="91"/>
      <c r="C276" s="91"/>
      <c r="D276" s="91"/>
      <c r="E276" s="91"/>
      <c r="F276" s="92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</row>
    <row r="277">
      <c r="A277" s="91"/>
      <c r="B277" s="91"/>
      <c r="C277" s="91"/>
      <c r="D277" s="91"/>
      <c r="E277" s="91"/>
      <c r="F277" s="92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</row>
    <row r="278">
      <c r="A278" s="91"/>
      <c r="B278" s="91"/>
      <c r="C278" s="91"/>
      <c r="D278" s="91"/>
      <c r="E278" s="91"/>
      <c r="F278" s="92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</row>
    <row r="279">
      <c r="A279" s="91"/>
      <c r="B279" s="91"/>
      <c r="C279" s="91"/>
      <c r="D279" s="91"/>
      <c r="E279" s="91"/>
      <c r="F279" s="92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</row>
    <row r="280">
      <c r="A280" s="91"/>
      <c r="B280" s="91"/>
      <c r="C280" s="91"/>
      <c r="D280" s="91"/>
      <c r="E280" s="91"/>
      <c r="F280" s="92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</row>
    <row r="281">
      <c r="A281" s="91"/>
      <c r="B281" s="91"/>
      <c r="C281" s="91"/>
      <c r="D281" s="91"/>
      <c r="E281" s="91"/>
      <c r="F281" s="92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</row>
    <row r="282">
      <c r="A282" s="91"/>
      <c r="B282" s="91"/>
      <c r="C282" s="91"/>
      <c r="D282" s="91"/>
      <c r="E282" s="91"/>
      <c r="F282" s="92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</row>
    <row r="283">
      <c r="A283" s="91"/>
      <c r="B283" s="91"/>
      <c r="C283" s="91"/>
      <c r="D283" s="91"/>
      <c r="E283" s="91"/>
      <c r="F283" s="92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</row>
    <row r="284">
      <c r="A284" s="91"/>
      <c r="B284" s="91"/>
      <c r="C284" s="91"/>
      <c r="D284" s="91"/>
      <c r="E284" s="91"/>
      <c r="F284" s="92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</row>
    <row r="285">
      <c r="A285" s="91"/>
      <c r="B285" s="91"/>
      <c r="C285" s="91"/>
      <c r="D285" s="91"/>
      <c r="E285" s="91"/>
      <c r="F285" s="92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</row>
    <row r="286">
      <c r="A286" s="91"/>
      <c r="B286" s="91"/>
      <c r="C286" s="91"/>
      <c r="D286" s="91"/>
      <c r="E286" s="91"/>
      <c r="F286" s="92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</row>
    <row r="287">
      <c r="A287" s="91"/>
      <c r="B287" s="91"/>
      <c r="C287" s="91"/>
      <c r="D287" s="91"/>
      <c r="E287" s="91"/>
      <c r="F287" s="92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</row>
    <row r="288">
      <c r="A288" s="91"/>
      <c r="B288" s="91"/>
      <c r="C288" s="91"/>
      <c r="D288" s="91"/>
      <c r="E288" s="91"/>
      <c r="F288" s="92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</row>
    <row r="289">
      <c r="A289" s="91"/>
      <c r="B289" s="91"/>
      <c r="C289" s="91"/>
      <c r="D289" s="91"/>
      <c r="E289" s="91"/>
      <c r="F289" s="92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</row>
    <row r="290">
      <c r="A290" s="91"/>
      <c r="B290" s="91"/>
      <c r="C290" s="91"/>
      <c r="D290" s="91"/>
      <c r="E290" s="91"/>
      <c r="F290" s="92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</row>
    <row r="291">
      <c r="A291" s="91"/>
      <c r="B291" s="91"/>
      <c r="C291" s="91"/>
      <c r="D291" s="91"/>
      <c r="E291" s="91"/>
      <c r="F291" s="92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</row>
    <row r="292">
      <c r="A292" s="91"/>
      <c r="B292" s="91"/>
      <c r="C292" s="91"/>
      <c r="D292" s="91"/>
      <c r="E292" s="91"/>
      <c r="F292" s="92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</row>
    <row r="293">
      <c r="A293" s="91"/>
      <c r="B293" s="91"/>
      <c r="C293" s="91"/>
      <c r="D293" s="91"/>
      <c r="E293" s="91"/>
      <c r="F293" s="92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</row>
    <row r="294">
      <c r="A294" s="91"/>
      <c r="B294" s="91"/>
      <c r="C294" s="91"/>
      <c r="D294" s="91"/>
      <c r="E294" s="91"/>
      <c r="F294" s="92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</row>
    <row r="295">
      <c r="A295" s="91"/>
      <c r="B295" s="91"/>
      <c r="C295" s="91"/>
      <c r="D295" s="91"/>
      <c r="E295" s="91"/>
      <c r="F295" s="92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</row>
    <row r="296">
      <c r="A296" s="91"/>
      <c r="B296" s="91"/>
      <c r="C296" s="91"/>
      <c r="D296" s="91"/>
      <c r="E296" s="91"/>
      <c r="F296" s="92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</row>
    <row r="297">
      <c r="A297" s="91"/>
      <c r="B297" s="91"/>
      <c r="C297" s="91"/>
      <c r="D297" s="91"/>
      <c r="E297" s="91"/>
      <c r="F297" s="92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</row>
    <row r="298">
      <c r="A298" s="91"/>
      <c r="B298" s="91"/>
      <c r="C298" s="91"/>
      <c r="D298" s="91"/>
      <c r="E298" s="91"/>
      <c r="F298" s="92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</row>
    <row r="299">
      <c r="A299" s="91"/>
      <c r="B299" s="91"/>
      <c r="C299" s="91"/>
      <c r="D299" s="91"/>
      <c r="E299" s="91"/>
      <c r="F299" s="92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</row>
    <row r="300">
      <c r="A300" s="91"/>
      <c r="B300" s="91"/>
      <c r="C300" s="91"/>
      <c r="D300" s="91"/>
      <c r="E300" s="91"/>
      <c r="F300" s="92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</row>
    <row r="301">
      <c r="A301" s="91"/>
      <c r="B301" s="91"/>
      <c r="C301" s="91"/>
      <c r="D301" s="91"/>
      <c r="E301" s="91"/>
      <c r="F301" s="92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</row>
    <row r="302">
      <c r="A302" s="91"/>
      <c r="B302" s="91"/>
      <c r="C302" s="91"/>
      <c r="D302" s="91"/>
      <c r="E302" s="91"/>
      <c r="F302" s="92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</row>
    <row r="303">
      <c r="A303" s="91"/>
      <c r="B303" s="91"/>
      <c r="C303" s="91"/>
      <c r="D303" s="91"/>
      <c r="E303" s="91"/>
      <c r="F303" s="92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</row>
    <row r="304">
      <c r="A304" s="91"/>
      <c r="B304" s="91"/>
      <c r="C304" s="91"/>
      <c r="D304" s="91"/>
      <c r="E304" s="91"/>
      <c r="F304" s="92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</row>
    <row r="305">
      <c r="A305" s="91"/>
      <c r="B305" s="91"/>
      <c r="C305" s="91"/>
      <c r="D305" s="91"/>
      <c r="E305" s="91"/>
      <c r="F305" s="92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</row>
    <row r="306">
      <c r="A306" s="91"/>
      <c r="B306" s="91"/>
      <c r="C306" s="91"/>
      <c r="D306" s="91"/>
      <c r="E306" s="91"/>
      <c r="F306" s="92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</row>
    <row r="307">
      <c r="A307" s="91"/>
      <c r="B307" s="91"/>
      <c r="C307" s="91"/>
      <c r="D307" s="91"/>
      <c r="E307" s="91"/>
      <c r="F307" s="92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</row>
    <row r="308">
      <c r="A308" s="91"/>
      <c r="B308" s="91"/>
      <c r="C308" s="91"/>
      <c r="D308" s="91"/>
      <c r="E308" s="91"/>
      <c r="F308" s="92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</row>
    <row r="309">
      <c r="A309" s="91"/>
      <c r="B309" s="91"/>
      <c r="C309" s="91"/>
      <c r="D309" s="91"/>
      <c r="E309" s="91"/>
      <c r="F309" s="92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</row>
    <row r="310">
      <c r="A310" s="91"/>
      <c r="B310" s="91"/>
      <c r="C310" s="91"/>
      <c r="D310" s="91"/>
      <c r="E310" s="91"/>
      <c r="F310" s="92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</row>
    <row r="311">
      <c r="A311" s="91"/>
      <c r="B311" s="91"/>
      <c r="C311" s="91"/>
      <c r="D311" s="91"/>
      <c r="E311" s="91"/>
      <c r="F311" s="92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</row>
    <row r="312">
      <c r="A312" s="91"/>
      <c r="B312" s="91"/>
      <c r="C312" s="91"/>
      <c r="D312" s="91"/>
      <c r="E312" s="91"/>
      <c r="F312" s="92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</row>
    <row r="313">
      <c r="A313" s="91"/>
      <c r="B313" s="91"/>
      <c r="C313" s="91"/>
      <c r="D313" s="91"/>
      <c r="E313" s="91"/>
      <c r="F313" s="92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</row>
    <row r="314">
      <c r="A314" s="91"/>
      <c r="B314" s="91"/>
      <c r="C314" s="91"/>
      <c r="D314" s="91"/>
      <c r="E314" s="91"/>
      <c r="F314" s="92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</row>
    <row r="315">
      <c r="A315" s="91"/>
      <c r="B315" s="91"/>
      <c r="C315" s="91"/>
      <c r="D315" s="91"/>
      <c r="E315" s="91"/>
      <c r="F315" s="92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</row>
    <row r="316">
      <c r="A316" s="91"/>
      <c r="B316" s="91"/>
      <c r="C316" s="91"/>
      <c r="D316" s="91"/>
      <c r="E316" s="91"/>
      <c r="F316" s="92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</row>
    <row r="317">
      <c r="A317" s="91"/>
      <c r="B317" s="91"/>
      <c r="C317" s="91"/>
      <c r="D317" s="91"/>
      <c r="E317" s="91"/>
      <c r="F317" s="92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</row>
    <row r="318">
      <c r="A318" s="91"/>
      <c r="B318" s="91"/>
      <c r="C318" s="91"/>
      <c r="D318" s="91"/>
      <c r="E318" s="91"/>
      <c r="F318" s="92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</row>
    <row r="319">
      <c r="A319" s="91"/>
      <c r="B319" s="91"/>
      <c r="C319" s="91"/>
      <c r="D319" s="91"/>
      <c r="E319" s="91"/>
      <c r="F319" s="92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</row>
    <row r="320">
      <c r="A320" s="91"/>
      <c r="B320" s="91"/>
      <c r="C320" s="91"/>
      <c r="D320" s="91"/>
      <c r="E320" s="91"/>
      <c r="F320" s="92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</row>
    <row r="321">
      <c r="A321" s="91"/>
      <c r="B321" s="91"/>
      <c r="C321" s="91"/>
      <c r="D321" s="91"/>
      <c r="E321" s="91"/>
      <c r="F321" s="92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</row>
    <row r="322">
      <c r="A322" s="91"/>
      <c r="B322" s="91"/>
      <c r="C322" s="91"/>
      <c r="D322" s="91"/>
      <c r="E322" s="91"/>
      <c r="F322" s="92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</row>
    <row r="323">
      <c r="A323" s="91"/>
      <c r="B323" s="91"/>
      <c r="C323" s="91"/>
      <c r="D323" s="91"/>
      <c r="E323" s="91"/>
      <c r="F323" s="92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</row>
    <row r="324">
      <c r="A324" s="91"/>
      <c r="B324" s="91"/>
      <c r="C324" s="91"/>
      <c r="D324" s="91"/>
      <c r="E324" s="91"/>
      <c r="F324" s="92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</row>
    <row r="325">
      <c r="A325" s="91"/>
      <c r="B325" s="91"/>
      <c r="C325" s="91"/>
      <c r="D325" s="91"/>
      <c r="E325" s="91"/>
      <c r="F325" s="92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</row>
    <row r="326">
      <c r="A326" s="91"/>
      <c r="B326" s="91"/>
      <c r="C326" s="91"/>
      <c r="D326" s="91"/>
      <c r="E326" s="91"/>
      <c r="F326" s="92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</row>
    <row r="327">
      <c r="A327" s="91"/>
      <c r="B327" s="91"/>
      <c r="C327" s="91"/>
      <c r="D327" s="91"/>
      <c r="E327" s="91"/>
      <c r="F327" s="92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</row>
    <row r="328">
      <c r="A328" s="91"/>
      <c r="B328" s="91"/>
      <c r="C328" s="91"/>
      <c r="D328" s="91"/>
      <c r="E328" s="91"/>
      <c r="F328" s="92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</row>
    <row r="329">
      <c r="A329" s="91"/>
      <c r="B329" s="91"/>
      <c r="C329" s="91"/>
      <c r="D329" s="91"/>
      <c r="E329" s="91"/>
      <c r="F329" s="92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</row>
    <row r="330">
      <c r="A330" s="91"/>
      <c r="B330" s="91"/>
      <c r="C330" s="91"/>
      <c r="D330" s="91"/>
      <c r="E330" s="91"/>
      <c r="F330" s="92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</row>
    <row r="331">
      <c r="A331" s="91"/>
      <c r="B331" s="91"/>
      <c r="C331" s="91"/>
      <c r="D331" s="91"/>
      <c r="E331" s="91"/>
      <c r="F331" s="92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</row>
    <row r="332">
      <c r="A332" s="91"/>
      <c r="B332" s="91"/>
      <c r="C332" s="91"/>
      <c r="D332" s="91"/>
      <c r="E332" s="91"/>
      <c r="F332" s="92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</row>
    <row r="333">
      <c r="A333" s="91"/>
      <c r="B333" s="91"/>
      <c r="C333" s="91"/>
      <c r="D333" s="91"/>
      <c r="E333" s="91"/>
      <c r="F333" s="92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</row>
    <row r="334">
      <c r="A334" s="91"/>
      <c r="B334" s="91"/>
      <c r="C334" s="91"/>
      <c r="D334" s="91"/>
      <c r="E334" s="91"/>
      <c r="F334" s="92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</row>
    <row r="335">
      <c r="A335" s="91"/>
      <c r="B335" s="91"/>
      <c r="C335" s="91"/>
      <c r="D335" s="91"/>
      <c r="E335" s="91"/>
      <c r="F335" s="92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</row>
    <row r="336">
      <c r="A336" s="91"/>
      <c r="B336" s="91"/>
      <c r="C336" s="91"/>
      <c r="D336" s="91"/>
      <c r="E336" s="91"/>
      <c r="F336" s="92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</row>
    <row r="337">
      <c r="A337" s="91"/>
      <c r="B337" s="91"/>
      <c r="C337" s="91"/>
      <c r="D337" s="91"/>
      <c r="E337" s="91"/>
      <c r="F337" s="92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</row>
    <row r="338">
      <c r="A338" s="91"/>
      <c r="B338" s="91"/>
      <c r="C338" s="91"/>
      <c r="D338" s="91"/>
      <c r="E338" s="91"/>
      <c r="F338" s="92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</row>
    <row r="339">
      <c r="A339" s="91"/>
      <c r="B339" s="91"/>
      <c r="C339" s="91"/>
      <c r="D339" s="91"/>
      <c r="E339" s="91"/>
      <c r="F339" s="92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</row>
    <row r="340">
      <c r="A340" s="91"/>
      <c r="B340" s="91"/>
      <c r="C340" s="91"/>
      <c r="D340" s="91"/>
      <c r="E340" s="91"/>
      <c r="F340" s="92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</row>
    <row r="341">
      <c r="A341" s="91"/>
      <c r="B341" s="91"/>
      <c r="C341" s="91"/>
      <c r="D341" s="91"/>
      <c r="E341" s="91"/>
      <c r="F341" s="92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</row>
    <row r="342">
      <c r="A342" s="91"/>
      <c r="B342" s="91"/>
      <c r="C342" s="91"/>
      <c r="D342" s="91"/>
      <c r="E342" s="91"/>
      <c r="F342" s="92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</row>
    <row r="343">
      <c r="A343" s="91"/>
      <c r="B343" s="91"/>
      <c r="C343" s="91"/>
      <c r="D343" s="91"/>
      <c r="E343" s="91"/>
      <c r="F343" s="92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</row>
    <row r="344">
      <c r="A344" s="91"/>
      <c r="B344" s="91"/>
      <c r="C344" s="91"/>
      <c r="D344" s="91"/>
      <c r="E344" s="91"/>
      <c r="F344" s="92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</row>
    <row r="345">
      <c r="A345" s="91"/>
      <c r="B345" s="91"/>
      <c r="C345" s="91"/>
      <c r="D345" s="91"/>
      <c r="E345" s="91"/>
      <c r="F345" s="92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</row>
    <row r="346">
      <c r="A346" s="91"/>
      <c r="B346" s="91"/>
      <c r="C346" s="91"/>
      <c r="D346" s="91"/>
      <c r="E346" s="91"/>
      <c r="F346" s="92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</row>
    <row r="347">
      <c r="A347" s="91"/>
      <c r="B347" s="91"/>
      <c r="C347" s="91"/>
      <c r="D347" s="91"/>
      <c r="E347" s="91"/>
      <c r="F347" s="92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</row>
    <row r="348">
      <c r="A348" s="91"/>
      <c r="B348" s="91"/>
      <c r="C348" s="91"/>
      <c r="D348" s="91"/>
      <c r="E348" s="91"/>
      <c r="F348" s="92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</row>
    <row r="349">
      <c r="A349" s="91"/>
      <c r="B349" s="91"/>
      <c r="C349" s="91"/>
      <c r="D349" s="91"/>
      <c r="E349" s="91"/>
      <c r="F349" s="92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</row>
    <row r="350">
      <c r="A350" s="91"/>
      <c r="B350" s="91"/>
      <c r="C350" s="91"/>
      <c r="D350" s="91"/>
      <c r="E350" s="91"/>
      <c r="F350" s="92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</row>
    <row r="351">
      <c r="A351" s="91"/>
      <c r="B351" s="91"/>
      <c r="C351" s="91"/>
      <c r="D351" s="91"/>
      <c r="E351" s="91"/>
      <c r="F351" s="92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</row>
    <row r="352">
      <c r="A352" s="91"/>
      <c r="B352" s="91"/>
      <c r="C352" s="91"/>
      <c r="D352" s="91"/>
      <c r="E352" s="91"/>
      <c r="F352" s="92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</row>
    <row r="353">
      <c r="A353" s="91"/>
      <c r="B353" s="91"/>
      <c r="C353" s="91"/>
      <c r="D353" s="91"/>
      <c r="E353" s="91"/>
      <c r="F353" s="92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</row>
    <row r="354">
      <c r="A354" s="91"/>
      <c r="B354" s="91"/>
      <c r="C354" s="91"/>
      <c r="D354" s="91"/>
      <c r="E354" s="91"/>
      <c r="F354" s="92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</row>
    <row r="355">
      <c r="A355" s="91"/>
      <c r="B355" s="91"/>
      <c r="C355" s="91"/>
      <c r="D355" s="91"/>
      <c r="E355" s="91"/>
      <c r="F355" s="92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</row>
    <row r="356">
      <c r="A356" s="91"/>
      <c r="B356" s="91"/>
      <c r="C356" s="91"/>
      <c r="D356" s="91"/>
      <c r="E356" s="91"/>
      <c r="F356" s="92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</row>
    <row r="357">
      <c r="A357" s="91"/>
      <c r="B357" s="91"/>
      <c r="C357" s="91"/>
      <c r="D357" s="91"/>
      <c r="E357" s="91"/>
      <c r="F357" s="92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</row>
    <row r="358">
      <c r="A358" s="91"/>
      <c r="B358" s="91"/>
      <c r="C358" s="91"/>
      <c r="D358" s="91"/>
      <c r="E358" s="91"/>
      <c r="F358" s="92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</row>
    <row r="359">
      <c r="A359" s="91"/>
      <c r="B359" s="91"/>
      <c r="C359" s="91"/>
      <c r="D359" s="91"/>
      <c r="E359" s="91"/>
      <c r="F359" s="92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</row>
    <row r="360">
      <c r="A360" s="91"/>
      <c r="B360" s="91"/>
      <c r="C360" s="91"/>
      <c r="D360" s="91"/>
      <c r="E360" s="91"/>
      <c r="F360" s="92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</row>
    <row r="361">
      <c r="A361" s="91"/>
      <c r="B361" s="91"/>
      <c r="C361" s="91"/>
      <c r="D361" s="91"/>
      <c r="E361" s="91"/>
      <c r="F361" s="92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</row>
    <row r="362">
      <c r="A362" s="91"/>
      <c r="B362" s="91"/>
      <c r="C362" s="91"/>
      <c r="D362" s="91"/>
      <c r="E362" s="91"/>
      <c r="F362" s="92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</row>
    <row r="363">
      <c r="A363" s="91"/>
      <c r="B363" s="91"/>
      <c r="C363" s="91"/>
      <c r="D363" s="91"/>
      <c r="E363" s="91"/>
      <c r="F363" s="92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</row>
    <row r="364">
      <c r="A364" s="91"/>
      <c r="B364" s="91"/>
      <c r="C364" s="91"/>
      <c r="D364" s="91"/>
      <c r="E364" s="91"/>
      <c r="F364" s="92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</row>
    <row r="365">
      <c r="A365" s="91"/>
      <c r="B365" s="91"/>
      <c r="C365" s="91"/>
      <c r="D365" s="91"/>
      <c r="E365" s="91"/>
      <c r="F365" s="92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</row>
    <row r="366">
      <c r="A366" s="91"/>
      <c r="B366" s="91"/>
      <c r="C366" s="91"/>
      <c r="D366" s="91"/>
      <c r="E366" s="91"/>
      <c r="F366" s="92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</row>
    <row r="367">
      <c r="A367" s="91"/>
      <c r="B367" s="91"/>
      <c r="C367" s="91"/>
      <c r="D367" s="91"/>
      <c r="E367" s="91"/>
      <c r="F367" s="92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</row>
    <row r="368">
      <c r="A368" s="91"/>
      <c r="B368" s="91"/>
      <c r="C368" s="91"/>
      <c r="D368" s="91"/>
      <c r="E368" s="91"/>
      <c r="F368" s="92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</row>
    <row r="369">
      <c r="A369" s="91"/>
      <c r="B369" s="91"/>
      <c r="C369" s="91"/>
      <c r="D369" s="91"/>
      <c r="E369" s="91"/>
      <c r="F369" s="92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</row>
    <row r="370">
      <c r="A370" s="91"/>
      <c r="B370" s="91"/>
      <c r="C370" s="91"/>
      <c r="D370" s="91"/>
      <c r="E370" s="91"/>
      <c r="F370" s="92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</row>
    <row r="371">
      <c r="A371" s="91"/>
      <c r="B371" s="91"/>
      <c r="C371" s="91"/>
      <c r="D371" s="91"/>
      <c r="E371" s="91"/>
      <c r="F371" s="92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</row>
    <row r="372">
      <c r="A372" s="91"/>
      <c r="B372" s="91"/>
      <c r="C372" s="91"/>
      <c r="D372" s="91"/>
      <c r="E372" s="91"/>
      <c r="F372" s="92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</row>
    <row r="373">
      <c r="A373" s="91"/>
      <c r="B373" s="91"/>
      <c r="C373" s="91"/>
      <c r="D373" s="91"/>
      <c r="E373" s="91"/>
      <c r="F373" s="92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</row>
    <row r="374">
      <c r="A374" s="91"/>
      <c r="B374" s="91"/>
      <c r="C374" s="91"/>
      <c r="D374" s="91"/>
      <c r="E374" s="91"/>
      <c r="F374" s="92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</row>
    <row r="375">
      <c r="A375" s="91"/>
      <c r="B375" s="91"/>
      <c r="C375" s="91"/>
      <c r="D375" s="91"/>
      <c r="E375" s="91"/>
      <c r="F375" s="92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</row>
    <row r="376">
      <c r="A376" s="91"/>
      <c r="B376" s="91"/>
      <c r="C376" s="91"/>
      <c r="D376" s="91"/>
      <c r="E376" s="91"/>
      <c r="F376" s="92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</row>
    <row r="377">
      <c r="A377" s="91"/>
      <c r="B377" s="91"/>
      <c r="C377" s="91"/>
      <c r="D377" s="91"/>
      <c r="E377" s="91"/>
      <c r="F377" s="92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</row>
    <row r="378">
      <c r="A378" s="91"/>
      <c r="B378" s="91"/>
      <c r="C378" s="91"/>
      <c r="D378" s="91"/>
      <c r="E378" s="91"/>
      <c r="F378" s="92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</row>
    <row r="379">
      <c r="A379" s="91"/>
      <c r="B379" s="91"/>
      <c r="C379" s="91"/>
      <c r="D379" s="91"/>
      <c r="E379" s="91"/>
      <c r="F379" s="92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</row>
    <row r="380">
      <c r="A380" s="91"/>
      <c r="B380" s="91"/>
      <c r="C380" s="91"/>
      <c r="D380" s="91"/>
      <c r="E380" s="91"/>
      <c r="F380" s="92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</row>
    <row r="381">
      <c r="A381" s="91"/>
      <c r="B381" s="91"/>
      <c r="C381" s="91"/>
      <c r="D381" s="91"/>
      <c r="E381" s="91"/>
      <c r="F381" s="92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</row>
    <row r="382">
      <c r="A382" s="91"/>
      <c r="B382" s="91"/>
      <c r="C382" s="91"/>
      <c r="D382" s="91"/>
      <c r="E382" s="91"/>
      <c r="F382" s="92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</row>
    <row r="383">
      <c r="A383" s="91"/>
      <c r="B383" s="91"/>
      <c r="C383" s="91"/>
      <c r="D383" s="91"/>
      <c r="E383" s="91"/>
      <c r="F383" s="92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</row>
    <row r="384">
      <c r="A384" s="91"/>
      <c r="B384" s="91"/>
      <c r="C384" s="91"/>
      <c r="D384" s="91"/>
      <c r="E384" s="91"/>
      <c r="F384" s="92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</row>
    <row r="385">
      <c r="A385" s="91"/>
      <c r="B385" s="91"/>
      <c r="C385" s="91"/>
      <c r="D385" s="91"/>
      <c r="E385" s="91"/>
      <c r="F385" s="92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</row>
    <row r="386">
      <c r="A386" s="91"/>
      <c r="B386" s="91"/>
      <c r="C386" s="91"/>
      <c r="D386" s="91"/>
      <c r="E386" s="91"/>
      <c r="F386" s="92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</row>
    <row r="387">
      <c r="A387" s="91"/>
      <c r="B387" s="91"/>
      <c r="C387" s="91"/>
      <c r="D387" s="91"/>
      <c r="E387" s="91"/>
      <c r="F387" s="92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</row>
    <row r="388">
      <c r="A388" s="91"/>
      <c r="B388" s="91"/>
      <c r="C388" s="91"/>
      <c r="D388" s="91"/>
      <c r="E388" s="91"/>
      <c r="F388" s="92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</row>
    <row r="389">
      <c r="A389" s="91"/>
      <c r="B389" s="91"/>
      <c r="C389" s="91"/>
      <c r="D389" s="91"/>
      <c r="E389" s="91"/>
      <c r="F389" s="92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</row>
    <row r="390">
      <c r="A390" s="91"/>
      <c r="B390" s="91"/>
      <c r="C390" s="91"/>
      <c r="D390" s="91"/>
      <c r="E390" s="91"/>
      <c r="F390" s="92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</row>
    <row r="391">
      <c r="A391" s="91"/>
      <c r="B391" s="91"/>
      <c r="C391" s="91"/>
      <c r="D391" s="91"/>
      <c r="E391" s="91"/>
      <c r="F391" s="92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</row>
    <row r="392">
      <c r="A392" s="91"/>
      <c r="B392" s="91"/>
      <c r="C392" s="91"/>
      <c r="D392" s="91"/>
      <c r="E392" s="91"/>
      <c r="F392" s="92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</row>
    <row r="393">
      <c r="A393" s="91"/>
      <c r="B393" s="91"/>
      <c r="C393" s="91"/>
      <c r="D393" s="91"/>
      <c r="E393" s="91"/>
      <c r="F393" s="92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</row>
    <row r="394">
      <c r="A394" s="91"/>
      <c r="B394" s="91"/>
      <c r="C394" s="91"/>
      <c r="D394" s="91"/>
      <c r="E394" s="91"/>
      <c r="F394" s="92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</row>
    <row r="395">
      <c r="A395" s="91"/>
      <c r="B395" s="91"/>
      <c r="C395" s="91"/>
      <c r="D395" s="91"/>
      <c r="E395" s="91"/>
      <c r="F395" s="92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</row>
    <row r="396">
      <c r="A396" s="91"/>
      <c r="B396" s="91"/>
      <c r="C396" s="91"/>
      <c r="D396" s="91"/>
      <c r="E396" s="91"/>
      <c r="F396" s="92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</row>
    <row r="397">
      <c r="A397" s="91"/>
      <c r="B397" s="91"/>
      <c r="C397" s="91"/>
      <c r="D397" s="91"/>
      <c r="E397" s="91"/>
      <c r="F397" s="92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</row>
    <row r="398">
      <c r="A398" s="91"/>
      <c r="B398" s="91"/>
      <c r="C398" s="91"/>
      <c r="D398" s="91"/>
      <c r="E398" s="91"/>
      <c r="F398" s="92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</row>
    <row r="399">
      <c r="A399" s="91"/>
      <c r="B399" s="91"/>
      <c r="C399" s="91"/>
      <c r="D399" s="91"/>
      <c r="E399" s="91"/>
      <c r="F399" s="92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</row>
    <row r="400">
      <c r="A400" s="91"/>
      <c r="B400" s="91"/>
      <c r="C400" s="91"/>
      <c r="D400" s="91"/>
      <c r="E400" s="91"/>
      <c r="F400" s="92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</row>
    <row r="401">
      <c r="A401" s="91"/>
      <c r="B401" s="91"/>
      <c r="C401" s="91"/>
      <c r="D401" s="91"/>
      <c r="E401" s="91"/>
      <c r="F401" s="92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</row>
    <row r="402">
      <c r="A402" s="91"/>
      <c r="B402" s="91"/>
      <c r="C402" s="91"/>
      <c r="D402" s="91"/>
      <c r="E402" s="91"/>
      <c r="F402" s="92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</row>
    <row r="403">
      <c r="A403" s="91"/>
      <c r="B403" s="91"/>
      <c r="C403" s="91"/>
      <c r="D403" s="91"/>
      <c r="E403" s="91"/>
      <c r="F403" s="92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</row>
    <row r="404">
      <c r="A404" s="91"/>
      <c r="B404" s="91"/>
      <c r="C404" s="91"/>
      <c r="D404" s="91"/>
      <c r="E404" s="91"/>
      <c r="F404" s="92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</row>
    <row r="405">
      <c r="A405" s="91"/>
      <c r="B405" s="91"/>
      <c r="C405" s="91"/>
      <c r="D405" s="91"/>
      <c r="E405" s="91"/>
      <c r="F405" s="92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</row>
    <row r="406">
      <c r="A406" s="91"/>
      <c r="B406" s="91"/>
      <c r="C406" s="91"/>
      <c r="D406" s="91"/>
      <c r="E406" s="91"/>
      <c r="F406" s="92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</row>
    <row r="407">
      <c r="A407" s="91"/>
      <c r="B407" s="91"/>
      <c r="C407" s="91"/>
      <c r="D407" s="91"/>
      <c r="E407" s="91"/>
      <c r="F407" s="92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</row>
    <row r="408">
      <c r="A408" s="91"/>
      <c r="B408" s="91"/>
      <c r="C408" s="91"/>
      <c r="D408" s="91"/>
      <c r="E408" s="91"/>
      <c r="F408" s="92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</row>
    <row r="409">
      <c r="A409" s="91"/>
      <c r="B409" s="91"/>
      <c r="C409" s="91"/>
      <c r="D409" s="91"/>
      <c r="E409" s="91"/>
      <c r="F409" s="92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</row>
    <row r="410">
      <c r="A410" s="91"/>
      <c r="B410" s="91"/>
      <c r="C410" s="91"/>
      <c r="D410" s="91"/>
      <c r="E410" s="91"/>
      <c r="F410" s="92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</row>
    <row r="411">
      <c r="A411" s="91"/>
      <c r="B411" s="91"/>
      <c r="C411" s="91"/>
      <c r="D411" s="91"/>
      <c r="E411" s="91"/>
      <c r="F411" s="92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</row>
    <row r="412">
      <c r="A412" s="91"/>
      <c r="B412" s="91"/>
      <c r="C412" s="91"/>
      <c r="D412" s="91"/>
      <c r="E412" s="91"/>
      <c r="F412" s="92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</row>
    <row r="413">
      <c r="A413" s="91"/>
      <c r="B413" s="91"/>
      <c r="C413" s="91"/>
      <c r="D413" s="91"/>
      <c r="E413" s="91"/>
      <c r="F413" s="92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</row>
    <row r="414">
      <c r="A414" s="91"/>
      <c r="B414" s="91"/>
      <c r="C414" s="91"/>
      <c r="D414" s="91"/>
      <c r="E414" s="91"/>
      <c r="F414" s="92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</row>
    <row r="415">
      <c r="A415" s="91"/>
      <c r="B415" s="91"/>
      <c r="C415" s="91"/>
      <c r="D415" s="91"/>
      <c r="E415" s="91"/>
      <c r="F415" s="92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</row>
    <row r="416">
      <c r="A416" s="91"/>
      <c r="B416" s="91"/>
      <c r="C416" s="91"/>
      <c r="D416" s="91"/>
      <c r="E416" s="91"/>
      <c r="F416" s="92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</row>
    <row r="417">
      <c r="A417" s="91"/>
      <c r="B417" s="91"/>
      <c r="C417" s="91"/>
      <c r="D417" s="91"/>
      <c r="E417" s="91"/>
      <c r="F417" s="92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</row>
    <row r="418">
      <c r="A418" s="91"/>
      <c r="B418" s="91"/>
      <c r="C418" s="91"/>
      <c r="D418" s="91"/>
      <c r="E418" s="91"/>
      <c r="F418" s="92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</row>
    <row r="419">
      <c r="A419" s="91"/>
      <c r="B419" s="91"/>
      <c r="C419" s="91"/>
      <c r="D419" s="91"/>
      <c r="E419" s="91"/>
      <c r="F419" s="92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</row>
    <row r="420">
      <c r="A420" s="91"/>
      <c r="B420" s="91"/>
      <c r="C420" s="91"/>
      <c r="D420" s="91"/>
      <c r="E420" s="91"/>
      <c r="F420" s="92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</row>
    <row r="421">
      <c r="A421" s="91"/>
      <c r="B421" s="91"/>
      <c r="C421" s="91"/>
      <c r="D421" s="91"/>
      <c r="E421" s="91"/>
      <c r="F421" s="92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</row>
    <row r="422">
      <c r="A422" s="91"/>
      <c r="B422" s="91"/>
      <c r="C422" s="91"/>
      <c r="D422" s="91"/>
      <c r="E422" s="91"/>
      <c r="F422" s="92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</row>
    <row r="423">
      <c r="A423" s="91"/>
      <c r="B423" s="91"/>
      <c r="C423" s="91"/>
      <c r="D423" s="91"/>
      <c r="E423" s="91"/>
      <c r="F423" s="92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</row>
    <row r="424">
      <c r="A424" s="91"/>
      <c r="B424" s="91"/>
      <c r="C424" s="91"/>
      <c r="D424" s="91"/>
      <c r="E424" s="91"/>
      <c r="F424" s="92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</row>
    <row r="425">
      <c r="A425" s="91"/>
      <c r="B425" s="91"/>
      <c r="C425" s="91"/>
      <c r="D425" s="91"/>
      <c r="E425" s="91"/>
      <c r="F425" s="92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</row>
    <row r="426">
      <c r="A426" s="91"/>
      <c r="B426" s="91"/>
      <c r="C426" s="91"/>
      <c r="D426" s="91"/>
      <c r="E426" s="91"/>
      <c r="F426" s="92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</row>
    <row r="427">
      <c r="A427" s="91"/>
      <c r="B427" s="91"/>
      <c r="C427" s="91"/>
      <c r="D427" s="91"/>
      <c r="E427" s="91"/>
      <c r="F427" s="92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</row>
    <row r="428">
      <c r="A428" s="91"/>
      <c r="B428" s="91"/>
      <c r="C428" s="91"/>
      <c r="D428" s="91"/>
      <c r="E428" s="91"/>
      <c r="F428" s="92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</row>
    <row r="429">
      <c r="A429" s="91"/>
      <c r="B429" s="91"/>
      <c r="C429" s="91"/>
      <c r="D429" s="91"/>
      <c r="E429" s="91"/>
      <c r="F429" s="92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</row>
    <row r="430">
      <c r="A430" s="91"/>
      <c r="B430" s="91"/>
      <c r="C430" s="91"/>
      <c r="D430" s="91"/>
      <c r="E430" s="91"/>
      <c r="F430" s="92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</row>
    <row r="431">
      <c r="A431" s="91"/>
      <c r="B431" s="91"/>
      <c r="C431" s="91"/>
      <c r="D431" s="91"/>
      <c r="E431" s="91"/>
      <c r="F431" s="92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</row>
    <row r="432">
      <c r="A432" s="91"/>
      <c r="B432" s="91"/>
      <c r="C432" s="91"/>
      <c r="D432" s="91"/>
      <c r="E432" s="91"/>
      <c r="F432" s="92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</row>
    <row r="433">
      <c r="A433" s="91"/>
      <c r="B433" s="91"/>
      <c r="C433" s="91"/>
      <c r="D433" s="91"/>
      <c r="E433" s="91"/>
      <c r="F433" s="92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</row>
    <row r="434">
      <c r="A434" s="91"/>
      <c r="B434" s="91"/>
      <c r="C434" s="91"/>
      <c r="D434" s="91"/>
      <c r="E434" s="91"/>
      <c r="F434" s="92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</row>
    <row r="435">
      <c r="A435" s="91"/>
      <c r="B435" s="91"/>
      <c r="C435" s="91"/>
      <c r="D435" s="91"/>
      <c r="E435" s="91"/>
      <c r="F435" s="92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</row>
    <row r="436">
      <c r="A436" s="91"/>
      <c r="B436" s="91"/>
      <c r="C436" s="91"/>
      <c r="D436" s="91"/>
      <c r="E436" s="91"/>
      <c r="F436" s="92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</row>
    <row r="437">
      <c r="A437" s="91"/>
      <c r="B437" s="91"/>
      <c r="C437" s="91"/>
      <c r="D437" s="91"/>
      <c r="E437" s="91"/>
      <c r="F437" s="92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</row>
    <row r="438">
      <c r="A438" s="91"/>
      <c r="B438" s="91"/>
      <c r="C438" s="91"/>
      <c r="D438" s="91"/>
      <c r="E438" s="91"/>
      <c r="F438" s="92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</row>
    <row r="439">
      <c r="A439" s="91"/>
      <c r="B439" s="91"/>
      <c r="C439" s="91"/>
      <c r="D439" s="91"/>
      <c r="E439" s="91"/>
      <c r="F439" s="92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</row>
    <row r="440">
      <c r="A440" s="91"/>
      <c r="B440" s="91"/>
      <c r="C440" s="91"/>
      <c r="D440" s="91"/>
      <c r="E440" s="91"/>
      <c r="F440" s="92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</row>
    <row r="441">
      <c r="A441" s="91"/>
      <c r="B441" s="91"/>
      <c r="C441" s="91"/>
      <c r="D441" s="91"/>
      <c r="E441" s="91"/>
      <c r="F441" s="92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</row>
    <row r="442">
      <c r="A442" s="91"/>
      <c r="B442" s="91"/>
      <c r="C442" s="91"/>
      <c r="D442" s="91"/>
      <c r="E442" s="91"/>
      <c r="F442" s="92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</row>
    <row r="443">
      <c r="A443" s="91"/>
      <c r="B443" s="91"/>
      <c r="C443" s="91"/>
      <c r="D443" s="91"/>
      <c r="E443" s="91"/>
      <c r="F443" s="92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</row>
    <row r="444">
      <c r="A444" s="91"/>
      <c r="B444" s="91"/>
      <c r="C444" s="91"/>
      <c r="D444" s="91"/>
      <c r="E444" s="91"/>
      <c r="F444" s="92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</row>
    <row r="445">
      <c r="A445" s="91"/>
      <c r="B445" s="91"/>
      <c r="C445" s="91"/>
      <c r="D445" s="91"/>
      <c r="E445" s="91"/>
      <c r="F445" s="92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</row>
    <row r="446">
      <c r="A446" s="91"/>
      <c r="B446" s="91"/>
      <c r="C446" s="91"/>
      <c r="D446" s="91"/>
      <c r="E446" s="91"/>
      <c r="F446" s="92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</row>
    <row r="447">
      <c r="A447" s="91"/>
      <c r="B447" s="91"/>
      <c r="C447" s="91"/>
      <c r="D447" s="91"/>
      <c r="E447" s="91"/>
      <c r="F447" s="92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</row>
    <row r="448">
      <c r="A448" s="91"/>
      <c r="B448" s="91"/>
      <c r="C448" s="91"/>
      <c r="D448" s="91"/>
      <c r="E448" s="91"/>
      <c r="F448" s="92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</row>
    <row r="449">
      <c r="A449" s="91"/>
      <c r="B449" s="91"/>
      <c r="C449" s="91"/>
      <c r="D449" s="91"/>
      <c r="E449" s="91"/>
      <c r="F449" s="92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</row>
    <row r="450">
      <c r="A450" s="91"/>
      <c r="B450" s="91"/>
      <c r="C450" s="91"/>
      <c r="D450" s="91"/>
      <c r="E450" s="91"/>
      <c r="F450" s="92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</row>
    <row r="451">
      <c r="A451" s="91"/>
      <c r="B451" s="91"/>
      <c r="C451" s="91"/>
      <c r="D451" s="91"/>
      <c r="E451" s="91"/>
      <c r="F451" s="92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</row>
    <row r="452">
      <c r="A452" s="91"/>
      <c r="B452" s="91"/>
      <c r="C452" s="91"/>
      <c r="D452" s="91"/>
      <c r="E452" s="91"/>
      <c r="F452" s="92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</row>
    <row r="453">
      <c r="A453" s="91"/>
      <c r="B453" s="91"/>
      <c r="C453" s="91"/>
      <c r="D453" s="91"/>
      <c r="E453" s="91"/>
      <c r="F453" s="92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</row>
    <row r="454">
      <c r="A454" s="91"/>
      <c r="B454" s="91"/>
      <c r="C454" s="91"/>
      <c r="D454" s="91"/>
      <c r="E454" s="91"/>
      <c r="F454" s="92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</row>
    <row r="455">
      <c r="A455" s="91"/>
      <c r="B455" s="91"/>
      <c r="C455" s="91"/>
      <c r="D455" s="91"/>
      <c r="E455" s="91"/>
      <c r="F455" s="92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</row>
    <row r="456">
      <c r="A456" s="91"/>
      <c r="B456" s="91"/>
      <c r="C456" s="91"/>
      <c r="D456" s="91"/>
      <c r="E456" s="91"/>
      <c r="F456" s="92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</row>
    <row r="457">
      <c r="A457" s="91"/>
      <c r="B457" s="91"/>
      <c r="C457" s="91"/>
      <c r="D457" s="91"/>
      <c r="E457" s="91"/>
      <c r="F457" s="92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</row>
    <row r="458">
      <c r="A458" s="91"/>
      <c r="B458" s="91"/>
      <c r="C458" s="91"/>
      <c r="D458" s="91"/>
      <c r="E458" s="91"/>
      <c r="F458" s="92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</row>
    <row r="459">
      <c r="A459" s="91"/>
      <c r="B459" s="91"/>
      <c r="C459" s="91"/>
      <c r="D459" s="91"/>
      <c r="E459" s="91"/>
      <c r="F459" s="92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</row>
    <row r="460">
      <c r="A460" s="91"/>
      <c r="B460" s="91"/>
      <c r="C460" s="91"/>
      <c r="D460" s="91"/>
      <c r="E460" s="91"/>
      <c r="F460" s="92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</row>
    <row r="461">
      <c r="A461" s="91"/>
      <c r="B461" s="91"/>
      <c r="C461" s="91"/>
      <c r="D461" s="91"/>
      <c r="E461" s="91"/>
      <c r="F461" s="92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</row>
    <row r="462">
      <c r="A462" s="91"/>
      <c r="B462" s="91"/>
      <c r="C462" s="91"/>
      <c r="D462" s="91"/>
      <c r="E462" s="91"/>
      <c r="F462" s="92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</row>
    <row r="463">
      <c r="A463" s="91"/>
      <c r="B463" s="91"/>
      <c r="C463" s="91"/>
      <c r="D463" s="91"/>
      <c r="E463" s="91"/>
      <c r="F463" s="92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</row>
    <row r="464">
      <c r="A464" s="91"/>
      <c r="B464" s="91"/>
      <c r="C464" s="91"/>
      <c r="D464" s="91"/>
      <c r="E464" s="91"/>
      <c r="F464" s="92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</row>
    <row r="465">
      <c r="A465" s="91"/>
      <c r="B465" s="91"/>
      <c r="C465" s="91"/>
      <c r="D465" s="91"/>
      <c r="E465" s="91"/>
      <c r="F465" s="92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</row>
    <row r="466">
      <c r="A466" s="91"/>
      <c r="B466" s="91"/>
      <c r="C466" s="91"/>
      <c r="D466" s="91"/>
      <c r="E466" s="91"/>
      <c r="F466" s="92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</row>
    <row r="467">
      <c r="A467" s="91"/>
      <c r="B467" s="91"/>
      <c r="C467" s="91"/>
      <c r="D467" s="91"/>
      <c r="E467" s="91"/>
      <c r="F467" s="92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</row>
    <row r="468">
      <c r="A468" s="91"/>
      <c r="B468" s="91"/>
      <c r="C468" s="91"/>
      <c r="D468" s="91"/>
      <c r="E468" s="91"/>
      <c r="F468" s="92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</row>
    <row r="469">
      <c r="A469" s="91"/>
      <c r="B469" s="91"/>
      <c r="C469" s="91"/>
      <c r="D469" s="91"/>
      <c r="E469" s="91"/>
      <c r="F469" s="92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</row>
    <row r="470">
      <c r="A470" s="91"/>
      <c r="B470" s="91"/>
      <c r="C470" s="91"/>
      <c r="D470" s="91"/>
      <c r="E470" s="91"/>
      <c r="F470" s="92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</row>
    <row r="471">
      <c r="A471" s="91"/>
      <c r="B471" s="91"/>
      <c r="C471" s="91"/>
      <c r="D471" s="91"/>
      <c r="E471" s="91"/>
      <c r="F471" s="92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</row>
    <row r="472">
      <c r="A472" s="91"/>
      <c r="B472" s="91"/>
      <c r="C472" s="91"/>
      <c r="D472" s="91"/>
      <c r="E472" s="91"/>
      <c r="F472" s="92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</row>
    <row r="473">
      <c r="A473" s="91"/>
      <c r="B473" s="91"/>
      <c r="C473" s="91"/>
      <c r="D473" s="91"/>
      <c r="E473" s="91"/>
      <c r="F473" s="92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</row>
    <row r="474">
      <c r="A474" s="91"/>
      <c r="B474" s="91"/>
      <c r="C474" s="91"/>
      <c r="D474" s="91"/>
      <c r="E474" s="91"/>
      <c r="F474" s="92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</row>
    <row r="475">
      <c r="A475" s="91"/>
      <c r="B475" s="91"/>
      <c r="C475" s="91"/>
      <c r="D475" s="91"/>
      <c r="E475" s="91"/>
      <c r="F475" s="92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</row>
    <row r="476">
      <c r="A476" s="91"/>
      <c r="B476" s="91"/>
      <c r="C476" s="91"/>
      <c r="D476" s="91"/>
      <c r="E476" s="91"/>
      <c r="F476" s="92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</row>
    <row r="477">
      <c r="A477" s="91"/>
      <c r="B477" s="91"/>
      <c r="C477" s="91"/>
      <c r="D477" s="91"/>
      <c r="E477" s="91"/>
      <c r="F477" s="92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</row>
    <row r="478">
      <c r="A478" s="91"/>
      <c r="B478" s="91"/>
      <c r="C478" s="91"/>
      <c r="D478" s="91"/>
      <c r="E478" s="91"/>
      <c r="F478" s="92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</row>
    <row r="479">
      <c r="A479" s="91"/>
      <c r="B479" s="91"/>
      <c r="C479" s="91"/>
      <c r="D479" s="91"/>
      <c r="E479" s="91"/>
      <c r="F479" s="92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</row>
    <row r="480">
      <c r="A480" s="91"/>
      <c r="B480" s="91"/>
      <c r="C480" s="91"/>
      <c r="D480" s="91"/>
      <c r="E480" s="91"/>
      <c r="F480" s="92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</row>
    <row r="481">
      <c r="A481" s="91"/>
      <c r="B481" s="91"/>
      <c r="C481" s="91"/>
      <c r="D481" s="91"/>
      <c r="E481" s="91"/>
      <c r="F481" s="92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</row>
    <row r="482">
      <c r="A482" s="91"/>
      <c r="B482" s="91"/>
      <c r="C482" s="91"/>
      <c r="D482" s="91"/>
      <c r="E482" s="91"/>
      <c r="F482" s="92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</row>
    <row r="483">
      <c r="A483" s="91"/>
      <c r="B483" s="91"/>
      <c r="C483" s="91"/>
      <c r="D483" s="91"/>
      <c r="E483" s="91"/>
      <c r="F483" s="92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</row>
    <row r="484">
      <c r="A484" s="91"/>
      <c r="B484" s="91"/>
      <c r="C484" s="91"/>
      <c r="D484" s="91"/>
      <c r="E484" s="91"/>
      <c r="F484" s="92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</row>
    <row r="485">
      <c r="A485" s="91"/>
      <c r="B485" s="91"/>
      <c r="C485" s="91"/>
      <c r="D485" s="91"/>
      <c r="E485" s="91"/>
      <c r="F485" s="92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</row>
    <row r="486">
      <c r="A486" s="91"/>
      <c r="B486" s="91"/>
      <c r="C486" s="91"/>
      <c r="D486" s="91"/>
      <c r="E486" s="91"/>
      <c r="F486" s="92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</row>
    <row r="487">
      <c r="A487" s="91"/>
      <c r="B487" s="91"/>
      <c r="C487" s="91"/>
      <c r="D487" s="91"/>
      <c r="E487" s="91"/>
      <c r="F487" s="92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</row>
    <row r="488">
      <c r="A488" s="91"/>
      <c r="B488" s="91"/>
      <c r="C488" s="91"/>
      <c r="D488" s="91"/>
      <c r="E488" s="91"/>
      <c r="F488" s="92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</row>
    <row r="489">
      <c r="A489" s="91"/>
      <c r="B489" s="91"/>
      <c r="C489" s="91"/>
      <c r="D489" s="91"/>
      <c r="E489" s="91"/>
      <c r="F489" s="92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</row>
    <row r="490">
      <c r="A490" s="91"/>
      <c r="B490" s="91"/>
      <c r="C490" s="91"/>
      <c r="D490" s="91"/>
      <c r="E490" s="91"/>
      <c r="F490" s="92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</row>
    <row r="491">
      <c r="A491" s="91"/>
      <c r="B491" s="91"/>
      <c r="C491" s="91"/>
      <c r="D491" s="91"/>
      <c r="E491" s="91"/>
      <c r="F491" s="92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</row>
    <row r="492">
      <c r="A492" s="91"/>
      <c r="B492" s="91"/>
      <c r="C492" s="91"/>
      <c r="D492" s="91"/>
      <c r="E492" s="91"/>
      <c r="F492" s="92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</row>
    <row r="493">
      <c r="A493" s="91"/>
      <c r="B493" s="91"/>
      <c r="C493" s="91"/>
      <c r="D493" s="91"/>
      <c r="E493" s="91"/>
      <c r="F493" s="92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</row>
    <row r="494">
      <c r="A494" s="91"/>
      <c r="B494" s="91"/>
      <c r="C494" s="91"/>
      <c r="D494" s="91"/>
      <c r="E494" s="91"/>
      <c r="F494" s="92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</row>
    <row r="495">
      <c r="A495" s="91"/>
      <c r="B495" s="91"/>
      <c r="C495" s="91"/>
      <c r="D495" s="91"/>
      <c r="E495" s="91"/>
      <c r="F495" s="92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</row>
    <row r="496">
      <c r="A496" s="91"/>
      <c r="B496" s="91"/>
      <c r="C496" s="91"/>
      <c r="D496" s="91"/>
      <c r="E496" s="91"/>
      <c r="F496" s="92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</row>
    <row r="497">
      <c r="A497" s="91"/>
      <c r="B497" s="91"/>
      <c r="C497" s="91"/>
      <c r="D497" s="91"/>
      <c r="E497" s="91"/>
      <c r="F497" s="92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</row>
    <row r="498">
      <c r="A498" s="91"/>
      <c r="B498" s="91"/>
      <c r="C498" s="91"/>
      <c r="D498" s="91"/>
      <c r="E498" s="91"/>
      <c r="F498" s="92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</row>
    <row r="499">
      <c r="A499" s="91"/>
      <c r="B499" s="91"/>
      <c r="C499" s="91"/>
      <c r="D499" s="91"/>
      <c r="E499" s="91"/>
      <c r="F499" s="92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</row>
    <row r="500">
      <c r="A500" s="91"/>
      <c r="B500" s="91"/>
      <c r="C500" s="91"/>
      <c r="D500" s="91"/>
      <c r="E500" s="91"/>
      <c r="F500" s="92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</row>
    <row r="501">
      <c r="A501" s="91"/>
      <c r="B501" s="91"/>
      <c r="C501" s="91"/>
      <c r="D501" s="91"/>
      <c r="E501" s="91"/>
      <c r="F501" s="92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</row>
    <row r="502">
      <c r="A502" s="91"/>
      <c r="B502" s="91"/>
      <c r="C502" s="91"/>
      <c r="D502" s="91"/>
      <c r="E502" s="91"/>
      <c r="F502" s="92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</row>
    <row r="503">
      <c r="A503" s="91"/>
      <c r="B503" s="91"/>
      <c r="C503" s="91"/>
      <c r="D503" s="91"/>
      <c r="E503" s="91"/>
      <c r="F503" s="92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</row>
    <row r="504">
      <c r="A504" s="91"/>
      <c r="B504" s="91"/>
      <c r="C504" s="91"/>
      <c r="D504" s="91"/>
      <c r="E504" s="91"/>
      <c r="F504" s="92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</row>
    <row r="505">
      <c r="A505" s="91"/>
      <c r="B505" s="91"/>
      <c r="C505" s="91"/>
      <c r="D505" s="91"/>
      <c r="E505" s="91"/>
      <c r="F505" s="92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</row>
    <row r="506">
      <c r="A506" s="91"/>
      <c r="B506" s="91"/>
      <c r="C506" s="91"/>
      <c r="D506" s="91"/>
      <c r="E506" s="91"/>
      <c r="F506" s="92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</row>
    <row r="507">
      <c r="A507" s="91"/>
      <c r="B507" s="91"/>
      <c r="C507" s="91"/>
      <c r="D507" s="91"/>
      <c r="E507" s="91"/>
      <c r="F507" s="92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</row>
    <row r="508">
      <c r="A508" s="91"/>
      <c r="B508" s="91"/>
      <c r="C508" s="91"/>
      <c r="D508" s="91"/>
      <c r="E508" s="91"/>
      <c r="F508" s="92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</row>
    <row r="509">
      <c r="A509" s="91"/>
      <c r="B509" s="91"/>
      <c r="C509" s="91"/>
      <c r="D509" s="91"/>
      <c r="E509" s="91"/>
      <c r="F509" s="92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</row>
    <row r="510">
      <c r="A510" s="91"/>
      <c r="B510" s="91"/>
      <c r="C510" s="91"/>
      <c r="D510" s="91"/>
      <c r="E510" s="91"/>
      <c r="F510" s="92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</row>
    <row r="511">
      <c r="A511" s="91"/>
      <c r="B511" s="91"/>
      <c r="C511" s="91"/>
      <c r="D511" s="91"/>
      <c r="E511" s="91"/>
      <c r="F511" s="92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</row>
    <row r="512">
      <c r="A512" s="91"/>
      <c r="B512" s="91"/>
      <c r="C512" s="91"/>
      <c r="D512" s="91"/>
      <c r="E512" s="91"/>
      <c r="F512" s="92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</row>
    <row r="513">
      <c r="A513" s="91"/>
      <c r="B513" s="91"/>
      <c r="C513" s="91"/>
      <c r="D513" s="91"/>
      <c r="E513" s="91"/>
      <c r="F513" s="92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</row>
    <row r="514">
      <c r="A514" s="91"/>
      <c r="B514" s="91"/>
      <c r="C514" s="91"/>
      <c r="D514" s="91"/>
      <c r="E514" s="91"/>
      <c r="F514" s="92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</row>
    <row r="515">
      <c r="A515" s="91"/>
      <c r="B515" s="91"/>
      <c r="C515" s="91"/>
      <c r="D515" s="91"/>
      <c r="E515" s="91"/>
      <c r="F515" s="92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</row>
    <row r="516">
      <c r="A516" s="91"/>
      <c r="B516" s="91"/>
      <c r="C516" s="91"/>
      <c r="D516" s="91"/>
      <c r="E516" s="91"/>
      <c r="F516" s="92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</row>
    <row r="517">
      <c r="A517" s="91"/>
      <c r="B517" s="91"/>
      <c r="C517" s="91"/>
      <c r="D517" s="91"/>
      <c r="E517" s="91"/>
      <c r="F517" s="92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</row>
    <row r="518">
      <c r="A518" s="91"/>
      <c r="B518" s="91"/>
      <c r="C518" s="91"/>
      <c r="D518" s="91"/>
      <c r="E518" s="91"/>
      <c r="F518" s="92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</row>
    <row r="519">
      <c r="A519" s="91"/>
      <c r="B519" s="91"/>
      <c r="C519" s="91"/>
      <c r="D519" s="91"/>
      <c r="E519" s="91"/>
      <c r="F519" s="92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</row>
    <row r="520">
      <c r="A520" s="91"/>
      <c r="B520" s="91"/>
      <c r="C520" s="91"/>
      <c r="D520" s="91"/>
      <c r="E520" s="91"/>
      <c r="F520" s="92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</row>
    <row r="521">
      <c r="A521" s="91"/>
      <c r="B521" s="91"/>
      <c r="C521" s="91"/>
      <c r="D521" s="91"/>
      <c r="E521" s="91"/>
      <c r="F521" s="92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</row>
    <row r="522">
      <c r="A522" s="91"/>
      <c r="B522" s="91"/>
      <c r="C522" s="91"/>
      <c r="D522" s="91"/>
      <c r="E522" s="91"/>
      <c r="F522" s="92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</row>
    <row r="523">
      <c r="A523" s="91"/>
      <c r="B523" s="91"/>
      <c r="C523" s="91"/>
      <c r="D523" s="91"/>
      <c r="E523" s="91"/>
      <c r="F523" s="92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</row>
    <row r="524">
      <c r="A524" s="91"/>
      <c r="B524" s="91"/>
      <c r="C524" s="91"/>
      <c r="D524" s="91"/>
      <c r="E524" s="91"/>
      <c r="F524" s="92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</row>
    <row r="525">
      <c r="A525" s="91"/>
      <c r="B525" s="91"/>
      <c r="C525" s="91"/>
      <c r="D525" s="91"/>
      <c r="E525" s="91"/>
      <c r="F525" s="92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</row>
    <row r="526">
      <c r="A526" s="91"/>
      <c r="B526" s="91"/>
      <c r="C526" s="91"/>
      <c r="D526" s="91"/>
      <c r="E526" s="91"/>
      <c r="F526" s="92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</row>
    <row r="527">
      <c r="A527" s="91"/>
      <c r="B527" s="91"/>
      <c r="C527" s="91"/>
      <c r="D527" s="91"/>
      <c r="E527" s="91"/>
      <c r="F527" s="92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</row>
    <row r="528">
      <c r="A528" s="91"/>
      <c r="B528" s="91"/>
      <c r="C528" s="91"/>
      <c r="D528" s="91"/>
      <c r="E528" s="91"/>
      <c r="F528" s="92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</row>
    <row r="529">
      <c r="A529" s="91"/>
      <c r="B529" s="91"/>
      <c r="C529" s="91"/>
      <c r="D529" s="91"/>
      <c r="E529" s="91"/>
      <c r="F529" s="92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</row>
    <row r="530">
      <c r="A530" s="91"/>
      <c r="B530" s="91"/>
      <c r="C530" s="91"/>
      <c r="D530" s="91"/>
      <c r="E530" s="91"/>
      <c r="F530" s="92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</row>
    <row r="531">
      <c r="A531" s="91"/>
      <c r="B531" s="91"/>
      <c r="C531" s="91"/>
      <c r="D531" s="91"/>
      <c r="E531" s="91"/>
      <c r="F531" s="92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</row>
    <row r="532">
      <c r="A532" s="91"/>
      <c r="B532" s="91"/>
      <c r="C532" s="91"/>
      <c r="D532" s="91"/>
      <c r="E532" s="91"/>
      <c r="F532" s="92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</row>
    <row r="533">
      <c r="A533" s="91"/>
      <c r="B533" s="91"/>
      <c r="C533" s="91"/>
      <c r="D533" s="91"/>
      <c r="E533" s="91"/>
      <c r="F533" s="92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</row>
    <row r="534">
      <c r="A534" s="91"/>
      <c r="B534" s="91"/>
      <c r="C534" s="91"/>
      <c r="D534" s="91"/>
      <c r="E534" s="91"/>
      <c r="F534" s="92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</row>
    <row r="535">
      <c r="A535" s="91"/>
      <c r="B535" s="91"/>
      <c r="C535" s="91"/>
      <c r="D535" s="91"/>
      <c r="E535" s="91"/>
      <c r="F535" s="92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</row>
    <row r="536">
      <c r="A536" s="91"/>
      <c r="B536" s="91"/>
      <c r="C536" s="91"/>
      <c r="D536" s="91"/>
      <c r="E536" s="91"/>
      <c r="F536" s="92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</row>
    <row r="537">
      <c r="A537" s="91"/>
      <c r="B537" s="91"/>
      <c r="C537" s="91"/>
      <c r="D537" s="91"/>
      <c r="E537" s="91"/>
      <c r="F537" s="92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</row>
    <row r="538">
      <c r="A538" s="91"/>
      <c r="B538" s="91"/>
      <c r="C538" s="91"/>
      <c r="D538" s="91"/>
      <c r="E538" s="91"/>
      <c r="F538" s="92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</row>
    <row r="539">
      <c r="A539" s="91"/>
      <c r="B539" s="91"/>
      <c r="C539" s="91"/>
      <c r="D539" s="91"/>
      <c r="E539" s="91"/>
      <c r="F539" s="92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</row>
    <row r="540">
      <c r="A540" s="91"/>
      <c r="B540" s="91"/>
      <c r="C540" s="91"/>
      <c r="D540" s="91"/>
      <c r="E540" s="91"/>
      <c r="F540" s="92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</row>
    <row r="541">
      <c r="A541" s="91"/>
      <c r="B541" s="91"/>
      <c r="C541" s="91"/>
      <c r="D541" s="91"/>
      <c r="E541" s="91"/>
      <c r="F541" s="92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</row>
    <row r="542">
      <c r="A542" s="91"/>
      <c r="B542" s="91"/>
      <c r="C542" s="91"/>
      <c r="D542" s="91"/>
      <c r="E542" s="91"/>
      <c r="F542" s="92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</row>
    <row r="543">
      <c r="A543" s="91"/>
      <c r="B543" s="91"/>
      <c r="C543" s="91"/>
      <c r="D543" s="91"/>
      <c r="E543" s="91"/>
      <c r="F543" s="92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</row>
    <row r="544">
      <c r="A544" s="91"/>
      <c r="B544" s="91"/>
      <c r="C544" s="91"/>
      <c r="D544" s="91"/>
      <c r="E544" s="91"/>
      <c r="F544" s="92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</row>
    <row r="545">
      <c r="A545" s="91"/>
      <c r="B545" s="91"/>
      <c r="C545" s="91"/>
      <c r="D545" s="91"/>
      <c r="E545" s="91"/>
      <c r="F545" s="92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</row>
    <row r="546">
      <c r="A546" s="91"/>
      <c r="B546" s="91"/>
      <c r="C546" s="91"/>
      <c r="D546" s="91"/>
      <c r="E546" s="91"/>
      <c r="F546" s="92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</row>
    <row r="547">
      <c r="A547" s="91"/>
      <c r="B547" s="91"/>
      <c r="C547" s="91"/>
      <c r="D547" s="91"/>
      <c r="E547" s="91"/>
      <c r="F547" s="92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</row>
    <row r="548">
      <c r="A548" s="91"/>
      <c r="B548" s="91"/>
      <c r="C548" s="91"/>
      <c r="D548" s="91"/>
      <c r="E548" s="91"/>
      <c r="F548" s="92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</row>
    <row r="549">
      <c r="A549" s="91"/>
      <c r="B549" s="91"/>
      <c r="C549" s="91"/>
      <c r="D549" s="91"/>
      <c r="E549" s="91"/>
      <c r="F549" s="92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</row>
    <row r="550">
      <c r="A550" s="91"/>
      <c r="B550" s="91"/>
      <c r="C550" s="91"/>
      <c r="D550" s="91"/>
      <c r="E550" s="91"/>
      <c r="F550" s="92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</row>
    <row r="551">
      <c r="A551" s="91"/>
      <c r="B551" s="91"/>
      <c r="C551" s="91"/>
      <c r="D551" s="91"/>
      <c r="E551" s="91"/>
      <c r="F551" s="92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</row>
    <row r="552">
      <c r="A552" s="91"/>
      <c r="B552" s="91"/>
      <c r="C552" s="91"/>
      <c r="D552" s="91"/>
      <c r="E552" s="91"/>
      <c r="F552" s="92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</row>
    <row r="553">
      <c r="A553" s="91"/>
      <c r="B553" s="91"/>
      <c r="C553" s="91"/>
      <c r="D553" s="91"/>
      <c r="E553" s="91"/>
      <c r="F553" s="92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</row>
    <row r="554">
      <c r="A554" s="91"/>
      <c r="B554" s="91"/>
      <c r="C554" s="91"/>
      <c r="D554" s="91"/>
      <c r="E554" s="91"/>
      <c r="F554" s="92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</row>
    <row r="555">
      <c r="A555" s="91"/>
      <c r="B555" s="91"/>
      <c r="C555" s="91"/>
      <c r="D555" s="91"/>
      <c r="E555" s="91"/>
      <c r="F555" s="92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</row>
    <row r="556">
      <c r="A556" s="91"/>
      <c r="B556" s="91"/>
      <c r="C556" s="91"/>
      <c r="D556" s="91"/>
      <c r="E556" s="91"/>
      <c r="F556" s="92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</row>
    <row r="557">
      <c r="A557" s="91"/>
      <c r="B557" s="91"/>
      <c r="C557" s="91"/>
      <c r="D557" s="91"/>
      <c r="E557" s="91"/>
      <c r="F557" s="92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</row>
    <row r="558">
      <c r="A558" s="91"/>
      <c r="B558" s="91"/>
      <c r="C558" s="91"/>
      <c r="D558" s="91"/>
      <c r="E558" s="91"/>
      <c r="F558" s="92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</row>
    <row r="559">
      <c r="A559" s="91"/>
      <c r="B559" s="91"/>
      <c r="C559" s="91"/>
      <c r="D559" s="91"/>
      <c r="E559" s="91"/>
      <c r="F559" s="92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</row>
    <row r="560">
      <c r="A560" s="91"/>
      <c r="B560" s="91"/>
      <c r="C560" s="91"/>
      <c r="D560" s="91"/>
      <c r="E560" s="91"/>
      <c r="F560" s="92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</row>
    <row r="561">
      <c r="A561" s="91"/>
      <c r="B561" s="91"/>
      <c r="C561" s="91"/>
      <c r="D561" s="91"/>
      <c r="E561" s="91"/>
      <c r="F561" s="92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</row>
    <row r="562">
      <c r="A562" s="91"/>
      <c r="B562" s="91"/>
      <c r="C562" s="91"/>
      <c r="D562" s="91"/>
      <c r="E562" s="91"/>
      <c r="F562" s="92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</row>
    <row r="563">
      <c r="A563" s="91"/>
      <c r="B563" s="91"/>
      <c r="C563" s="91"/>
      <c r="D563" s="91"/>
      <c r="E563" s="91"/>
      <c r="F563" s="92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</row>
    <row r="564">
      <c r="A564" s="91"/>
      <c r="B564" s="91"/>
      <c r="C564" s="91"/>
      <c r="D564" s="91"/>
      <c r="E564" s="91"/>
      <c r="F564" s="92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</row>
    <row r="565">
      <c r="A565" s="91"/>
      <c r="B565" s="91"/>
      <c r="C565" s="91"/>
      <c r="D565" s="91"/>
      <c r="E565" s="91"/>
      <c r="F565" s="92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</row>
    <row r="566">
      <c r="A566" s="91"/>
      <c r="B566" s="91"/>
      <c r="C566" s="91"/>
      <c r="D566" s="91"/>
      <c r="E566" s="91"/>
      <c r="F566" s="92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</row>
    <row r="567">
      <c r="A567" s="91"/>
      <c r="B567" s="91"/>
      <c r="C567" s="91"/>
      <c r="D567" s="91"/>
      <c r="E567" s="91"/>
      <c r="F567" s="92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</row>
    <row r="568">
      <c r="A568" s="91"/>
      <c r="B568" s="91"/>
      <c r="C568" s="91"/>
      <c r="D568" s="91"/>
      <c r="E568" s="91"/>
      <c r="F568" s="92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</row>
    <row r="569">
      <c r="A569" s="91"/>
      <c r="B569" s="91"/>
      <c r="C569" s="91"/>
      <c r="D569" s="91"/>
      <c r="E569" s="91"/>
      <c r="F569" s="92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</row>
    <row r="570">
      <c r="A570" s="91"/>
      <c r="B570" s="91"/>
      <c r="C570" s="91"/>
      <c r="D570" s="91"/>
      <c r="E570" s="91"/>
      <c r="F570" s="92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</row>
    <row r="571">
      <c r="A571" s="91"/>
      <c r="B571" s="91"/>
      <c r="C571" s="91"/>
      <c r="D571" s="91"/>
      <c r="E571" s="91"/>
      <c r="F571" s="92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</row>
    <row r="572">
      <c r="A572" s="91"/>
      <c r="B572" s="91"/>
      <c r="C572" s="91"/>
      <c r="D572" s="91"/>
      <c r="E572" s="91"/>
      <c r="F572" s="92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</row>
    <row r="573">
      <c r="A573" s="91"/>
      <c r="B573" s="91"/>
      <c r="C573" s="91"/>
      <c r="D573" s="91"/>
      <c r="E573" s="91"/>
      <c r="F573" s="92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</row>
    <row r="574">
      <c r="A574" s="91"/>
      <c r="B574" s="91"/>
      <c r="C574" s="91"/>
      <c r="D574" s="91"/>
      <c r="E574" s="91"/>
      <c r="F574" s="92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</row>
    <row r="575">
      <c r="A575" s="91"/>
      <c r="B575" s="91"/>
      <c r="C575" s="91"/>
      <c r="D575" s="91"/>
      <c r="E575" s="91"/>
      <c r="F575" s="92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</row>
    <row r="576">
      <c r="A576" s="91"/>
      <c r="B576" s="91"/>
      <c r="C576" s="91"/>
      <c r="D576" s="91"/>
      <c r="E576" s="91"/>
      <c r="F576" s="92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</row>
    <row r="577">
      <c r="A577" s="91"/>
      <c r="B577" s="91"/>
      <c r="C577" s="91"/>
      <c r="D577" s="91"/>
      <c r="E577" s="91"/>
      <c r="F577" s="92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</row>
    <row r="578">
      <c r="A578" s="91"/>
      <c r="B578" s="91"/>
      <c r="C578" s="91"/>
      <c r="D578" s="91"/>
      <c r="E578" s="91"/>
      <c r="F578" s="92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</row>
    <row r="579">
      <c r="A579" s="91"/>
      <c r="B579" s="91"/>
      <c r="C579" s="91"/>
      <c r="D579" s="91"/>
      <c r="E579" s="91"/>
      <c r="F579" s="92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</row>
    <row r="580">
      <c r="A580" s="91"/>
      <c r="B580" s="91"/>
      <c r="C580" s="91"/>
      <c r="D580" s="91"/>
      <c r="E580" s="91"/>
      <c r="F580" s="92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</row>
    <row r="581">
      <c r="A581" s="91"/>
      <c r="B581" s="91"/>
      <c r="C581" s="91"/>
      <c r="D581" s="91"/>
      <c r="E581" s="91"/>
      <c r="F581" s="92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</row>
    <row r="582">
      <c r="A582" s="91"/>
      <c r="B582" s="91"/>
      <c r="C582" s="91"/>
      <c r="D582" s="91"/>
      <c r="E582" s="91"/>
      <c r="F582" s="92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</row>
    <row r="583">
      <c r="A583" s="91"/>
      <c r="B583" s="91"/>
      <c r="C583" s="91"/>
      <c r="D583" s="91"/>
      <c r="E583" s="91"/>
      <c r="F583" s="92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</row>
    <row r="584">
      <c r="A584" s="91"/>
      <c r="B584" s="91"/>
      <c r="C584" s="91"/>
      <c r="D584" s="91"/>
      <c r="E584" s="91"/>
      <c r="F584" s="92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</row>
    <row r="585">
      <c r="A585" s="91"/>
      <c r="B585" s="91"/>
      <c r="C585" s="91"/>
      <c r="D585" s="91"/>
      <c r="E585" s="91"/>
      <c r="F585" s="92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</row>
    <row r="586">
      <c r="A586" s="91"/>
      <c r="B586" s="91"/>
      <c r="C586" s="91"/>
      <c r="D586" s="91"/>
      <c r="E586" s="91"/>
      <c r="F586" s="92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</row>
    <row r="587">
      <c r="A587" s="91"/>
      <c r="B587" s="91"/>
      <c r="C587" s="91"/>
      <c r="D587" s="91"/>
      <c r="E587" s="91"/>
      <c r="F587" s="92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</row>
    <row r="588">
      <c r="A588" s="91"/>
      <c r="B588" s="91"/>
      <c r="C588" s="91"/>
      <c r="D588" s="91"/>
      <c r="E588" s="91"/>
      <c r="F588" s="92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</row>
    <row r="589">
      <c r="A589" s="91"/>
      <c r="B589" s="91"/>
      <c r="C589" s="91"/>
      <c r="D589" s="91"/>
      <c r="E589" s="91"/>
      <c r="F589" s="92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</row>
    <row r="590">
      <c r="A590" s="91"/>
      <c r="B590" s="91"/>
      <c r="C590" s="91"/>
      <c r="D590" s="91"/>
      <c r="E590" s="91"/>
      <c r="F590" s="92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</row>
    <row r="591">
      <c r="A591" s="91"/>
      <c r="B591" s="91"/>
      <c r="C591" s="91"/>
      <c r="D591" s="91"/>
      <c r="E591" s="91"/>
      <c r="F591" s="92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</row>
    <row r="592">
      <c r="A592" s="91"/>
      <c r="B592" s="91"/>
      <c r="C592" s="91"/>
      <c r="D592" s="91"/>
      <c r="E592" s="91"/>
      <c r="F592" s="92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</row>
    <row r="593">
      <c r="A593" s="91"/>
      <c r="B593" s="91"/>
      <c r="C593" s="91"/>
      <c r="D593" s="91"/>
      <c r="E593" s="91"/>
      <c r="F593" s="92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</row>
    <row r="594">
      <c r="A594" s="91"/>
      <c r="B594" s="91"/>
      <c r="C594" s="91"/>
      <c r="D594" s="91"/>
      <c r="E594" s="91"/>
      <c r="F594" s="92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</row>
    <row r="595">
      <c r="A595" s="91"/>
      <c r="B595" s="91"/>
      <c r="C595" s="91"/>
      <c r="D595" s="91"/>
      <c r="E595" s="91"/>
      <c r="F595" s="92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</row>
    <row r="596">
      <c r="A596" s="91"/>
      <c r="B596" s="91"/>
      <c r="C596" s="91"/>
      <c r="D596" s="91"/>
      <c r="E596" s="91"/>
      <c r="F596" s="92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</row>
    <row r="597">
      <c r="A597" s="91"/>
      <c r="B597" s="91"/>
      <c r="C597" s="91"/>
      <c r="D597" s="91"/>
      <c r="E597" s="91"/>
      <c r="F597" s="92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</row>
    <row r="598">
      <c r="A598" s="91"/>
      <c r="B598" s="91"/>
      <c r="C598" s="91"/>
      <c r="D598" s="91"/>
      <c r="E598" s="91"/>
      <c r="F598" s="92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</row>
    <row r="599">
      <c r="A599" s="91"/>
      <c r="B599" s="91"/>
      <c r="C599" s="91"/>
      <c r="D599" s="91"/>
      <c r="E599" s="91"/>
      <c r="F599" s="92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</row>
    <row r="600">
      <c r="A600" s="91"/>
      <c r="B600" s="91"/>
      <c r="C600" s="91"/>
      <c r="D600" s="91"/>
      <c r="E600" s="91"/>
      <c r="F600" s="92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</row>
    <row r="601">
      <c r="A601" s="91"/>
      <c r="B601" s="91"/>
      <c r="C601" s="91"/>
      <c r="D601" s="91"/>
      <c r="E601" s="91"/>
      <c r="F601" s="92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</row>
    <row r="602">
      <c r="A602" s="91"/>
      <c r="B602" s="91"/>
      <c r="C602" s="91"/>
      <c r="D602" s="91"/>
      <c r="E602" s="91"/>
      <c r="F602" s="92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</row>
    <row r="603">
      <c r="A603" s="91"/>
      <c r="B603" s="91"/>
      <c r="C603" s="91"/>
      <c r="D603" s="91"/>
      <c r="E603" s="91"/>
      <c r="F603" s="92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</row>
    <row r="604">
      <c r="A604" s="91"/>
      <c r="B604" s="91"/>
      <c r="C604" s="91"/>
      <c r="D604" s="91"/>
      <c r="E604" s="91"/>
      <c r="F604" s="92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</row>
    <row r="605">
      <c r="A605" s="91"/>
      <c r="B605" s="91"/>
      <c r="C605" s="91"/>
      <c r="D605" s="91"/>
      <c r="E605" s="91"/>
      <c r="F605" s="92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</row>
    <row r="606">
      <c r="A606" s="91"/>
      <c r="B606" s="91"/>
      <c r="C606" s="91"/>
      <c r="D606" s="91"/>
      <c r="E606" s="91"/>
      <c r="F606" s="92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</row>
    <row r="607">
      <c r="A607" s="91"/>
      <c r="B607" s="91"/>
      <c r="C607" s="91"/>
      <c r="D607" s="91"/>
      <c r="E607" s="91"/>
      <c r="F607" s="92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</row>
    <row r="608">
      <c r="A608" s="91"/>
      <c r="B608" s="91"/>
      <c r="C608" s="91"/>
      <c r="D608" s="91"/>
      <c r="E608" s="91"/>
      <c r="F608" s="92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</row>
    <row r="609">
      <c r="A609" s="91"/>
      <c r="B609" s="91"/>
      <c r="C609" s="91"/>
      <c r="D609" s="91"/>
      <c r="E609" s="91"/>
      <c r="F609" s="92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</row>
    <row r="610">
      <c r="A610" s="91"/>
      <c r="B610" s="91"/>
      <c r="C610" s="91"/>
      <c r="D610" s="91"/>
      <c r="E610" s="91"/>
      <c r="F610" s="92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</row>
    <row r="611">
      <c r="A611" s="91"/>
      <c r="B611" s="91"/>
      <c r="C611" s="91"/>
      <c r="D611" s="91"/>
      <c r="E611" s="91"/>
      <c r="F611" s="92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</row>
    <row r="612">
      <c r="A612" s="91"/>
      <c r="B612" s="91"/>
      <c r="C612" s="91"/>
      <c r="D612" s="91"/>
      <c r="E612" s="91"/>
      <c r="F612" s="92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</row>
    <row r="613">
      <c r="A613" s="91"/>
      <c r="B613" s="91"/>
      <c r="C613" s="91"/>
      <c r="D613" s="91"/>
      <c r="E613" s="91"/>
      <c r="F613" s="92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</row>
    <row r="614">
      <c r="A614" s="91"/>
      <c r="B614" s="91"/>
      <c r="C614" s="91"/>
      <c r="D614" s="91"/>
      <c r="E614" s="91"/>
      <c r="F614" s="92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</row>
    <row r="615">
      <c r="A615" s="91"/>
      <c r="B615" s="91"/>
      <c r="C615" s="91"/>
      <c r="D615" s="91"/>
      <c r="E615" s="91"/>
      <c r="F615" s="92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</row>
    <row r="616">
      <c r="A616" s="91"/>
      <c r="B616" s="91"/>
      <c r="C616" s="91"/>
      <c r="D616" s="91"/>
      <c r="E616" s="91"/>
      <c r="F616" s="92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</row>
    <row r="617">
      <c r="A617" s="91"/>
      <c r="B617" s="91"/>
      <c r="C617" s="91"/>
      <c r="D617" s="91"/>
      <c r="E617" s="91"/>
      <c r="F617" s="92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</row>
    <row r="618">
      <c r="A618" s="91"/>
      <c r="B618" s="91"/>
      <c r="C618" s="91"/>
      <c r="D618" s="91"/>
      <c r="E618" s="91"/>
      <c r="F618" s="92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</row>
    <row r="619">
      <c r="A619" s="91"/>
      <c r="B619" s="91"/>
      <c r="C619" s="91"/>
      <c r="D619" s="91"/>
      <c r="E619" s="91"/>
      <c r="F619" s="92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</row>
    <row r="620">
      <c r="A620" s="91"/>
      <c r="B620" s="91"/>
      <c r="C620" s="91"/>
      <c r="D620" s="91"/>
      <c r="E620" s="91"/>
      <c r="F620" s="92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</row>
    <row r="621">
      <c r="A621" s="91"/>
      <c r="B621" s="91"/>
      <c r="C621" s="91"/>
      <c r="D621" s="91"/>
      <c r="E621" s="91"/>
      <c r="F621" s="92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</row>
    <row r="622">
      <c r="A622" s="91"/>
      <c r="B622" s="91"/>
      <c r="C622" s="91"/>
      <c r="D622" s="91"/>
      <c r="E622" s="91"/>
      <c r="F622" s="92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</row>
    <row r="623">
      <c r="A623" s="91"/>
      <c r="B623" s="91"/>
      <c r="C623" s="91"/>
      <c r="D623" s="91"/>
      <c r="E623" s="91"/>
      <c r="F623" s="92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</row>
    <row r="624">
      <c r="A624" s="91"/>
      <c r="B624" s="91"/>
      <c r="C624" s="91"/>
      <c r="D624" s="91"/>
      <c r="E624" s="91"/>
      <c r="F624" s="92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</row>
    <row r="625">
      <c r="A625" s="91"/>
      <c r="B625" s="91"/>
      <c r="C625" s="91"/>
      <c r="D625" s="91"/>
      <c r="E625" s="91"/>
      <c r="F625" s="92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</row>
    <row r="626">
      <c r="A626" s="91"/>
      <c r="B626" s="91"/>
      <c r="C626" s="91"/>
      <c r="D626" s="91"/>
      <c r="E626" s="91"/>
      <c r="F626" s="92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</row>
    <row r="627">
      <c r="A627" s="91"/>
      <c r="B627" s="91"/>
      <c r="C627" s="91"/>
      <c r="D627" s="91"/>
      <c r="E627" s="91"/>
      <c r="F627" s="92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</row>
    <row r="628">
      <c r="A628" s="91"/>
      <c r="B628" s="91"/>
      <c r="C628" s="91"/>
      <c r="D628" s="91"/>
      <c r="E628" s="91"/>
      <c r="F628" s="92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</row>
    <row r="629">
      <c r="A629" s="91"/>
      <c r="B629" s="91"/>
      <c r="C629" s="91"/>
      <c r="D629" s="91"/>
      <c r="E629" s="91"/>
      <c r="F629" s="92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</row>
    <row r="630">
      <c r="A630" s="91"/>
      <c r="B630" s="91"/>
      <c r="C630" s="91"/>
      <c r="D630" s="91"/>
      <c r="E630" s="91"/>
      <c r="F630" s="92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</row>
    <row r="631">
      <c r="A631" s="91"/>
      <c r="B631" s="91"/>
      <c r="C631" s="91"/>
      <c r="D631" s="91"/>
      <c r="E631" s="91"/>
      <c r="F631" s="92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</row>
    <row r="632">
      <c r="A632" s="91"/>
      <c r="B632" s="91"/>
      <c r="C632" s="91"/>
      <c r="D632" s="91"/>
      <c r="E632" s="91"/>
      <c r="F632" s="92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</row>
    <row r="633">
      <c r="A633" s="91"/>
      <c r="B633" s="91"/>
      <c r="C633" s="91"/>
      <c r="D633" s="91"/>
      <c r="E633" s="91"/>
      <c r="F633" s="92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</row>
    <row r="634">
      <c r="A634" s="91"/>
      <c r="B634" s="91"/>
      <c r="C634" s="91"/>
      <c r="D634" s="91"/>
      <c r="E634" s="91"/>
      <c r="F634" s="92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</row>
    <row r="635">
      <c r="A635" s="91"/>
      <c r="B635" s="91"/>
      <c r="C635" s="91"/>
      <c r="D635" s="91"/>
      <c r="E635" s="91"/>
      <c r="F635" s="92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</row>
    <row r="636">
      <c r="A636" s="91"/>
      <c r="B636" s="91"/>
      <c r="C636" s="91"/>
      <c r="D636" s="91"/>
      <c r="E636" s="91"/>
      <c r="F636" s="92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</row>
    <row r="637">
      <c r="A637" s="91"/>
      <c r="B637" s="91"/>
      <c r="C637" s="91"/>
      <c r="D637" s="91"/>
      <c r="E637" s="91"/>
      <c r="F637" s="92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</row>
    <row r="638">
      <c r="A638" s="91"/>
      <c r="B638" s="91"/>
      <c r="C638" s="91"/>
      <c r="D638" s="91"/>
      <c r="E638" s="91"/>
      <c r="F638" s="92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</row>
    <row r="639">
      <c r="A639" s="91"/>
      <c r="B639" s="91"/>
      <c r="C639" s="91"/>
      <c r="D639" s="91"/>
      <c r="E639" s="91"/>
      <c r="F639" s="92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</row>
    <row r="640">
      <c r="A640" s="91"/>
      <c r="B640" s="91"/>
      <c r="C640" s="91"/>
      <c r="D640" s="91"/>
      <c r="E640" s="91"/>
      <c r="F640" s="92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</row>
    <row r="641">
      <c r="A641" s="91"/>
      <c r="B641" s="91"/>
      <c r="C641" s="91"/>
      <c r="D641" s="91"/>
      <c r="E641" s="91"/>
      <c r="F641" s="92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</row>
    <row r="642">
      <c r="A642" s="91"/>
      <c r="B642" s="91"/>
      <c r="C642" s="91"/>
      <c r="D642" s="91"/>
      <c r="E642" s="91"/>
      <c r="F642" s="92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</row>
    <row r="643">
      <c r="A643" s="91"/>
      <c r="B643" s="91"/>
      <c r="C643" s="91"/>
      <c r="D643" s="91"/>
      <c r="E643" s="91"/>
      <c r="F643" s="92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</row>
    <row r="644">
      <c r="A644" s="91"/>
      <c r="B644" s="91"/>
      <c r="C644" s="91"/>
      <c r="D644" s="91"/>
      <c r="E644" s="91"/>
      <c r="F644" s="92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</row>
    <row r="645">
      <c r="A645" s="91"/>
      <c r="B645" s="91"/>
      <c r="C645" s="91"/>
      <c r="D645" s="91"/>
      <c r="E645" s="91"/>
      <c r="F645" s="92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</row>
    <row r="646">
      <c r="A646" s="91"/>
      <c r="B646" s="91"/>
      <c r="C646" s="91"/>
      <c r="D646" s="91"/>
      <c r="E646" s="91"/>
      <c r="F646" s="92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</row>
    <row r="647">
      <c r="A647" s="91"/>
      <c r="B647" s="91"/>
      <c r="C647" s="91"/>
      <c r="D647" s="91"/>
      <c r="E647" s="91"/>
      <c r="F647" s="92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</row>
    <row r="648">
      <c r="A648" s="91"/>
      <c r="B648" s="91"/>
      <c r="C648" s="91"/>
      <c r="D648" s="91"/>
      <c r="E648" s="91"/>
      <c r="F648" s="92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</row>
    <row r="649">
      <c r="A649" s="91"/>
      <c r="B649" s="91"/>
      <c r="C649" s="91"/>
      <c r="D649" s="91"/>
      <c r="E649" s="91"/>
      <c r="F649" s="92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</row>
    <row r="650">
      <c r="A650" s="91"/>
      <c r="B650" s="91"/>
      <c r="C650" s="91"/>
      <c r="D650" s="91"/>
      <c r="E650" s="91"/>
      <c r="F650" s="92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</row>
    <row r="651">
      <c r="A651" s="91"/>
      <c r="B651" s="91"/>
      <c r="C651" s="91"/>
      <c r="D651" s="91"/>
      <c r="E651" s="91"/>
      <c r="F651" s="92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</row>
    <row r="652">
      <c r="A652" s="91"/>
      <c r="B652" s="91"/>
      <c r="C652" s="91"/>
      <c r="D652" s="91"/>
      <c r="E652" s="91"/>
      <c r="F652" s="92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</row>
    <row r="653">
      <c r="A653" s="91"/>
      <c r="B653" s="91"/>
      <c r="C653" s="91"/>
      <c r="D653" s="91"/>
      <c r="E653" s="91"/>
      <c r="F653" s="92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</row>
    <row r="654">
      <c r="A654" s="91"/>
      <c r="B654" s="91"/>
      <c r="C654" s="91"/>
      <c r="D654" s="91"/>
      <c r="E654" s="91"/>
      <c r="F654" s="92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</row>
    <row r="655">
      <c r="A655" s="91"/>
      <c r="B655" s="91"/>
      <c r="C655" s="91"/>
      <c r="D655" s="91"/>
      <c r="E655" s="91"/>
      <c r="F655" s="92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</row>
    <row r="656">
      <c r="A656" s="91"/>
      <c r="B656" s="91"/>
      <c r="C656" s="91"/>
      <c r="D656" s="91"/>
      <c r="E656" s="91"/>
      <c r="F656" s="92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</row>
    <row r="657">
      <c r="A657" s="91"/>
      <c r="B657" s="91"/>
      <c r="C657" s="91"/>
      <c r="D657" s="91"/>
      <c r="E657" s="91"/>
      <c r="F657" s="92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</row>
    <row r="658">
      <c r="A658" s="91"/>
      <c r="B658" s="91"/>
      <c r="C658" s="91"/>
      <c r="D658" s="91"/>
      <c r="E658" s="91"/>
      <c r="F658" s="92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</row>
    <row r="659">
      <c r="A659" s="91"/>
      <c r="B659" s="91"/>
      <c r="C659" s="91"/>
      <c r="D659" s="91"/>
      <c r="E659" s="91"/>
      <c r="F659" s="92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</row>
    <row r="660">
      <c r="A660" s="91"/>
      <c r="B660" s="91"/>
      <c r="C660" s="91"/>
      <c r="D660" s="91"/>
      <c r="E660" s="91"/>
      <c r="F660" s="92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</row>
    <row r="661">
      <c r="A661" s="91"/>
      <c r="B661" s="91"/>
      <c r="C661" s="91"/>
      <c r="D661" s="91"/>
      <c r="E661" s="91"/>
      <c r="F661" s="92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</row>
    <row r="662">
      <c r="A662" s="91"/>
      <c r="B662" s="91"/>
      <c r="C662" s="91"/>
      <c r="D662" s="91"/>
      <c r="E662" s="91"/>
      <c r="F662" s="92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</row>
    <row r="663">
      <c r="A663" s="91"/>
      <c r="B663" s="91"/>
      <c r="C663" s="91"/>
      <c r="D663" s="91"/>
      <c r="E663" s="91"/>
      <c r="F663" s="92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</row>
    <row r="664">
      <c r="A664" s="91"/>
      <c r="B664" s="91"/>
      <c r="C664" s="91"/>
      <c r="D664" s="91"/>
      <c r="E664" s="91"/>
      <c r="F664" s="92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</row>
    <row r="665">
      <c r="A665" s="91"/>
      <c r="B665" s="91"/>
      <c r="C665" s="91"/>
      <c r="D665" s="91"/>
      <c r="E665" s="91"/>
      <c r="F665" s="92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</row>
    <row r="666">
      <c r="A666" s="91"/>
      <c r="B666" s="91"/>
      <c r="C666" s="91"/>
      <c r="D666" s="91"/>
      <c r="E666" s="91"/>
      <c r="F666" s="92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</row>
    <row r="667">
      <c r="A667" s="91"/>
      <c r="B667" s="91"/>
      <c r="C667" s="91"/>
      <c r="D667" s="91"/>
      <c r="E667" s="91"/>
      <c r="F667" s="92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</row>
    <row r="668">
      <c r="A668" s="91"/>
      <c r="B668" s="91"/>
      <c r="C668" s="91"/>
      <c r="D668" s="91"/>
      <c r="E668" s="91"/>
      <c r="F668" s="92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</row>
    <row r="669">
      <c r="A669" s="91"/>
      <c r="B669" s="91"/>
      <c r="C669" s="91"/>
      <c r="D669" s="91"/>
      <c r="E669" s="91"/>
      <c r="F669" s="92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</row>
    <row r="670">
      <c r="A670" s="91"/>
      <c r="B670" s="91"/>
      <c r="C670" s="91"/>
      <c r="D670" s="91"/>
      <c r="E670" s="91"/>
      <c r="F670" s="92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</row>
    <row r="671">
      <c r="A671" s="91"/>
      <c r="B671" s="91"/>
      <c r="C671" s="91"/>
      <c r="D671" s="91"/>
      <c r="E671" s="91"/>
      <c r="F671" s="92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</row>
    <row r="672">
      <c r="A672" s="91"/>
      <c r="B672" s="91"/>
      <c r="C672" s="91"/>
      <c r="D672" s="91"/>
      <c r="E672" s="91"/>
      <c r="F672" s="92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</row>
    <row r="673">
      <c r="A673" s="91"/>
      <c r="B673" s="91"/>
      <c r="C673" s="91"/>
      <c r="D673" s="91"/>
      <c r="E673" s="91"/>
      <c r="F673" s="92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</row>
    <row r="674">
      <c r="A674" s="91"/>
      <c r="B674" s="91"/>
      <c r="C674" s="91"/>
      <c r="D674" s="91"/>
      <c r="E674" s="91"/>
      <c r="F674" s="92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</row>
    <row r="675">
      <c r="A675" s="91"/>
      <c r="B675" s="91"/>
      <c r="C675" s="91"/>
      <c r="D675" s="91"/>
      <c r="E675" s="91"/>
      <c r="F675" s="92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</row>
    <row r="676">
      <c r="A676" s="91"/>
      <c r="B676" s="91"/>
      <c r="C676" s="91"/>
      <c r="D676" s="91"/>
      <c r="E676" s="91"/>
      <c r="F676" s="92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</row>
    <row r="677">
      <c r="A677" s="91"/>
      <c r="B677" s="91"/>
      <c r="C677" s="91"/>
      <c r="D677" s="91"/>
      <c r="E677" s="91"/>
      <c r="F677" s="92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</row>
    <row r="678">
      <c r="A678" s="91"/>
      <c r="B678" s="91"/>
      <c r="C678" s="91"/>
      <c r="D678" s="91"/>
      <c r="E678" s="91"/>
      <c r="F678" s="92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</row>
    <row r="679">
      <c r="A679" s="91"/>
      <c r="B679" s="91"/>
      <c r="C679" s="91"/>
      <c r="D679" s="91"/>
      <c r="E679" s="91"/>
      <c r="F679" s="92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</row>
    <row r="680">
      <c r="A680" s="91"/>
      <c r="B680" s="91"/>
      <c r="C680" s="91"/>
      <c r="D680" s="91"/>
      <c r="E680" s="91"/>
      <c r="F680" s="92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</row>
    <row r="681">
      <c r="A681" s="91"/>
      <c r="B681" s="91"/>
      <c r="C681" s="91"/>
      <c r="D681" s="91"/>
      <c r="E681" s="91"/>
      <c r="F681" s="92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</row>
    <row r="682">
      <c r="A682" s="91"/>
      <c r="B682" s="91"/>
      <c r="C682" s="91"/>
      <c r="D682" s="91"/>
      <c r="E682" s="91"/>
      <c r="F682" s="92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</row>
    <row r="683">
      <c r="A683" s="91"/>
      <c r="B683" s="91"/>
      <c r="C683" s="91"/>
      <c r="D683" s="91"/>
      <c r="E683" s="91"/>
      <c r="F683" s="92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</row>
    <row r="684">
      <c r="A684" s="91"/>
      <c r="B684" s="91"/>
      <c r="C684" s="91"/>
      <c r="D684" s="91"/>
      <c r="E684" s="91"/>
      <c r="F684" s="92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</row>
    <row r="685">
      <c r="A685" s="91"/>
      <c r="B685" s="91"/>
      <c r="C685" s="91"/>
      <c r="D685" s="91"/>
      <c r="E685" s="91"/>
      <c r="F685" s="92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</row>
    <row r="686">
      <c r="A686" s="91"/>
      <c r="B686" s="91"/>
      <c r="C686" s="91"/>
      <c r="D686" s="91"/>
      <c r="E686" s="91"/>
      <c r="F686" s="92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</row>
    <row r="687">
      <c r="A687" s="91"/>
      <c r="B687" s="91"/>
      <c r="C687" s="91"/>
      <c r="D687" s="91"/>
      <c r="E687" s="91"/>
      <c r="F687" s="92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</row>
    <row r="688">
      <c r="A688" s="91"/>
      <c r="B688" s="91"/>
      <c r="C688" s="91"/>
      <c r="D688" s="91"/>
      <c r="E688" s="91"/>
      <c r="F688" s="92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</row>
    <row r="689">
      <c r="A689" s="91"/>
      <c r="B689" s="91"/>
      <c r="C689" s="91"/>
      <c r="D689" s="91"/>
      <c r="E689" s="91"/>
      <c r="F689" s="92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</row>
    <row r="690">
      <c r="A690" s="91"/>
      <c r="B690" s="91"/>
      <c r="C690" s="91"/>
      <c r="D690" s="91"/>
      <c r="E690" s="91"/>
      <c r="F690" s="92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</row>
    <row r="691">
      <c r="A691" s="91"/>
      <c r="B691" s="91"/>
      <c r="C691" s="91"/>
      <c r="D691" s="91"/>
      <c r="E691" s="91"/>
      <c r="F691" s="92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</row>
    <row r="692">
      <c r="A692" s="91"/>
      <c r="B692" s="91"/>
      <c r="C692" s="91"/>
      <c r="D692" s="91"/>
      <c r="E692" s="91"/>
      <c r="F692" s="92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</row>
    <row r="693">
      <c r="A693" s="91"/>
      <c r="B693" s="91"/>
      <c r="C693" s="91"/>
      <c r="D693" s="91"/>
      <c r="E693" s="91"/>
      <c r="F693" s="92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</row>
    <row r="694">
      <c r="A694" s="91"/>
      <c r="B694" s="91"/>
      <c r="C694" s="91"/>
      <c r="D694" s="91"/>
      <c r="E694" s="91"/>
      <c r="F694" s="92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</row>
    <row r="695">
      <c r="A695" s="91"/>
      <c r="B695" s="91"/>
      <c r="C695" s="91"/>
      <c r="D695" s="91"/>
      <c r="E695" s="91"/>
      <c r="F695" s="92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</row>
    <row r="696">
      <c r="A696" s="91"/>
      <c r="B696" s="91"/>
      <c r="C696" s="91"/>
      <c r="D696" s="91"/>
      <c r="E696" s="91"/>
      <c r="F696" s="92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</row>
    <row r="697">
      <c r="A697" s="91"/>
      <c r="B697" s="91"/>
      <c r="C697" s="91"/>
      <c r="D697" s="91"/>
      <c r="E697" s="91"/>
      <c r="F697" s="92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</row>
    <row r="698">
      <c r="A698" s="91"/>
      <c r="B698" s="91"/>
      <c r="C698" s="91"/>
      <c r="D698" s="91"/>
      <c r="E698" s="91"/>
      <c r="F698" s="92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</row>
    <row r="699">
      <c r="A699" s="91"/>
      <c r="B699" s="91"/>
      <c r="C699" s="91"/>
      <c r="D699" s="91"/>
      <c r="E699" s="91"/>
      <c r="F699" s="92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</row>
    <row r="700">
      <c r="A700" s="91"/>
      <c r="B700" s="91"/>
      <c r="C700" s="91"/>
      <c r="D700" s="91"/>
      <c r="E700" s="91"/>
      <c r="F700" s="92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</row>
    <row r="701">
      <c r="A701" s="91"/>
      <c r="B701" s="91"/>
      <c r="C701" s="91"/>
      <c r="D701" s="91"/>
      <c r="E701" s="91"/>
      <c r="F701" s="92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</row>
    <row r="702">
      <c r="A702" s="91"/>
      <c r="B702" s="91"/>
      <c r="C702" s="91"/>
      <c r="D702" s="91"/>
      <c r="E702" s="91"/>
      <c r="F702" s="92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</row>
    <row r="703">
      <c r="A703" s="91"/>
      <c r="B703" s="91"/>
      <c r="C703" s="91"/>
      <c r="D703" s="91"/>
      <c r="E703" s="91"/>
      <c r="F703" s="92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</row>
    <row r="704">
      <c r="A704" s="91"/>
      <c r="B704" s="91"/>
      <c r="C704" s="91"/>
      <c r="D704" s="91"/>
      <c r="E704" s="91"/>
      <c r="F704" s="92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</row>
    <row r="705">
      <c r="A705" s="91"/>
      <c r="B705" s="91"/>
      <c r="C705" s="91"/>
      <c r="D705" s="91"/>
      <c r="E705" s="91"/>
      <c r="F705" s="92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</row>
    <row r="706">
      <c r="A706" s="91"/>
      <c r="B706" s="91"/>
      <c r="C706" s="91"/>
      <c r="D706" s="91"/>
      <c r="E706" s="91"/>
      <c r="F706" s="92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</row>
    <row r="707">
      <c r="A707" s="91"/>
      <c r="B707" s="91"/>
      <c r="C707" s="91"/>
      <c r="D707" s="91"/>
      <c r="E707" s="91"/>
      <c r="F707" s="92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</row>
    <row r="708">
      <c r="A708" s="91"/>
      <c r="B708" s="91"/>
      <c r="C708" s="91"/>
      <c r="D708" s="91"/>
      <c r="E708" s="91"/>
      <c r="F708" s="92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</row>
    <row r="709">
      <c r="A709" s="91"/>
      <c r="B709" s="91"/>
      <c r="C709" s="91"/>
      <c r="D709" s="91"/>
      <c r="E709" s="91"/>
      <c r="F709" s="92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</row>
    <row r="710">
      <c r="A710" s="91"/>
      <c r="B710" s="91"/>
      <c r="C710" s="91"/>
      <c r="D710" s="91"/>
      <c r="E710" s="91"/>
      <c r="F710" s="92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</row>
    <row r="711">
      <c r="A711" s="91"/>
      <c r="B711" s="91"/>
      <c r="C711" s="91"/>
      <c r="D711" s="91"/>
      <c r="E711" s="91"/>
      <c r="F711" s="92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</row>
    <row r="712">
      <c r="A712" s="91"/>
      <c r="B712" s="91"/>
      <c r="C712" s="91"/>
      <c r="D712" s="91"/>
      <c r="E712" s="91"/>
      <c r="F712" s="92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</row>
    <row r="713">
      <c r="A713" s="91"/>
      <c r="B713" s="91"/>
      <c r="C713" s="91"/>
      <c r="D713" s="91"/>
      <c r="E713" s="91"/>
      <c r="F713" s="92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</row>
    <row r="714">
      <c r="A714" s="91"/>
      <c r="B714" s="91"/>
      <c r="C714" s="91"/>
      <c r="D714" s="91"/>
      <c r="E714" s="91"/>
      <c r="F714" s="92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</row>
    <row r="715">
      <c r="A715" s="91"/>
      <c r="B715" s="91"/>
      <c r="C715" s="91"/>
      <c r="D715" s="91"/>
      <c r="E715" s="91"/>
      <c r="F715" s="92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</row>
    <row r="716">
      <c r="A716" s="91"/>
      <c r="B716" s="91"/>
      <c r="C716" s="91"/>
      <c r="D716" s="91"/>
      <c r="E716" s="91"/>
      <c r="F716" s="92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</row>
    <row r="717">
      <c r="A717" s="91"/>
      <c r="B717" s="91"/>
      <c r="C717" s="91"/>
      <c r="D717" s="91"/>
      <c r="E717" s="91"/>
      <c r="F717" s="92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</row>
    <row r="718">
      <c r="A718" s="91"/>
      <c r="B718" s="91"/>
      <c r="C718" s="91"/>
      <c r="D718" s="91"/>
      <c r="E718" s="91"/>
      <c r="F718" s="92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</row>
    <row r="719">
      <c r="A719" s="91"/>
      <c r="B719" s="91"/>
      <c r="C719" s="91"/>
      <c r="D719" s="91"/>
      <c r="E719" s="91"/>
      <c r="F719" s="92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</row>
    <row r="720">
      <c r="A720" s="91"/>
      <c r="B720" s="91"/>
      <c r="C720" s="91"/>
      <c r="D720" s="91"/>
      <c r="E720" s="91"/>
      <c r="F720" s="92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</row>
    <row r="721">
      <c r="A721" s="91"/>
      <c r="B721" s="91"/>
      <c r="C721" s="91"/>
      <c r="D721" s="91"/>
      <c r="E721" s="91"/>
      <c r="F721" s="92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</row>
    <row r="722">
      <c r="A722" s="91"/>
      <c r="B722" s="91"/>
      <c r="C722" s="91"/>
      <c r="D722" s="91"/>
      <c r="E722" s="91"/>
      <c r="F722" s="92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</row>
    <row r="723">
      <c r="A723" s="91"/>
      <c r="B723" s="91"/>
      <c r="C723" s="91"/>
      <c r="D723" s="91"/>
      <c r="E723" s="91"/>
      <c r="F723" s="92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</row>
    <row r="724">
      <c r="A724" s="91"/>
      <c r="B724" s="91"/>
      <c r="C724" s="91"/>
      <c r="D724" s="91"/>
      <c r="E724" s="91"/>
      <c r="F724" s="92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</row>
    <row r="725">
      <c r="A725" s="91"/>
      <c r="B725" s="91"/>
      <c r="C725" s="91"/>
      <c r="D725" s="91"/>
      <c r="E725" s="91"/>
      <c r="F725" s="92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</row>
    <row r="726">
      <c r="A726" s="91"/>
      <c r="B726" s="91"/>
      <c r="C726" s="91"/>
      <c r="D726" s="91"/>
      <c r="E726" s="91"/>
      <c r="F726" s="92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</row>
    <row r="727">
      <c r="A727" s="91"/>
      <c r="B727" s="91"/>
      <c r="C727" s="91"/>
      <c r="D727" s="91"/>
      <c r="E727" s="91"/>
      <c r="F727" s="92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</row>
    <row r="728">
      <c r="A728" s="91"/>
      <c r="B728" s="91"/>
      <c r="C728" s="91"/>
      <c r="D728" s="91"/>
      <c r="E728" s="91"/>
      <c r="F728" s="92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</row>
    <row r="729">
      <c r="A729" s="91"/>
      <c r="B729" s="91"/>
      <c r="C729" s="91"/>
      <c r="D729" s="91"/>
      <c r="E729" s="91"/>
      <c r="F729" s="92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</row>
    <row r="730">
      <c r="A730" s="91"/>
      <c r="B730" s="91"/>
      <c r="C730" s="91"/>
      <c r="D730" s="91"/>
      <c r="E730" s="91"/>
      <c r="F730" s="92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</row>
    <row r="731">
      <c r="A731" s="91"/>
      <c r="B731" s="91"/>
      <c r="C731" s="91"/>
      <c r="D731" s="91"/>
      <c r="E731" s="91"/>
      <c r="F731" s="92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</row>
    <row r="732">
      <c r="A732" s="91"/>
      <c r="B732" s="91"/>
      <c r="C732" s="91"/>
      <c r="D732" s="91"/>
      <c r="E732" s="91"/>
      <c r="F732" s="92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</row>
    <row r="733">
      <c r="A733" s="91"/>
      <c r="B733" s="91"/>
      <c r="C733" s="91"/>
      <c r="D733" s="91"/>
      <c r="E733" s="91"/>
      <c r="F733" s="92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</row>
    <row r="734">
      <c r="A734" s="91"/>
      <c r="B734" s="91"/>
      <c r="C734" s="91"/>
      <c r="D734" s="91"/>
      <c r="E734" s="91"/>
      <c r="F734" s="92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</row>
    <row r="735">
      <c r="A735" s="91"/>
      <c r="B735" s="91"/>
      <c r="C735" s="91"/>
      <c r="D735" s="91"/>
      <c r="E735" s="91"/>
      <c r="F735" s="92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</row>
    <row r="736">
      <c r="A736" s="91"/>
      <c r="B736" s="91"/>
      <c r="C736" s="91"/>
      <c r="D736" s="91"/>
      <c r="E736" s="91"/>
      <c r="F736" s="92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</row>
    <row r="737">
      <c r="A737" s="91"/>
      <c r="B737" s="91"/>
      <c r="C737" s="91"/>
      <c r="D737" s="91"/>
      <c r="E737" s="91"/>
      <c r="F737" s="92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</row>
    <row r="738">
      <c r="A738" s="91"/>
      <c r="B738" s="91"/>
      <c r="C738" s="91"/>
      <c r="D738" s="91"/>
      <c r="E738" s="91"/>
      <c r="F738" s="92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</row>
    <row r="739">
      <c r="A739" s="91"/>
      <c r="B739" s="91"/>
      <c r="C739" s="91"/>
      <c r="D739" s="91"/>
      <c r="E739" s="91"/>
      <c r="F739" s="92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</row>
    <row r="740">
      <c r="A740" s="91"/>
      <c r="B740" s="91"/>
      <c r="C740" s="91"/>
      <c r="D740" s="91"/>
      <c r="E740" s="91"/>
      <c r="F740" s="92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</row>
    <row r="741">
      <c r="A741" s="91"/>
      <c r="B741" s="91"/>
      <c r="C741" s="91"/>
      <c r="D741" s="91"/>
      <c r="E741" s="91"/>
      <c r="F741" s="92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</row>
    <row r="742">
      <c r="A742" s="91"/>
      <c r="B742" s="91"/>
      <c r="C742" s="91"/>
      <c r="D742" s="91"/>
      <c r="E742" s="91"/>
      <c r="F742" s="92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</row>
    <row r="743">
      <c r="A743" s="91"/>
      <c r="B743" s="91"/>
      <c r="C743" s="91"/>
      <c r="D743" s="91"/>
      <c r="E743" s="91"/>
      <c r="F743" s="92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</row>
    <row r="744">
      <c r="A744" s="91"/>
      <c r="B744" s="91"/>
      <c r="C744" s="91"/>
      <c r="D744" s="91"/>
      <c r="E744" s="91"/>
      <c r="F744" s="92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</row>
    <row r="745">
      <c r="A745" s="91"/>
      <c r="B745" s="91"/>
      <c r="C745" s="91"/>
      <c r="D745" s="91"/>
      <c r="E745" s="91"/>
      <c r="F745" s="92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</row>
    <row r="746">
      <c r="A746" s="91"/>
      <c r="B746" s="91"/>
      <c r="C746" s="91"/>
      <c r="D746" s="91"/>
      <c r="E746" s="91"/>
      <c r="F746" s="92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</row>
    <row r="747">
      <c r="A747" s="91"/>
      <c r="B747" s="91"/>
      <c r="C747" s="91"/>
      <c r="D747" s="91"/>
      <c r="E747" s="91"/>
      <c r="F747" s="92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</row>
    <row r="748">
      <c r="A748" s="91"/>
      <c r="B748" s="91"/>
      <c r="C748" s="91"/>
      <c r="D748" s="91"/>
      <c r="E748" s="91"/>
      <c r="F748" s="92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</row>
    <row r="749">
      <c r="A749" s="91"/>
      <c r="B749" s="91"/>
      <c r="C749" s="91"/>
      <c r="D749" s="91"/>
      <c r="E749" s="91"/>
      <c r="F749" s="92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</row>
    <row r="750">
      <c r="A750" s="91"/>
      <c r="B750" s="91"/>
      <c r="C750" s="91"/>
      <c r="D750" s="91"/>
      <c r="E750" s="91"/>
      <c r="F750" s="92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</row>
    <row r="751">
      <c r="A751" s="91"/>
      <c r="B751" s="91"/>
      <c r="C751" s="91"/>
      <c r="D751" s="91"/>
      <c r="E751" s="91"/>
      <c r="F751" s="92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</row>
    <row r="752">
      <c r="A752" s="91"/>
      <c r="B752" s="91"/>
      <c r="C752" s="91"/>
      <c r="D752" s="91"/>
      <c r="E752" s="91"/>
      <c r="F752" s="92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</row>
    <row r="753">
      <c r="A753" s="91"/>
      <c r="B753" s="91"/>
      <c r="C753" s="91"/>
      <c r="D753" s="91"/>
      <c r="E753" s="91"/>
      <c r="F753" s="92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</row>
    <row r="754">
      <c r="A754" s="91"/>
      <c r="B754" s="91"/>
      <c r="C754" s="91"/>
      <c r="D754" s="91"/>
      <c r="E754" s="91"/>
      <c r="F754" s="92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</row>
    <row r="755">
      <c r="A755" s="91"/>
      <c r="B755" s="91"/>
      <c r="C755" s="91"/>
      <c r="D755" s="91"/>
      <c r="E755" s="91"/>
      <c r="F755" s="92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</row>
    <row r="756">
      <c r="A756" s="91"/>
      <c r="B756" s="91"/>
      <c r="C756" s="91"/>
      <c r="D756" s="91"/>
      <c r="E756" s="91"/>
      <c r="F756" s="92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</row>
    <row r="757">
      <c r="A757" s="91"/>
      <c r="B757" s="91"/>
      <c r="C757" s="91"/>
      <c r="D757" s="91"/>
      <c r="E757" s="91"/>
      <c r="F757" s="92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</row>
    <row r="758">
      <c r="A758" s="91"/>
      <c r="B758" s="91"/>
      <c r="C758" s="91"/>
      <c r="D758" s="91"/>
      <c r="E758" s="91"/>
      <c r="F758" s="92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</row>
    <row r="759">
      <c r="A759" s="91"/>
      <c r="B759" s="91"/>
      <c r="C759" s="91"/>
      <c r="D759" s="91"/>
      <c r="E759" s="91"/>
      <c r="F759" s="92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</row>
    <row r="760">
      <c r="A760" s="91"/>
      <c r="B760" s="91"/>
      <c r="C760" s="91"/>
      <c r="D760" s="91"/>
      <c r="E760" s="91"/>
      <c r="F760" s="92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</row>
    <row r="761">
      <c r="A761" s="91"/>
      <c r="B761" s="91"/>
      <c r="C761" s="91"/>
      <c r="D761" s="91"/>
      <c r="E761" s="91"/>
      <c r="F761" s="92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</row>
    <row r="762">
      <c r="A762" s="91"/>
      <c r="B762" s="91"/>
      <c r="C762" s="91"/>
      <c r="D762" s="91"/>
      <c r="E762" s="91"/>
      <c r="F762" s="92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</row>
    <row r="763">
      <c r="A763" s="91"/>
      <c r="B763" s="91"/>
      <c r="C763" s="91"/>
      <c r="D763" s="91"/>
      <c r="E763" s="91"/>
      <c r="F763" s="92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</row>
    <row r="764">
      <c r="A764" s="91"/>
      <c r="B764" s="91"/>
      <c r="C764" s="91"/>
      <c r="D764" s="91"/>
      <c r="E764" s="91"/>
      <c r="F764" s="92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</row>
    <row r="765">
      <c r="A765" s="91"/>
      <c r="B765" s="91"/>
      <c r="C765" s="91"/>
      <c r="D765" s="91"/>
      <c r="E765" s="91"/>
      <c r="F765" s="92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</row>
    <row r="766">
      <c r="A766" s="91"/>
      <c r="B766" s="91"/>
      <c r="C766" s="91"/>
      <c r="D766" s="91"/>
      <c r="E766" s="91"/>
      <c r="F766" s="92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</row>
    <row r="767">
      <c r="A767" s="91"/>
      <c r="B767" s="91"/>
      <c r="C767" s="91"/>
      <c r="D767" s="91"/>
      <c r="E767" s="91"/>
      <c r="F767" s="92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</row>
    <row r="768">
      <c r="A768" s="91"/>
      <c r="B768" s="91"/>
      <c r="C768" s="91"/>
      <c r="D768" s="91"/>
      <c r="E768" s="91"/>
      <c r="F768" s="92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</row>
    <row r="769">
      <c r="A769" s="91"/>
      <c r="B769" s="91"/>
      <c r="C769" s="91"/>
      <c r="D769" s="91"/>
      <c r="E769" s="91"/>
      <c r="F769" s="92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</row>
    <row r="770">
      <c r="A770" s="91"/>
      <c r="B770" s="91"/>
      <c r="C770" s="91"/>
      <c r="D770" s="91"/>
      <c r="E770" s="91"/>
      <c r="F770" s="92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</row>
    <row r="771">
      <c r="A771" s="91"/>
      <c r="B771" s="91"/>
      <c r="C771" s="91"/>
      <c r="D771" s="91"/>
      <c r="E771" s="91"/>
      <c r="F771" s="92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</row>
    <row r="772">
      <c r="A772" s="91"/>
      <c r="B772" s="91"/>
      <c r="C772" s="91"/>
      <c r="D772" s="91"/>
      <c r="E772" s="91"/>
      <c r="F772" s="92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</row>
    <row r="773">
      <c r="A773" s="91"/>
      <c r="B773" s="91"/>
      <c r="C773" s="91"/>
      <c r="D773" s="91"/>
      <c r="E773" s="91"/>
      <c r="F773" s="92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</row>
    <row r="774">
      <c r="A774" s="91"/>
      <c r="B774" s="91"/>
      <c r="C774" s="91"/>
      <c r="D774" s="91"/>
      <c r="E774" s="91"/>
      <c r="F774" s="92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</row>
    <row r="775">
      <c r="A775" s="91"/>
      <c r="B775" s="91"/>
      <c r="C775" s="91"/>
      <c r="D775" s="91"/>
      <c r="E775" s="91"/>
      <c r="F775" s="92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</row>
    <row r="776">
      <c r="A776" s="91"/>
      <c r="B776" s="91"/>
      <c r="C776" s="91"/>
      <c r="D776" s="91"/>
      <c r="E776" s="91"/>
      <c r="F776" s="92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</row>
    <row r="777">
      <c r="A777" s="91"/>
      <c r="B777" s="91"/>
      <c r="C777" s="91"/>
      <c r="D777" s="91"/>
      <c r="E777" s="91"/>
      <c r="F777" s="92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</row>
    <row r="778">
      <c r="A778" s="91"/>
      <c r="B778" s="91"/>
      <c r="C778" s="91"/>
      <c r="D778" s="91"/>
      <c r="E778" s="91"/>
      <c r="F778" s="92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</row>
    <row r="779">
      <c r="A779" s="91"/>
      <c r="B779" s="91"/>
      <c r="C779" s="91"/>
      <c r="D779" s="91"/>
      <c r="E779" s="91"/>
      <c r="F779" s="92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</row>
    <row r="780">
      <c r="A780" s="91"/>
      <c r="B780" s="91"/>
      <c r="C780" s="91"/>
      <c r="D780" s="91"/>
      <c r="E780" s="91"/>
      <c r="F780" s="92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</row>
    <row r="781">
      <c r="A781" s="91"/>
      <c r="B781" s="91"/>
      <c r="C781" s="91"/>
      <c r="D781" s="91"/>
      <c r="E781" s="91"/>
      <c r="F781" s="92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</row>
    <row r="782">
      <c r="A782" s="91"/>
      <c r="B782" s="91"/>
      <c r="C782" s="91"/>
      <c r="D782" s="91"/>
      <c r="E782" s="91"/>
      <c r="F782" s="92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</row>
    <row r="783">
      <c r="A783" s="91"/>
      <c r="B783" s="91"/>
      <c r="C783" s="91"/>
      <c r="D783" s="91"/>
      <c r="E783" s="91"/>
      <c r="F783" s="92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</row>
    <row r="784">
      <c r="A784" s="91"/>
      <c r="B784" s="91"/>
      <c r="C784" s="91"/>
      <c r="D784" s="91"/>
      <c r="E784" s="91"/>
      <c r="F784" s="92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</row>
    <row r="785">
      <c r="A785" s="91"/>
      <c r="B785" s="91"/>
      <c r="C785" s="91"/>
      <c r="D785" s="91"/>
      <c r="E785" s="91"/>
      <c r="F785" s="92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</row>
    <row r="786">
      <c r="A786" s="91"/>
      <c r="B786" s="91"/>
      <c r="C786" s="91"/>
      <c r="D786" s="91"/>
      <c r="E786" s="91"/>
      <c r="F786" s="92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</row>
    <row r="787">
      <c r="A787" s="91"/>
      <c r="B787" s="91"/>
      <c r="C787" s="91"/>
      <c r="D787" s="91"/>
      <c r="E787" s="91"/>
      <c r="F787" s="92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</row>
    <row r="788">
      <c r="A788" s="91"/>
      <c r="B788" s="91"/>
      <c r="C788" s="91"/>
      <c r="D788" s="91"/>
      <c r="E788" s="91"/>
      <c r="F788" s="92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</row>
    <row r="789">
      <c r="A789" s="91"/>
      <c r="B789" s="91"/>
      <c r="C789" s="91"/>
      <c r="D789" s="91"/>
      <c r="E789" s="91"/>
      <c r="F789" s="92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</row>
    <row r="790">
      <c r="A790" s="91"/>
      <c r="B790" s="91"/>
      <c r="C790" s="91"/>
      <c r="D790" s="91"/>
      <c r="E790" s="91"/>
      <c r="F790" s="92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</row>
    <row r="791">
      <c r="A791" s="91"/>
      <c r="B791" s="91"/>
      <c r="C791" s="91"/>
      <c r="D791" s="91"/>
      <c r="E791" s="91"/>
      <c r="F791" s="92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</row>
    <row r="792">
      <c r="A792" s="91"/>
      <c r="B792" s="91"/>
      <c r="C792" s="91"/>
      <c r="D792" s="91"/>
      <c r="E792" s="91"/>
      <c r="F792" s="92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</row>
    <row r="793">
      <c r="A793" s="91"/>
      <c r="B793" s="91"/>
      <c r="C793" s="91"/>
      <c r="D793" s="91"/>
      <c r="E793" s="91"/>
      <c r="F793" s="92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</row>
    <row r="794">
      <c r="A794" s="91"/>
      <c r="B794" s="91"/>
      <c r="C794" s="91"/>
      <c r="D794" s="91"/>
      <c r="E794" s="91"/>
      <c r="F794" s="92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</row>
    <row r="795">
      <c r="A795" s="91"/>
      <c r="B795" s="91"/>
      <c r="C795" s="91"/>
      <c r="D795" s="91"/>
      <c r="E795" s="91"/>
      <c r="F795" s="92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</row>
    <row r="796">
      <c r="A796" s="91"/>
      <c r="B796" s="91"/>
      <c r="C796" s="91"/>
      <c r="D796" s="91"/>
      <c r="E796" s="91"/>
      <c r="F796" s="92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</row>
    <row r="797">
      <c r="A797" s="91"/>
      <c r="B797" s="91"/>
      <c r="C797" s="91"/>
      <c r="D797" s="91"/>
      <c r="E797" s="91"/>
      <c r="F797" s="92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</row>
    <row r="798">
      <c r="A798" s="91"/>
      <c r="B798" s="91"/>
      <c r="C798" s="91"/>
      <c r="D798" s="91"/>
      <c r="E798" s="91"/>
      <c r="F798" s="92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</row>
    <row r="799">
      <c r="A799" s="91"/>
      <c r="B799" s="91"/>
      <c r="C799" s="91"/>
      <c r="D799" s="91"/>
      <c r="E799" s="91"/>
      <c r="F799" s="92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</row>
    <row r="800">
      <c r="A800" s="91"/>
      <c r="B800" s="91"/>
      <c r="C800" s="91"/>
      <c r="D800" s="91"/>
      <c r="E800" s="91"/>
      <c r="F800" s="92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</row>
    <row r="801">
      <c r="A801" s="91"/>
      <c r="B801" s="91"/>
      <c r="C801" s="91"/>
      <c r="D801" s="91"/>
      <c r="E801" s="91"/>
      <c r="F801" s="92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</row>
    <row r="802">
      <c r="A802" s="91"/>
      <c r="B802" s="91"/>
      <c r="C802" s="91"/>
      <c r="D802" s="91"/>
      <c r="E802" s="91"/>
      <c r="F802" s="92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</row>
    <row r="803">
      <c r="A803" s="91"/>
      <c r="B803" s="91"/>
      <c r="C803" s="91"/>
      <c r="D803" s="91"/>
      <c r="E803" s="91"/>
      <c r="F803" s="92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</row>
    <row r="804">
      <c r="A804" s="91"/>
      <c r="B804" s="91"/>
      <c r="C804" s="91"/>
      <c r="D804" s="91"/>
      <c r="E804" s="91"/>
      <c r="F804" s="92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</row>
    <row r="805">
      <c r="A805" s="91"/>
      <c r="B805" s="91"/>
      <c r="C805" s="91"/>
      <c r="D805" s="91"/>
      <c r="E805" s="91"/>
      <c r="F805" s="92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</row>
    <row r="806">
      <c r="A806" s="91"/>
      <c r="B806" s="91"/>
      <c r="C806" s="91"/>
      <c r="D806" s="91"/>
      <c r="E806" s="91"/>
      <c r="F806" s="92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</row>
    <row r="807">
      <c r="A807" s="91"/>
      <c r="B807" s="91"/>
      <c r="C807" s="91"/>
      <c r="D807" s="91"/>
      <c r="E807" s="91"/>
      <c r="F807" s="92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</row>
    <row r="808">
      <c r="A808" s="91"/>
      <c r="B808" s="91"/>
      <c r="C808" s="91"/>
      <c r="D808" s="91"/>
      <c r="E808" s="91"/>
      <c r="F808" s="92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</row>
    <row r="809">
      <c r="A809" s="91"/>
      <c r="B809" s="91"/>
      <c r="C809" s="91"/>
      <c r="D809" s="91"/>
      <c r="E809" s="91"/>
      <c r="F809" s="92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</row>
    <row r="810">
      <c r="A810" s="91"/>
      <c r="B810" s="91"/>
      <c r="C810" s="91"/>
      <c r="D810" s="91"/>
      <c r="E810" s="91"/>
      <c r="F810" s="92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</row>
    <row r="811">
      <c r="A811" s="91"/>
      <c r="B811" s="91"/>
      <c r="C811" s="91"/>
      <c r="D811" s="91"/>
      <c r="E811" s="91"/>
      <c r="F811" s="92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</row>
    <row r="812">
      <c r="A812" s="91"/>
      <c r="B812" s="91"/>
      <c r="C812" s="91"/>
      <c r="D812" s="91"/>
      <c r="E812" s="91"/>
      <c r="F812" s="92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</row>
    <row r="813">
      <c r="A813" s="91"/>
      <c r="B813" s="91"/>
      <c r="C813" s="91"/>
      <c r="D813" s="91"/>
      <c r="E813" s="91"/>
      <c r="F813" s="92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</row>
    <row r="814">
      <c r="A814" s="91"/>
      <c r="B814" s="91"/>
      <c r="C814" s="91"/>
      <c r="D814" s="91"/>
      <c r="E814" s="91"/>
      <c r="F814" s="92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</row>
    <row r="815">
      <c r="A815" s="91"/>
      <c r="B815" s="91"/>
      <c r="C815" s="91"/>
      <c r="D815" s="91"/>
      <c r="E815" s="91"/>
      <c r="F815" s="92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</row>
    <row r="816">
      <c r="A816" s="91"/>
      <c r="B816" s="91"/>
      <c r="C816" s="91"/>
      <c r="D816" s="91"/>
      <c r="E816" s="91"/>
      <c r="F816" s="92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</row>
    <row r="817">
      <c r="A817" s="91"/>
      <c r="B817" s="91"/>
      <c r="C817" s="91"/>
      <c r="D817" s="91"/>
      <c r="E817" s="91"/>
      <c r="F817" s="92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</row>
    <row r="818">
      <c r="A818" s="91"/>
      <c r="B818" s="91"/>
      <c r="C818" s="91"/>
      <c r="D818" s="91"/>
      <c r="E818" s="91"/>
      <c r="F818" s="92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</row>
    <row r="819">
      <c r="A819" s="91"/>
      <c r="B819" s="91"/>
      <c r="C819" s="91"/>
      <c r="D819" s="91"/>
      <c r="E819" s="91"/>
      <c r="F819" s="92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</row>
    <row r="820">
      <c r="A820" s="91"/>
      <c r="B820" s="91"/>
      <c r="C820" s="91"/>
      <c r="D820" s="91"/>
      <c r="E820" s="91"/>
      <c r="F820" s="92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</row>
    <row r="821">
      <c r="A821" s="91"/>
      <c r="B821" s="91"/>
      <c r="C821" s="91"/>
      <c r="D821" s="91"/>
      <c r="E821" s="91"/>
      <c r="F821" s="92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</row>
    <row r="822">
      <c r="A822" s="91"/>
      <c r="B822" s="91"/>
      <c r="C822" s="91"/>
      <c r="D822" s="91"/>
      <c r="E822" s="91"/>
      <c r="F822" s="92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</row>
    <row r="823">
      <c r="A823" s="91"/>
      <c r="B823" s="91"/>
      <c r="C823" s="91"/>
      <c r="D823" s="91"/>
      <c r="E823" s="91"/>
      <c r="F823" s="92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</row>
    <row r="824">
      <c r="A824" s="91"/>
      <c r="B824" s="91"/>
      <c r="C824" s="91"/>
      <c r="D824" s="91"/>
      <c r="E824" s="91"/>
      <c r="F824" s="92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</row>
    <row r="825">
      <c r="A825" s="91"/>
      <c r="B825" s="91"/>
      <c r="C825" s="91"/>
      <c r="D825" s="91"/>
      <c r="E825" s="91"/>
      <c r="F825" s="92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</row>
    <row r="826">
      <c r="A826" s="91"/>
      <c r="B826" s="91"/>
      <c r="C826" s="91"/>
      <c r="D826" s="91"/>
      <c r="E826" s="91"/>
      <c r="F826" s="92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</row>
    <row r="827">
      <c r="A827" s="91"/>
      <c r="B827" s="91"/>
      <c r="C827" s="91"/>
      <c r="D827" s="91"/>
      <c r="E827" s="91"/>
      <c r="F827" s="92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</row>
    <row r="828">
      <c r="A828" s="91"/>
      <c r="B828" s="91"/>
      <c r="C828" s="91"/>
      <c r="D828" s="91"/>
      <c r="E828" s="91"/>
      <c r="F828" s="92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</row>
    <row r="829">
      <c r="A829" s="91"/>
      <c r="B829" s="91"/>
      <c r="C829" s="91"/>
      <c r="D829" s="91"/>
      <c r="E829" s="91"/>
      <c r="F829" s="92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</row>
    <row r="830">
      <c r="A830" s="91"/>
      <c r="B830" s="91"/>
      <c r="C830" s="91"/>
      <c r="D830" s="91"/>
      <c r="E830" s="91"/>
      <c r="F830" s="92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</row>
    <row r="831">
      <c r="A831" s="91"/>
      <c r="B831" s="91"/>
      <c r="C831" s="91"/>
      <c r="D831" s="91"/>
      <c r="E831" s="91"/>
      <c r="F831" s="92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</row>
    <row r="832">
      <c r="A832" s="91"/>
      <c r="B832" s="91"/>
      <c r="C832" s="91"/>
      <c r="D832" s="91"/>
      <c r="E832" s="91"/>
      <c r="F832" s="92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</row>
    <row r="833">
      <c r="A833" s="91"/>
      <c r="B833" s="91"/>
      <c r="C833" s="91"/>
      <c r="D833" s="91"/>
      <c r="E833" s="91"/>
      <c r="F833" s="92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</row>
    <row r="834">
      <c r="A834" s="91"/>
      <c r="B834" s="91"/>
      <c r="C834" s="91"/>
      <c r="D834" s="91"/>
      <c r="E834" s="91"/>
      <c r="F834" s="92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</row>
    <row r="835">
      <c r="A835" s="91"/>
      <c r="B835" s="91"/>
      <c r="C835" s="91"/>
      <c r="D835" s="91"/>
      <c r="E835" s="91"/>
      <c r="F835" s="92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</row>
    <row r="836">
      <c r="A836" s="91"/>
      <c r="B836" s="91"/>
      <c r="C836" s="91"/>
      <c r="D836" s="91"/>
      <c r="E836" s="91"/>
      <c r="F836" s="92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</row>
    <row r="837">
      <c r="A837" s="91"/>
      <c r="B837" s="91"/>
      <c r="C837" s="91"/>
      <c r="D837" s="91"/>
      <c r="E837" s="91"/>
      <c r="F837" s="92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</row>
    <row r="838">
      <c r="A838" s="91"/>
      <c r="B838" s="91"/>
      <c r="C838" s="91"/>
      <c r="D838" s="91"/>
      <c r="E838" s="91"/>
      <c r="F838" s="92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</row>
    <row r="839">
      <c r="A839" s="91"/>
      <c r="B839" s="91"/>
      <c r="C839" s="91"/>
      <c r="D839" s="91"/>
      <c r="E839" s="91"/>
      <c r="F839" s="92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</row>
    <row r="840">
      <c r="A840" s="91"/>
      <c r="B840" s="91"/>
      <c r="C840" s="91"/>
      <c r="D840" s="91"/>
      <c r="E840" s="91"/>
      <c r="F840" s="92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</row>
    <row r="841">
      <c r="A841" s="91"/>
      <c r="B841" s="91"/>
      <c r="C841" s="91"/>
      <c r="D841" s="91"/>
      <c r="E841" s="91"/>
      <c r="F841" s="92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</row>
    <row r="842">
      <c r="A842" s="91"/>
      <c r="B842" s="91"/>
      <c r="C842" s="91"/>
      <c r="D842" s="91"/>
      <c r="E842" s="91"/>
      <c r="F842" s="92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</row>
    <row r="843">
      <c r="A843" s="91"/>
      <c r="B843" s="91"/>
      <c r="C843" s="91"/>
      <c r="D843" s="91"/>
      <c r="E843" s="91"/>
      <c r="F843" s="92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</row>
    <row r="844">
      <c r="A844" s="91"/>
      <c r="B844" s="91"/>
      <c r="C844" s="91"/>
      <c r="D844" s="91"/>
      <c r="E844" s="91"/>
      <c r="F844" s="92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</row>
    <row r="845">
      <c r="A845" s="91"/>
      <c r="B845" s="91"/>
      <c r="C845" s="91"/>
      <c r="D845" s="91"/>
      <c r="E845" s="91"/>
      <c r="F845" s="92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</row>
    <row r="846">
      <c r="A846" s="91"/>
      <c r="B846" s="91"/>
      <c r="C846" s="91"/>
      <c r="D846" s="91"/>
      <c r="E846" s="91"/>
      <c r="F846" s="92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</row>
    <row r="847">
      <c r="A847" s="91"/>
      <c r="B847" s="91"/>
      <c r="C847" s="91"/>
      <c r="D847" s="91"/>
      <c r="E847" s="91"/>
      <c r="F847" s="92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</row>
    <row r="848">
      <c r="A848" s="91"/>
      <c r="B848" s="91"/>
      <c r="C848" s="91"/>
      <c r="D848" s="91"/>
      <c r="E848" s="91"/>
      <c r="F848" s="92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</row>
    <row r="849">
      <c r="A849" s="91"/>
      <c r="B849" s="91"/>
      <c r="C849" s="91"/>
      <c r="D849" s="91"/>
      <c r="E849" s="91"/>
      <c r="F849" s="92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</row>
    <row r="850">
      <c r="A850" s="91"/>
      <c r="B850" s="91"/>
      <c r="C850" s="91"/>
      <c r="D850" s="91"/>
      <c r="E850" s="91"/>
      <c r="F850" s="92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</row>
    <row r="851">
      <c r="A851" s="91"/>
      <c r="B851" s="91"/>
      <c r="C851" s="91"/>
      <c r="D851" s="91"/>
      <c r="E851" s="91"/>
      <c r="F851" s="92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</row>
    <row r="852">
      <c r="A852" s="91"/>
      <c r="B852" s="91"/>
      <c r="C852" s="91"/>
      <c r="D852" s="91"/>
      <c r="E852" s="91"/>
      <c r="F852" s="92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</row>
    <row r="853">
      <c r="A853" s="91"/>
      <c r="B853" s="91"/>
      <c r="C853" s="91"/>
      <c r="D853" s="91"/>
      <c r="E853" s="91"/>
      <c r="F853" s="92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</row>
    <row r="854">
      <c r="A854" s="91"/>
      <c r="B854" s="91"/>
      <c r="C854" s="91"/>
      <c r="D854" s="91"/>
      <c r="E854" s="91"/>
      <c r="F854" s="92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</row>
    <row r="855">
      <c r="A855" s="91"/>
      <c r="B855" s="91"/>
      <c r="C855" s="91"/>
      <c r="D855" s="91"/>
      <c r="E855" s="91"/>
      <c r="F855" s="92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</row>
    <row r="856">
      <c r="A856" s="91"/>
      <c r="B856" s="91"/>
      <c r="C856" s="91"/>
      <c r="D856" s="91"/>
      <c r="E856" s="91"/>
      <c r="F856" s="92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</row>
    <row r="857">
      <c r="A857" s="91"/>
      <c r="B857" s="91"/>
      <c r="C857" s="91"/>
      <c r="D857" s="91"/>
      <c r="E857" s="91"/>
      <c r="F857" s="92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</row>
    <row r="858">
      <c r="A858" s="91"/>
      <c r="B858" s="91"/>
      <c r="C858" s="91"/>
      <c r="D858" s="91"/>
      <c r="E858" s="91"/>
      <c r="F858" s="92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</row>
    <row r="859">
      <c r="A859" s="91"/>
      <c r="B859" s="91"/>
      <c r="C859" s="91"/>
      <c r="D859" s="91"/>
      <c r="E859" s="91"/>
      <c r="F859" s="92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</row>
    <row r="860">
      <c r="A860" s="91"/>
      <c r="B860" s="91"/>
      <c r="C860" s="91"/>
      <c r="D860" s="91"/>
      <c r="E860" s="91"/>
      <c r="F860" s="92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</row>
    <row r="861">
      <c r="A861" s="91"/>
      <c r="B861" s="91"/>
      <c r="C861" s="91"/>
      <c r="D861" s="91"/>
      <c r="E861" s="91"/>
      <c r="F861" s="92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</row>
    <row r="862">
      <c r="A862" s="91"/>
      <c r="B862" s="91"/>
      <c r="C862" s="91"/>
      <c r="D862" s="91"/>
      <c r="E862" s="91"/>
      <c r="F862" s="92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</row>
    <row r="863">
      <c r="A863" s="91"/>
      <c r="B863" s="91"/>
      <c r="C863" s="91"/>
      <c r="D863" s="91"/>
      <c r="E863" s="91"/>
      <c r="F863" s="92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</row>
    <row r="864">
      <c r="A864" s="91"/>
      <c r="B864" s="91"/>
      <c r="C864" s="91"/>
      <c r="D864" s="91"/>
      <c r="E864" s="91"/>
      <c r="F864" s="92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</row>
    <row r="865">
      <c r="A865" s="91"/>
      <c r="B865" s="91"/>
      <c r="C865" s="91"/>
      <c r="D865" s="91"/>
      <c r="E865" s="91"/>
      <c r="F865" s="92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</row>
    <row r="866">
      <c r="A866" s="91"/>
      <c r="B866" s="91"/>
      <c r="C866" s="91"/>
      <c r="D866" s="91"/>
      <c r="E866" s="91"/>
      <c r="F866" s="92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</row>
    <row r="867">
      <c r="A867" s="91"/>
      <c r="B867" s="91"/>
      <c r="C867" s="91"/>
      <c r="D867" s="91"/>
      <c r="E867" s="91"/>
      <c r="F867" s="92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</row>
    <row r="868">
      <c r="A868" s="91"/>
      <c r="B868" s="91"/>
      <c r="C868" s="91"/>
      <c r="D868" s="91"/>
      <c r="E868" s="91"/>
      <c r="F868" s="92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</row>
    <row r="869">
      <c r="A869" s="91"/>
      <c r="B869" s="91"/>
      <c r="C869" s="91"/>
      <c r="D869" s="91"/>
      <c r="E869" s="91"/>
      <c r="F869" s="92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</row>
    <row r="870">
      <c r="A870" s="91"/>
      <c r="B870" s="91"/>
      <c r="C870" s="91"/>
      <c r="D870" s="91"/>
      <c r="E870" s="91"/>
      <c r="F870" s="92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</row>
    <row r="871">
      <c r="A871" s="91"/>
      <c r="B871" s="91"/>
      <c r="C871" s="91"/>
      <c r="D871" s="91"/>
      <c r="E871" s="91"/>
      <c r="F871" s="92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</row>
    <row r="872">
      <c r="A872" s="91"/>
      <c r="B872" s="91"/>
      <c r="C872" s="91"/>
      <c r="D872" s="91"/>
      <c r="E872" s="91"/>
      <c r="F872" s="92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</row>
    <row r="873">
      <c r="A873" s="91"/>
      <c r="B873" s="91"/>
      <c r="C873" s="91"/>
      <c r="D873" s="91"/>
      <c r="E873" s="91"/>
      <c r="F873" s="92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</row>
    <row r="874">
      <c r="A874" s="91"/>
      <c r="B874" s="91"/>
      <c r="C874" s="91"/>
      <c r="D874" s="91"/>
      <c r="E874" s="91"/>
      <c r="F874" s="92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</row>
    <row r="875">
      <c r="A875" s="91"/>
      <c r="B875" s="91"/>
      <c r="C875" s="91"/>
      <c r="D875" s="91"/>
      <c r="E875" s="91"/>
      <c r="F875" s="92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</row>
    <row r="876">
      <c r="A876" s="91"/>
      <c r="B876" s="91"/>
      <c r="C876" s="91"/>
      <c r="D876" s="91"/>
      <c r="E876" s="91"/>
      <c r="F876" s="92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</row>
    <row r="877">
      <c r="A877" s="91"/>
      <c r="B877" s="91"/>
      <c r="C877" s="91"/>
      <c r="D877" s="91"/>
      <c r="E877" s="91"/>
      <c r="F877" s="92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</row>
    <row r="878">
      <c r="A878" s="91"/>
      <c r="B878" s="91"/>
      <c r="C878" s="91"/>
      <c r="D878" s="91"/>
      <c r="E878" s="91"/>
      <c r="F878" s="92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</row>
    <row r="879">
      <c r="A879" s="91"/>
      <c r="B879" s="91"/>
      <c r="C879" s="91"/>
      <c r="D879" s="91"/>
      <c r="E879" s="91"/>
      <c r="F879" s="92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</row>
    <row r="880">
      <c r="A880" s="91"/>
      <c r="B880" s="91"/>
      <c r="C880" s="91"/>
      <c r="D880" s="91"/>
      <c r="E880" s="91"/>
      <c r="F880" s="92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</row>
    <row r="881">
      <c r="A881" s="91"/>
      <c r="B881" s="91"/>
      <c r="C881" s="91"/>
      <c r="D881" s="91"/>
      <c r="E881" s="91"/>
      <c r="F881" s="92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</row>
    <row r="882">
      <c r="A882" s="91"/>
      <c r="B882" s="91"/>
      <c r="C882" s="91"/>
      <c r="D882" s="91"/>
      <c r="E882" s="91"/>
      <c r="F882" s="92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</row>
    <row r="883">
      <c r="A883" s="91"/>
      <c r="B883" s="91"/>
      <c r="C883" s="91"/>
      <c r="D883" s="91"/>
      <c r="E883" s="91"/>
      <c r="F883" s="92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</row>
    <row r="884">
      <c r="A884" s="91"/>
      <c r="B884" s="91"/>
      <c r="C884" s="91"/>
      <c r="D884" s="91"/>
      <c r="E884" s="91"/>
      <c r="F884" s="92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</row>
    <row r="885">
      <c r="A885" s="91"/>
      <c r="B885" s="91"/>
      <c r="C885" s="91"/>
      <c r="D885" s="91"/>
      <c r="E885" s="91"/>
      <c r="F885" s="92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</row>
    <row r="886">
      <c r="A886" s="91"/>
      <c r="B886" s="91"/>
      <c r="C886" s="91"/>
      <c r="D886" s="91"/>
      <c r="E886" s="91"/>
      <c r="F886" s="92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</row>
    <row r="887">
      <c r="A887" s="91"/>
      <c r="B887" s="91"/>
      <c r="C887" s="91"/>
      <c r="D887" s="91"/>
      <c r="E887" s="91"/>
      <c r="F887" s="92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</row>
    <row r="888">
      <c r="A888" s="91"/>
      <c r="B888" s="91"/>
      <c r="C888" s="91"/>
      <c r="D888" s="91"/>
      <c r="E888" s="91"/>
      <c r="F888" s="92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</row>
    <row r="889">
      <c r="A889" s="91"/>
      <c r="B889" s="91"/>
      <c r="C889" s="91"/>
      <c r="D889" s="91"/>
      <c r="E889" s="91"/>
      <c r="F889" s="92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</row>
    <row r="890">
      <c r="A890" s="91"/>
      <c r="B890" s="91"/>
      <c r="C890" s="91"/>
      <c r="D890" s="91"/>
      <c r="E890" s="91"/>
      <c r="F890" s="92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</row>
    <row r="891">
      <c r="A891" s="91"/>
      <c r="B891" s="91"/>
      <c r="C891" s="91"/>
      <c r="D891" s="91"/>
      <c r="E891" s="91"/>
      <c r="F891" s="92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</row>
    <row r="892">
      <c r="A892" s="91"/>
      <c r="B892" s="91"/>
      <c r="C892" s="91"/>
      <c r="D892" s="91"/>
      <c r="E892" s="91"/>
      <c r="F892" s="92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</row>
    <row r="893">
      <c r="A893" s="91"/>
      <c r="B893" s="91"/>
      <c r="C893" s="91"/>
      <c r="D893" s="91"/>
      <c r="E893" s="91"/>
      <c r="F893" s="92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</row>
    <row r="894">
      <c r="A894" s="91"/>
      <c r="B894" s="91"/>
      <c r="C894" s="91"/>
      <c r="D894" s="91"/>
      <c r="E894" s="91"/>
      <c r="F894" s="92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</row>
    <row r="895">
      <c r="A895" s="91"/>
      <c r="B895" s="91"/>
      <c r="C895" s="91"/>
      <c r="D895" s="91"/>
      <c r="E895" s="91"/>
      <c r="F895" s="92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</row>
    <row r="896">
      <c r="A896" s="91"/>
      <c r="B896" s="91"/>
      <c r="C896" s="91"/>
      <c r="D896" s="91"/>
      <c r="E896" s="91"/>
      <c r="F896" s="92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</row>
    <row r="897">
      <c r="A897" s="91"/>
      <c r="B897" s="91"/>
      <c r="C897" s="91"/>
      <c r="D897" s="91"/>
      <c r="E897" s="91"/>
      <c r="F897" s="92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</row>
    <row r="898">
      <c r="A898" s="91"/>
      <c r="B898" s="91"/>
      <c r="C898" s="91"/>
      <c r="D898" s="91"/>
      <c r="E898" s="91"/>
      <c r="F898" s="92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</row>
    <row r="899">
      <c r="A899" s="91"/>
      <c r="B899" s="91"/>
      <c r="C899" s="91"/>
      <c r="D899" s="91"/>
      <c r="E899" s="91"/>
      <c r="F899" s="92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</row>
    <row r="900">
      <c r="A900" s="91"/>
      <c r="B900" s="91"/>
      <c r="C900" s="91"/>
      <c r="D900" s="91"/>
      <c r="E900" s="91"/>
      <c r="F900" s="92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</row>
    <row r="901">
      <c r="A901" s="91"/>
      <c r="B901" s="91"/>
      <c r="C901" s="91"/>
      <c r="D901" s="91"/>
      <c r="E901" s="91"/>
      <c r="F901" s="92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</row>
    <row r="902">
      <c r="A902" s="91"/>
      <c r="B902" s="91"/>
      <c r="C902" s="91"/>
      <c r="D902" s="91"/>
      <c r="E902" s="91"/>
      <c r="F902" s="92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</row>
    <row r="903">
      <c r="A903" s="91"/>
      <c r="B903" s="91"/>
      <c r="C903" s="91"/>
      <c r="D903" s="91"/>
      <c r="E903" s="91"/>
      <c r="F903" s="92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</row>
    <row r="904">
      <c r="A904" s="91"/>
      <c r="B904" s="91"/>
      <c r="C904" s="91"/>
      <c r="D904" s="91"/>
      <c r="E904" s="91"/>
      <c r="F904" s="92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</row>
    <row r="905">
      <c r="A905" s="91"/>
      <c r="B905" s="91"/>
      <c r="C905" s="91"/>
      <c r="D905" s="91"/>
      <c r="E905" s="91"/>
      <c r="F905" s="92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</row>
    <row r="906">
      <c r="A906" s="91"/>
      <c r="B906" s="91"/>
      <c r="C906" s="91"/>
      <c r="D906" s="91"/>
      <c r="E906" s="91"/>
      <c r="F906" s="92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</row>
    <row r="907">
      <c r="A907" s="91"/>
      <c r="B907" s="91"/>
      <c r="C907" s="91"/>
      <c r="D907" s="91"/>
      <c r="E907" s="91"/>
      <c r="F907" s="92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</row>
    <row r="908">
      <c r="A908" s="91"/>
      <c r="B908" s="91"/>
      <c r="C908" s="91"/>
      <c r="D908" s="91"/>
      <c r="E908" s="91"/>
      <c r="F908" s="92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</row>
    <row r="909">
      <c r="A909" s="91"/>
      <c r="B909" s="91"/>
      <c r="C909" s="91"/>
      <c r="D909" s="91"/>
      <c r="E909" s="91"/>
      <c r="F909" s="92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</row>
    <row r="910">
      <c r="A910" s="91"/>
      <c r="B910" s="91"/>
      <c r="C910" s="91"/>
      <c r="D910" s="91"/>
      <c r="E910" s="91"/>
      <c r="F910" s="92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</row>
    <row r="911">
      <c r="A911" s="91"/>
      <c r="B911" s="91"/>
      <c r="C911" s="91"/>
      <c r="D911" s="91"/>
      <c r="E911" s="91"/>
      <c r="F911" s="92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</row>
    <row r="912">
      <c r="A912" s="91"/>
      <c r="B912" s="91"/>
      <c r="C912" s="91"/>
      <c r="D912" s="91"/>
      <c r="E912" s="91"/>
      <c r="F912" s="92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</row>
    <row r="913">
      <c r="A913" s="91"/>
      <c r="B913" s="91"/>
      <c r="C913" s="91"/>
      <c r="D913" s="91"/>
      <c r="E913" s="91"/>
      <c r="F913" s="92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</row>
    <row r="914">
      <c r="A914" s="91"/>
      <c r="B914" s="91"/>
      <c r="C914" s="91"/>
      <c r="D914" s="91"/>
      <c r="E914" s="91"/>
      <c r="F914" s="92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</row>
    <row r="915">
      <c r="A915" s="91"/>
      <c r="B915" s="91"/>
      <c r="C915" s="91"/>
      <c r="D915" s="91"/>
      <c r="E915" s="91"/>
      <c r="F915" s="92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</row>
    <row r="916">
      <c r="A916" s="91"/>
      <c r="B916" s="91"/>
      <c r="C916" s="91"/>
      <c r="D916" s="91"/>
      <c r="E916" s="91"/>
      <c r="F916" s="92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</row>
    <row r="917">
      <c r="A917" s="91"/>
      <c r="B917" s="91"/>
      <c r="C917" s="91"/>
      <c r="D917" s="91"/>
      <c r="E917" s="91"/>
      <c r="F917" s="92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</row>
    <row r="918">
      <c r="A918" s="91"/>
      <c r="B918" s="91"/>
      <c r="C918" s="91"/>
      <c r="D918" s="91"/>
      <c r="E918" s="91"/>
      <c r="F918" s="92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</row>
    <row r="919">
      <c r="A919" s="91"/>
      <c r="B919" s="91"/>
      <c r="C919" s="91"/>
      <c r="D919" s="91"/>
      <c r="E919" s="91"/>
      <c r="F919" s="92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</row>
    <row r="920">
      <c r="A920" s="91"/>
      <c r="B920" s="91"/>
      <c r="C920" s="91"/>
      <c r="D920" s="91"/>
      <c r="E920" s="91"/>
      <c r="F920" s="92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</row>
    <row r="921">
      <c r="A921" s="91"/>
      <c r="B921" s="91"/>
      <c r="C921" s="91"/>
      <c r="D921" s="91"/>
      <c r="E921" s="91"/>
      <c r="F921" s="92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</row>
    <row r="922">
      <c r="A922" s="91"/>
      <c r="B922" s="91"/>
      <c r="C922" s="91"/>
      <c r="D922" s="91"/>
      <c r="E922" s="91"/>
      <c r="F922" s="92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</row>
    <row r="923">
      <c r="A923" s="91"/>
      <c r="B923" s="91"/>
      <c r="C923" s="91"/>
      <c r="D923" s="91"/>
      <c r="E923" s="91"/>
      <c r="F923" s="92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</row>
    <row r="924">
      <c r="A924" s="91"/>
      <c r="B924" s="91"/>
      <c r="C924" s="91"/>
      <c r="D924" s="91"/>
      <c r="E924" s="91"/>
      <c r="F924" s="92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</row>
    <row r="925">
      <c r="A925" s="91"/>
      <c r="B925" s="91"/>
      <c r="C925" s="91"/>
      <c r="D925" s="91"/>
      <c r="E925" s="91"/>
      <c r="F925" s="92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</row>
    <row r="926">
      <c r="A926" s="91"/>
      <c r="B926" s="91"/>
      <c r="C926" s="91"/>
      <c r="D926" s="91"/>
      <c r="E926" s="91"/>
      <c r="F926" s="92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</row>
    <row r="927">
      <c r="A927" s="91"/>
      <c r="B927" s="91"/>
      <c r="C927" s="91"/>
      <c r="D927" s="91"/>
      <c r="E927" s="91"/>
      <c r="F927" s="92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</row>
    <row r="928">
      <c r="A928" s="91"/>
      <c r="B928" s="91"/>
      <c r="C928" s="91"/>
      <c r="D928" s="91"/>
      <c r="E928" s="91"/>
      <c r="F928" s="92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</row>
    <row r="929">
      <c r="A929" s="91"/>
      <c r="B929" s="91"/>
      <c r="C929" s="91"/>
      <c r="D929" s="91"/>
      <c r="E929" s="91"/>
      <c r="F929" s="92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</row>
    <row r="930">
      <c r="A930" s="91"/>
      <c r="B930" s="91"/>
      <c r="C930" s="91"/>
      <c r="D930" s="91"/>
      <c r="E930" s="91"/>
      <c r="F930" s="92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</row>
    <row r="931">
      <c r="A931" s="91"/>
      <c r="B931" s="91"/>
      <c r="C931" s="91"/>
      <c r="D931" s="91"/>
      <c r="E931" s="91"/>
      <c r="F931" s="92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</row>
    <row r="932">
      <c r="A932" s="91"/>
      <c r="B932" s="91"/>
      <c r="C932" s="91"/>
      <c r="D932" s="91"/>
      <c r="E932" s="91"/>
      <c r="F932" s="92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</row>
    <row r="933">
      <c r="A933" s="91"/>
      <c r="B933" s="91"/>
      <c r="C933" s="91"/>
      <c r="D933" s="91"/>
      <c r="E933" s="91"/>
      <c r="F933" s="92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</row>
    <row r="934">
      <c r="A934" s="91"/>
      <c r="B934" s="91"/>
      <c r="C934" s="91"/>
      <c r="D934" s="91"/>
      <c r="E934" s="91"/>
      <c r="F934" s="92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</row>
    <row r="935">
      <c r="A935" s="91"/>
      <c r="B935" s="91"/>
      <c r="C935" s="91"/>
      <c r="D935" s="91"/>
      <c r="E935" s="91"/>
      <c r="F935" s="92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</row>
    <row r="936">
      <c r="A936" s="91"/>
      <c r="B936" s="91"/>
      <c r="C936" s="91"/>
      <c r="D936" s="91"/>
      <c r="E936" s="91"/>
      <c r="F936" s="92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</row>
    <row r="937">
      <c r="A937" s="91"/>
      <c r="B937" s="91"/>
      <c r="C937" s="91"/>
      <c r="D937" s="91"/>
      <c r="E937" s="91"/>
      <c r="F937" s="92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</row>
    <row r="938">
      <c r="A938" s="91"/>
      <c r="B938" s="91"/>
      <c r="C938" s="91"/>
      <c r="D938" s="91"/>
      <c r="E938" s="91"/>
      <c r="F938" s="92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</row>
    <row r="939">
      <c r="A939" s="91"/>
      <c r="B939" s="91"/>
      <c r="C939" s="91"/>
      <c r="D939" s="91"/>
      <c r="E939" s="91"/>
      <c r="F939" s="92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</row>
    <row r="940">
      <c r="A940" s="91"/>
      <c r="B940" s="91"/>
      <c r="C940" s="91"/>
      <c r="D940" s="91"/>
      <c r="E940" s="91"/>
      <c r="F940" s="92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</row>
    <row r="941">
      <c r="A941" s="91"/>
      <c r="B941" s="91"/>
      <c r="C941" s="91"/>
      <c r="D941" s="91"/>
      <c r="E941" s="91"/>
      <c r="F941" s="92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</row>
    <row r="942">
      <c r="A942" s="91"/>
      <c r="B942" s="91"/>
      <c r="C942" s="91"/>
      <c r="D942" s="91"/>
      <c r="E942" s="91"/>
      <c r="F942" s="92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</row>
    <row r="943">
      <c r="A943" s="91"/>
      <c r="B943" s="91"/>
      <c r="C943" s="91"/>
      <c r="D943" s="91"/>
      <c r="E943" s="91"/>
      <c r="F943" s="92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</row>
    <row r="944">
      <c r="A944" s="91"/>
      <c r="B944" s="91"/>
      <c r="C944" s="91"/>
      <c r="D944" s="91"/>
      <c r="E944" s="91"/>
      <c r="F944" s="92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</row>
    <row r="945">
      <c r="A945" s="91"/>
      <c r="B945" s="91"/>
      <c r="C945" s="91"/>
      <c r="D945" s="91"/>
      <c r="E945" s="91"/>
      <c r="F945" s="92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</row>
    <row r="946">
      <c r="A946" s="91"/>
      <c r="B946" s="91"/>
      <c r="C946" s="91"/>
      <c r="D946" s="91"/>
      <c r="E946" s="91"/>
      <c r="F946" s="92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</row>
    <row r="947">
      <c r="A947" s="91"/>
      <c r="B947" s="91"/>
      <c r="C947" s="91"/>
      <c r="D947" s="91"/>
      <c r="E947" s="91"/>
      <c r="F947" s="92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</row>
    <row r="948">
      <c r="A948" s="91"/>
      <c r="B948" s="91"/>
      <c r="C948" s="91"/>
      <c r="D948" s="91"/>
      <c r="E948" s="91"/>
      <c r="F948" s="92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</row>
    <row r="949">
      <c r="A949" s="91"/>
      <c r="B949" s="91"/>
      <c r="C949" s="91"/>
      <c r="D949" s="91"/>
      <c r="E949" s="91"/>
      <c r="F949" s="92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</row>
    <row r="950">
      <c r="A950" s="91"/>
      <c r="B950" s="91"/>
      <c r="C950" s="91"/>
      <c r="D950" s="91"/>
      <c r="E950" s="91"/>
      <c r="F950" s="92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</row>
    <row r="951">
      <c r="A951" s="91"/>
      <c r="B951" s="91"/>
      <c r="C951" s="91"/>
      <c r="D951" s="91"/>
      <c r="E951" s="91"/>
      <c r="F951" s="92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</row>
    <row r="952">
      <c r="A952" s="91"/>
      <c r="B952" s="91"/>
      <c r="C952" s="91"/>
      <c r="D952" s="91"/>
      <c r="E952" s="91"/>
      <c r="F952" s="92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</row>
    <row r="953">
      <c r="A953" s="91"/>
      <c r="B953" s="91"/>
      <c r="C953" s="91"/>
      <c r="D953" s="91"/>
      <c r="E953" s="91"/>
      <c r="F953" s="92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</row>
    <row r="954">
      <c r="A954" s="91"/>
      <c r="B954" s="91"/>
      <c r="C954" s="91"/>
      <c r="D954" s="91"/>
      <c r="E954" s="91"/>
      <c r="F954" s="92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</row>
    <row r="955">
      <c r="A955" s="91"/>
      <c r="B955" s="91"/>
      <c r="C955" s="91"/>
      <c r="D955" s="91"/>
      <c r="E955" s="91"/>
      <c r="F955" s="92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</row>
    <row r="956">
      <c r="A956" s="91"/>
      <c r="B956" s="91"/>
      <c r="C956" s="91"/>
      <c r="D956" s="91"/>
      <c r="E956" s="91"/>
      <c r="F956" s="92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</row>
    <row r="957">
      <c r="A957" s="91"/>
      <c r="B957" s="91"/>
      <c r="C957" s="91"/>
      <c r="D957" s="91"/>
      <c r="E957" s="91"/>
      <c r="F957" s="92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</row>
    <row r="958">
      <c r="A958" s="91"/>
      <c r="B958" s="91"/>
      <c r="C958" s="91"/>
      <c r="D958" s="91"/>
      <c r="E958" s="91"/>
      <c r="F958" s="92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</row>
    <row r="959">
      <c r="A959" s="91"/>
      <c r="B959" s="91"/>
      <c r="C959" s="91"/>
      <c r="D959" s="91"/>
      <c r="E959" s="91"/>
      <c r="F959" s="92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</row>
    <row r="960">
      <c r="A960" s="91"/>
      <c r="B960" s="91"/>
      <c r="C960" s="91"/>
      <c r="D960" s="91"/>
      <c r="E960" s="91"/>
      <c r="F960" s="92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</row>
    <row r="961">
      <c r="A961" s="91"/>
      <c r="B961" s="91"/>
      <c r="C961" s="91"/>
      <c r="D961" s="91"/>
      <c r="E961" s="91"/>
      <c r="F961" s="92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</row>
    <row r="962">
      <c r="A962" s="91"/>
      <c r="B962" s="91"/>
      <c r="C962" s="91"/>
      <c r="D962" s="91"/>
      <c r="E962" s="91"/>
      <c r="F962" s="92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</row>
    <row r="963">
      <c r="A963" s="91"/>
      <c r="B963" s="91"/>
      <c r="C963" s="91"/>
      <c r="D963" s="91"/>
      <c r="E963" s="91"/>
      <c r="F963" s="92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</row>
    <row r="964">
      <c r="A964" s="91"/>
      <c r="B964" s="91"/>
      <c r="C964" s="91"/>
      <c r="D964" s="91"/>
      <c r="E964" s="91"/>
      <c r="F964" s="92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</row>
    <row r="965">
      <c r="A965" s="91"/>
      <c r="B965" s="91"/>
      <c r="C965" s="91"/>
      <c r="D965" s="91"/>
      <c r="E965" s="91"/>
      <c r="F965" s="92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</row>
    <row r="966">
      <c r="A966" s="91"/>
      <c r="B966" s="91"/>
      <c r="C966" s="91"/>
      <c r="D966" s="91"/>
      <c r="E966" s="91"/>
      <c r="F966" s="92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</row>
    <row r="967">
      <c r="A967" s="91"/>
      <c r="B967" s="91"/>
      <c r="C967" s="91"/>
      <c r="D967" s="91"/>
      <c r="E967" s="91"/>
      <c r="F967" s="92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</row>
    <row r="968">
      <c r="A968" s="91"/>
      <c r="B968" s="91"/>
      <c r="C968" s="91"/>
      <c r="D968" s="91"/>
      <c r="E968" s="91"/>
      <c r="F968" s="92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</row>
    <row r="969">
      <c r="A969" s="91"/>
      <c r="B969" s="91"/>
      <c r="C969" s="91"/>
      <c r="D969" s="91"/>
      <c r="E969" s="91"/>
      <c r="F969" s="92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</row>
    <row r="970">
      <c r="A970" s="91"/>
      <c r="B970" s="91"/>
      <c r="C970" s="91"/>
      <c r="D970" s="91"/>
      <c r="E970" s="91"/>
      <c r="F970" s="92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</row>
    <row r="971">
      <c r="A971" s="91"/>
      <c r="B971" s="91"/>
      <c r="C971" s="91"/>
      <c r="D971" s="91"/>
      <c r="E971" s="91"/>
      <c r="F971" s="92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</row>
    <row r="972">
      <c r="A972" s="91"/>
      <c r="B972" s="91"/>
      <c r="C972" s="91"/>
      <c r="D972" s="91"/>
      <c r="E972" s="91"/>
      <c r="F972" s="92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</row>
    <row r="973">
      <c r="A973" s="91"/>
      <c r="B973" s="91"/>
      <c r="C973" s="91"/>
      <c r="D973" s="91"/>
      <c r="E973" s="91"/>
      <c r="F973" s="92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</row>
    <row r="974">
      <c r="A974" s="91"/>
      <c r="B974" s="91"/>
      <c r="C974" s="91"/>
      <c r="D974" s="91"/>
      <c r="E974" s="91"/>
      <c r="F974" s="92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</row>
    <row r="975">
      <c r="A975" s="91"/>
      <c r="B975" s="91"/>
      <c r="C975" s="91"/>
      <c r="D975" s="91"/>
      <c r="E975" s="91"/>
      <c r="F975" s="92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</row>
    <row r="976">
      <c r="A976" s="91"/>
      <c r="B976" s="91"/>
      <c r="C976" s="91"/>
      <c r="D976" s="91"/>
      <c r="E976" s="91"/>
      <c r="F976" s="92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</row>
    <row r="977">
      <c r="A977" s="91"/>
      <c r="B977" s="91"/>
      <c r="C977" s="91"/>
      <c r="D977" s="91"/>
      <c r="E977" s="91"/>
      <c r="F977" s="92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</row>
    <row r="978">
      <c r="A978" s="91"/>
      <c r="B978" s="91"/>
      <c r="C978" s="91"/>
      <c r="D978" s="91"/>
      <c r="E978" s="91"/>
      <c r="F978" s="92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</row>
    <row r="979">
      <c r="A979" s="91"/>
      <c r="B979" s="91"/>
      <c r="C979" s="91"/>
      <c r="D979" s="91"/>
      <c r="E979" s="91"/>
      <c r="F979" s="92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</row>
    <row r="980">
      <c r="A980" s="91"/>
      <c r="B980" s="91"/>
      <c r="C980" s="91"/>
      <c r="D980" s="91"/>
      <c r="E980" s="91"/>
      <c r="F980" s="92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</row>
    <row r="981">
      <c r="A981" s="91"/>
      <c r="B981" s="91"/>
      <c r="C981" s="91"/>
      <c r="D981" s="91"/>
      <c r="E981" s="91"/>
      <c r="F981" s="92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</row>
    <row r="982">
      <c r="A982" s="91"/>
      <c r="B982" s="91"/>
      <c r="C982" s="91"/>
      <c r="D982" s="91"/>
      <c r="E982" s="91"/>
      <c r="F982" s="92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</row>
    <row r="983">
      <c r="A983" s="91"/>
      <c r="B983" s="91"/>
      <c r="C983" s="91"/>
      <c r="D983" s="91"/>
      <c r="E983" s="91"/>
      <c r="F983" s="92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</row>
    <row r="984">
      <c r="A984" s="91"/>
      <c r="B984" s="91"/>
      <c r="C984" s="91"/>
      <c r="D984" s="91"/>
      <c r="E984" s="91"/>
      <c r="F984" s="92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</row>
    <row r="985">
      <c r="A985" s="91"/>
      <c r="B985" s="91"/>
      <c r="C985" s="91"/>
      <c r="D985" s="91"/>
      <c r="E985" s="91"/>
      <c r="F985" s="92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</row>
    <row r="986">
      <c r="A986" s="91"/>
      <c r="B986" s="91"/>
      <c r="C986" s="91"/>
      <c r="D986" s="91"/>
      <c r="E986" s="91"/>
      <c r="F986" s="92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</row>
    <row r="987">
      <c r="A987" s="91"/>
      <c r="B987" s="91"/>
      <c r="C987" s="91"/>
      <c r="D987" s="91"/>
      <c r="E987" s="91"/>
      <c r="F987" s="92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</row>
    <row r="988">
      <c r="A988" s="91"/>
      <c r="B988" s="91"/>
      <c r="C988" s="91"/>
      <c r="D988" s="91"/>
      <c r="E988" s="91"/>
      <c r="F988" s="92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</row>
    <row r="989">
      <c r="A989" s="91"/>
      <c r="B989" s="91"/>
      <c r="C989" s="91"/>
      <c r="D989" s="91"/>
      <c r="E989" s="91"/>
      <c r="F989" s="92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</row>
    <row r="990">
      <c r="A990" s="91"/>
      <c r="B990" s="91"/>
      <c r="C990" s="91"/>
      <c r="D990" s="91"/>
      <c r="E990" s="91"/>
      <c r="F990" s="92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</row>
    <row r="991">
      <c r="A991" s="91"/>
      <c r="B991" s="91"/>
      <c r="C991" s="91"/>
      <c r="D991" s="91"/>
      <c r="E991" s="91"/>
      <c r="F991" s="92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</row>
    <row r="992">
      <c r="A992" s="91"/>
      <c r="B992" s="91"/>
      <c r="C992" s="91"/>
      <c r="D992" s="91"/>
      <c r="E992" s="91"/>
      <c r="F992" s="92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</row>
    <row r="993">
      <c r="A993" s="91"/>
      <c r="B993" s="91"/>
      <c r="C993" s="91"/>
      <c r="D993" s="91"/>
      <c r="E993" s="91"/>
      <c r="F993" s="92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</row>
    <row r="994">
      <c r="A994" s="91"/>
      <c r="B994" s="91"/>
      <c r="C994" s="91"/>
      <c r="D994" s="91"/>
      <c r="E994" s="91"/>
      <c r="F994" s="92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</row>
    <row r="995">
      <c r="A995" s="91"/>
      <c r="B995" s="91"/>
      <c r="C995" s="91"/>
      <c r="D995" s="91"/>
      <c r="E995" s="91"/>
      <c r="F995" s="92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</row>
    <row r="996">
      <c r="A996" s="91"/>
      <c r="B996" s="91"/>
      <c r="C996" s="91"/>
      <c r="D996" s="91"/>
      <c r="E996" s="91"/>
      <c r="F996" s="92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</row>
    <row r="997">
      <c r="A997" s="91"/>
      <c r="B997" s="91"/>
      <c r="C997" s="91"/>
      <c r="D997" s="91"/>
      <c r="E997" s="91"/>
      <c r="F997" s="92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</row>
    <row r="998">
      <c r="A998" s="91"/>
      <c r="B998" s="91"/>
      <c r="C998" s="91"/>
      <c r="D998" s="91"/>
      <c r="E998" s="91"/>
      <c r="F998" s="92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</row>
    <row r="999">
      <c r="A999" s="91"/>
      <c r="B999" s="91"/>
      <c r="C999" s="91"/>
      <c r="D999" s="91"/>
      <c r="E999" s="91"/>
      <c r="F999" s="92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</row>
    <row r="1000">
      <c r="A1000" s="91"/>
      <c r="B1000" s="91"/>
      <c r="C1000" s="91"/>
      <c r="D1000" s="91"/>
      <c r="E1000" s="91"/>
      <c r="F1000" s="92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</row>
    <row r="1001">
      <c r="A1001" s="91"/>
      <c r="B1001" s="91"/>
      <c r="C1001" s="91"/>
      <c r="D1001" s="91"/>
      <c r="E1001" s="91"/>
      <c r="F1001" s="92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</row>
    <row r="1002">
      <c r="A1002" s="91"/>
      <c r="B1002" s="91"/>
      <c r="C1002" s="91"/>
      <c r="D1002" s="91"/>
      <c r="E1002" s="91"/>
      <c r="F1002" s="92"/>
      <c r="G1002" s="83"/>
      <c r="H1002" s="83"/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</row>
    <row r="1003">
      <c r="A1003" s="91"/>
      <c r="B1003" s="91"/>
      <c r="C1003" s="91"/>
      <c r="D1003" s="91"/>
      <c r="E1003" s="91"/>
      <c r="F1003" s="92"/>
      <c r="G1003" s="83"/>
      <c r="H1003" s="83"/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</row>
    <row r="1004">
      <c r="A1004" s="91"/>
      <c r="B1004" s="91"/>
      <c r="C1004" s="91"/>
      <c r="D1004" s="91"/>
      <c r="E1004" s="91"/>
      <c r="F1004" s="92"/>
      <c r="G1004" s="83"/>
      <c r="H1004" s="83"/>
      <c r="I1004" s="83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</row>
    <row r="1005">
      <c r="A1005" s="91"/>
      <c r="B1005" s="91"/>
      <c r="C1005" s="91"/>
      <c r="D1005" s="91"/>
      <c r="E1005" s="91"/>
      <c r="F1005" s="92"/>
      <c r="G1005" s="83"/>
      <c r="H1005" s="83"/>
      <c r="I1005" s="83"/>
      <c r="J1005" s="83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  <c r="U1005" s="83"/>
      <c r="V1005" s="83"/>
      <c r="W1005" s="83"/>
    </row>
    <row r="1006">
      <c r="A1006" s="91"/>
      <c r="B1006" s="91"/>
      <c r="C1006" s="91"/>
      <c r="D1006" s="91"/>
      <c r="E1006" s="91"/>
      <c r="F1006" s="92"/>
      <c r="G1006" s="83"/>
      <c r="H1006" s="83"/>
      <c r="I1006" s="83"/>
      <c r="J1006" s="83"/>
      <c r="K1006" s="83"/>
      <c r="L1006" s="83"/>
      <c r="M1006" s="83"/>
      <c r="N1006" s="83"/>
      <c r="O1006" s="83"/>
      <c r="P1006" s="83"/>
      <c r="Q1006" s="83"/>
      <c r="R1006" s="83"/>
      <c r="S1006" s="83"/>
      <c r="T1006" s="83"/>
      <c r="U1006" s="83"/>
      <c r="V1006" s="83"/>
      <c r="W1006" s="83"/>
    </row>
    <row r="1007">
      <c r="A1007" s="91"/>
      <c r="B1007" s="91"/>
      <c r="C1007" s="91"/>
      <c r="D1007" s="91"/>
      <c r="E1007" s="91"/>
      <c r="F1007" s="92"/>
      <c r="G1007" s="83"/>
      <c r="H1007" s="83"/>
      <c r="I1007" s="83"/>
      <c r="J1007" s="83"/>
      <c r="K1007" s="83"/>
      <c r="L1007" s="83"/>
      <c r="M1007" s="83"/>
      <c r="N1007" s="83"/>
      <c r="O1007" s="83"/>
      <c r="P1007" s="83"/>
      <c r="Q1007" s="83"/>
      <c r="R1007" s="83"/>
      <c r="S1007" s="83"/>
      <c r="T1007" s="83"/>
      <c r="U1007" s="83"/>
      <c r="V1007" s="83"/>
      <c r="W1007" s="83"/>
    </row>
    <row r="1008">
      <c r="A1008" s="91"/>
      <c r="B1008" s="91"/>
      <c r="C1008" s="91"/>
      <c r="D1008" s="91"/>
      <c r="E1008" s="91"/>
      <c r="F1008" s="92"/>
      <c r="G1008" s="83"/>
      <c r="H1008" s="83"/>
      <c r="I1008" s="83"/>
      <c r="J1008" s="83"/>
      <c r="K1008" s="83"/>
      <c r="L1008" s="83"/>
      <c r="M1008" s="83"/>
      <c r="N1008" s="83"/>
      <c r="O1008" s="83"/>
      <c r="P1008" s="83"/>
      <c r="Q1008" s="83"/>
      <c r="R1008" s="83"/>
      <c r="S1008" s="83"/>
      <c r="T1008" s="83"/>
      <c r="U1008" s="83"/>
      <c r="V1008" s="83"/>
      <c r="W1008" s="83"/>
    </row>
    <row r="1009">
      <c r="A1009" s="91"/>
      <c r="B1009" s="91"/>
      <c r="C1009" s="91"/>
      <c r="D1009" s="91"/>
      <c r="E1009" s="91"/>
      <c r="F1009" s="92"/>
      <c r="G1009" s="83"/>
      <c r="H1009" s="83"/>
      <c r="I1009" s="83"/>
      <c r="J1009" s="83"/>
      <c r="K1009" s="83"/>
      <c r="L1009" s="83"/>
      <c r="M1009" s="83"/>
      <c r="N1009" s="83"/>
      <c r="O1009" s="83"/>
      <c r="P1009" s="83"/>
      <c r="Q1009" s="83"/>
      <c r="R1009" s="83"/>
      <c r="S1009" s="83"/>
      <c r="T1009" s="83"/>
      <c r="U1009" s="83"/>
      <c r="V1009" s="83"/>
      <c r="W1009" s="83"/>
    </row>
    <row r="1010">
      <c r="A1010" s="91"/>
      <c r="B1010" s="91"/>
      <c r="C1010" s="91"/>
      <c r="D1010" s="91"/>
      <c r="E1010" s="91"/>
      <c r="F1010" s="92"/>
      <c r="G1010" s="83"/>
      <c r="H1010" s="83"/>
      <c r="I1010" s="83"/>
      <c r="J1010" s="83"/>
      <c r="K1010" s="83"/>
      <c r="L1010" s="83"/>
      <c r="M1010" s="83"/>
      <c r="N1010" s="83"/>
      <c r="O1010" s="83"/>
      <c r="P1010" s="83"/>
      <c r="Q1010" s="83"/>
      <c r="R1010" s="83"/>
      <c r="S1010" s="83"/>
      <c r="T1010" s="83"/>
      <c r="U1010" s="83"/>
      <c r="V1010" s="83"/>
      <c r="W1010" s="83"/>
    </row>
    <row r="1011">
      <c r="A1011" s="91"/>
      <c r="B1011" s="91"/>
      <c r="C1011" s="91"/>
      <c r="D1011" s="91"/>
      <c r="E1011" s="91"/>
      <c r="F1011" s="92"/>
      <c r="G1011" s="83"/>
      <c r="H1011" s="83"/>
      <c r="I1011" s="83"/>
      <c r="J1011" s="83"/>
      <c r="K1011" s="83"/>
      <c r="L1011" s="83"/>
      <c r="M1011" s="83"/>
      <c r="N1011" s="83"/>
      <c r="O1011" s="83"/>
      <c r="P1011" s="83"/>
      <c r="Q1011" s="83"/>
      <c r="R1011" s="83"/>
      <c r="S1011" s="83"/>
      <c r="T1011" s="83"/>
      <c r="U1011" s="83"/>
      <c r="V1011" s="83"/>
      <c r="W1011" s="83"/>
    </row>
    <row r="1012">
      <c r="A1012" s="91"/>
      <c r="B1012" s="91"/>
      <c r="C1012" s="91"/>
      <c r="D1012" s="91"/>
      <c r="E1012" s="91"/>
      <c r="F1012" s="92"/>
      <c r="G1012" s="83"/>
      <c r="H1012" s="83"/>
      <c r="I1012" s="83"/>
      <c r="J1012" s="83"/>
      <c r="K1012" s="83"/>
      <c r="L1012" s="83"/>
      <c r="M1012" s="83"/>
      <c r="N1012" s="83"/>
      <c r="O1012" s="83"/>
      <c r="P1012" s="83"/>
      <c r="Q1012" s="83"/>
      <c r="R1012" s="83"/>
      <c r="S1012" s="83"/>
      <c r="T1012" s="83"/>
      <c r="U1012" s="83"/>
      <c r="V1012" s="83"/>
      <c r="W1012" s="83"/>
    </row>
    <row r="1013">
      <c r="A1013" s="91"/>
      <c r="B1013" s="91"/>
      <c r="C1013" s="91"/>
      <c r="D1013" s="91"/>
      <c r="E1013" s="91"/>
      <c r="F1013" s="92"/>
      <c r="G1013" s="83"/>
      <c r="H1013" s="83"/>
      <c r="I1013" s="83"/>
      <c r="J1013" s="83"/>
      <c r="K1013" s="83"/>
      <c r="L1013" s="83"/>
      <c r="M1013" s="83"/>
      <c r="N1013" s="83"/>
      <c r="O1013" s="83"/>
      <c r="P1013" s="83"/>
      <c r="Q1013" s="83"/>
      <c r="R1013" s="83"/>
      <c r="S1013" s="83"/>
      <c r="T1013" s="83"/>
      <c r="U1013" s="83"/>
      <c r="V1013" s="83"/>
      <c r="W1013" s="83"/>
    </row>
    <row r="1014">
      <c r="A1014" s="91"/>
      <c r="B1014" s="91"/>
      <c r="C1014" s="91"/>
      <c r="D1014" s="91"/>
      <c r="E1014" s="91"/>
      <c r="F1014" s="92"/>
      <c r="G1014" s="83"/>
      <c r="H1014" s="83"/>
      <c r="I1014" s="83"/>
      <c r="J1014" s="83"/>
      <c r="K1014" s="83"/>
      <c r="L1014" s="83"/>
      <c r="M1014" s="83"/>
      <c r="N1014" s="83"/>
      <c r="O1014" s="83"/>
      <c r="P1014" s="83"/>
      <c r="Q1014" s="83"/>
      <c r="R1014" s="83"/>
      <c r="S1014" s="83"/>
      <c r="T1014" s="83"/>
      <c r="U1014" s="83"/>
      <c r="V1014" s="83"/>
      <c r="W1014" s="83"/>
    </row>
    <row r="1015">
      <c r="A1015" s="91"/>
      <c r="B1015" s="91"/>
      <c r="C1015" s="91"/>
      <c r="D1015" s="91"/>
      <c r="E1015" s="91"/>
      <c r="F1015" s="92"/>
      <c r="G1015" s="83"/>
      <c r="H1015" s="83"/>
      <c r="I1015" s="83"/>
      <c r="J1015" s="83"/>
      <c r="K1015" s="83"/>
      <c r="L1015" s="83"/>
      <c r="M1015" s="83"/>
      <c r="N1015" s="83"/>
      <c r="O1015" s="83"/>
      <c r="P1015" s="83"/>
      <c r="Q1015" s="83"/>
      <c r="R1015" s="83"/>
      <c r="S1015" s="83"/>
      <c r="T1015" s="83"/>
      <c r="U1015" s="83"/>
      <c r="V1015" s="83"/>
      <c r="W1015" s="83"/>
    </row>
    <row r="1016">
      <c r="A1016" s="91"/>
      <c r="B1016" s="91"/>
      <c r="C1016" s="91"/>
      <c r="D1016" s="91"/>
      <c r="E1016" s="91"/>
      <c r="F1016" s="92"/>
      <c r="G1016" s="83"/>
      <c r="H1016" s="83"/>
      <c r="I1016" s="83"/>
      <c r="J1016" s="83"/>
      <c r="K1016" s="83"/>
      <c r="L1016" s="83"/>
      <c r="M1016" s="83"/>
      <c r="N1016" s="83"/>
      <c r="O1016" s="83"/>
      <c r="P1016" s="83"/>
      <c r="Q1016" s="83"/>
      <c r="R1016" s="83"/>
      <c r="S1016" s="83"/>
      <c r="T1016" s="83"/>
      <c r="U1016" s="83"/>
      <c r="V1016" s="83"/>
      <c r="W1016" s="83"/>
    </row>
    <row r="1017">
      <c r="A1017" s="91"/>
      <c r="B1017" s="91"/>
      <c r="C1017" s="91"/>
      <c r="D1017" s="91"/>
      <c r="E1017" s="91"/>
      <c r="F1017" s="92"/>
      <c r="G1017" s="83"/>
      <c r="H1017" s="83"/>
      <c r="I1017" s="83"/>
      <c r="J1017" s="83"/>
      <c r="K1017" s="83"/>
      <c r="L1017" s="83"/>
      <c r="M1017" s="83"/>
      <c r="N1017" s="83"/>
      <c r="O1017" s="83"/>
      <c r="P1017" s="83"/>
      <c r="Q1017" s="83"/>
      <c r="R1017" s="83"/>
      <c r="S1017" s="83"/>
      <c r="T1017" s="83"/>
      <c r="U1017" s="83"/>
      <c r="V1017" s="83"/>
      <c r="W1017" s="83"/>
    </row>
    <row r="1018">
      <c r="A1018" s="91"/>
      <c r="B1018" s="91"/>
      <c r="C1018" s="91"/>
      <c r="D1018" s="91"/>
      <c r="E1018" s="91"/>
      <c r="F1018" s="92"/>
      <c r="G1018" s="83"/>
      <c r="H1018" s="83"/>
      <c r="I1018" s="83"/>
      <c r="J1018" s="83"/>
      <c r="K1018" s="83"/>
      <c r="L1018" s="83"/>
      <c r="M1018" s="83"/>
      <c r="N1018" s="83"/>
      <c r="O1018" s="83"/>
      <c r="P1018" s="83"/>
      <c r="Q1018" s="83"/>
      <c r="R1018" s="83"/>
      <c r="S1018" s="83"/>
      <c r="T1018" s="83"/>
      <c r="U1018" s="83"/>
      <c r="V1018" s="83"/>
      <c r="W1018" s="83"/>
    </row>
    <row r="1019">
      <c r="A1019" s="91"/>
      <c r="B1019" s="91"/>
      <c r="C1019" s="91"/>
      <c r="D1019" s="91"/>
      <c r="E1019" s="91"/>
      <c r="F1019" s="92"/>
      <c r="G1019" s="83"/>
      <c r="H1019" s="83"/>
      <c r="I1019" s="83"/>
      <c r="J1019" s="83"/>
      <c r="K1019" s="83"/>
      <c r="L1019" s="83"/>
      <c r="M1019" s="83"/>
      <c r="N1019" s="83"/>
      <c r="O1019" s="83"/>
      <c r="P1019" s="83"/>
      <c r="Q1019" s="83"/>
      <c r="R1019" s="83"/>
      <c r="S1019" s="83"/>
      <c r="T1019" s="83"/>
      <c r="U1019" s="83"/>
      <c r="V1019" s="83"/>
      <c r="W1019" s="83"/>
    </row>
    <row r="1020">
      <c r="A1020" s="91"/>
      <c r="B1020" s="91"/>
      <c r="C1020" s="91"/>
      <c r="D1020" s="91"/>
      <c r="E1020" s="91"/>
      <c r="F1020" s="92"/>
      <c r="G1020" s="83"/>
      <c r="H1020" s="83"/>
      <c r="I1020" s="83"/>
      <c r="J1020" s="83"/>
      <c r="K1020" s="83"/>
      <c r="L1020" s="83"/>
      <c r="M1020" s="83"/>
      <c r="N1020" s="83"/>
      <c r="O1020" s="83"/>
      <c r="P1020" s="83"/>
      <c r="Q1020" s="83"/>
      <c r="R1020" s="83"/>
      <c r="S1020" s="83"/>
      <c r="T1020" s="83"/>
      <c r="U1020" s="83"/>
      <c r="V1020" s="83"/>
      <c r="W1020" s="83"/>
    </row>
    <row r="1021">
      <c r="A1021" s="91"/>
      <c r="B1021" s="91"/>
      <c r="C1021" s="91"/>
      <c r="D1021" s="91"/>
      <c r="E1021" s="91"/>
      <c r="F1021" s="92"/>
      <c r="G1021" s="83"/>
      <c r="H1021" s="83"/>
      <c r="I1021" s="83"/>
      <c r="J1021" s="83"/>
      <c r="K1021" s="83"/>
      <c r="L1021" s="83"/>
      <c r="M1021" s="83"/>
      <c r="N1021" s="83"/>
      <c r="O1021" s="83"/>
      <c r="P1021" s="83"/>
      <c r="Q1021" s="83"/>
      <c r="R1021" s="83"/>
      <c r="S1021" s="83"/>
      <c r="T1021" s="83"/>
      <c r="U1021" s="83"/>
      <c r="V1021" s="83"/>
      <c r="W1021" s="83"/>
    </row>
    <row r="1022">
      <c r="A1022" s="91"/>
      <c r="B1022" s="91"/>
      <c r="C1022" s="91"/>
      <c r="D1022" s="91"/>
      <c r="E1022" s="91"/>
      <c r="F1022" s="92"/>
      <c r="G1022" s="83"/>
      <c r="H1022" s="83"/>
      <c r="I1022" s="83"/>
      <c r="J1022" s="83"/>
      <c r="K1022" s="83"/>
      <c r="L1022" s="83"/>
      <c r="M1022" s="83"/>
      <c r="N1022" s="83"/>
      <c r="O1022" s="83"/>
      <c r="P1022" s="83"/>
      <c r="Q1022" s="83"/>
      <c r="R1022" s="83"/>
      <c r="S1022" s="83"/>
      <c r="T1022" s="83"/>
      <c r="U1022" s="83"/>
      <c r="V1022" s="83"/>
      <c r="W1022" s="83"/>
    </row>
    <row r="1023">
      <c r="A1023" s="91"/>
      <c r="B1023" s="91"/>
      <c r="C1023" s="91"/>
      <c r="D1023" s="91"/>
      <c r="E1023" s="91"/>
      <c r="F1023" s="92"/>
      <c r="G1023" s="83"/>
      <c r="H1023" s="83"/>
      <c r="I1023" s="83"/>
      <c r="J1023" s="83"/>
      <c r="K1023" s="83"/>
      <c r="L1023" s="83"/>
      <c r="M1023" s="83"/>
      <c r="N1023" s="83"/>
      <c r="O1023" s="83"/>
      <c r="P1023" s="83"/>
      <c r="Q1023" s="83"/>
      <c r="R1023" s="83"/>
      <c r="S1023" s="83"/>
      <c r="T1023" s="83"/>
      <c r="U1023" s="83"/>
      <c r="V1023" s="83"/>
      <c r="W1023" s="83"/>
    </row>
    <row r="1024">
      <c r="A1024" s="91"/>
      <c r="B1024" s="91"/>
      <c r="C1024" s="91"/>
      <c r="D1024" s="91"/>
      <c r="E1024" s="91"/>
      <c r="F1024" s="92"/>
      <c r="G1024" s="83"/>
      <c r="H1024" s="83"/>
      <c r="I1024" s="83"/>
      <c r="J1024" s="83"/>
      <c r="K1024" s="83"/>
      <c r="L1024" s="83"/>
      <c r="M1024" s="83"/>
      <c r="N1024" s="83"/>
      <c r="O1024" s="83"/>
      <c r="P1024" s="83"/>
      <c r="Q1024" s="83"/>
      <c r="R1024" s="83"/>
      <c r="S1024" s="83"/>
      <c r="T1024" s="83"/>
      <c r="U1024" s="83"/>
      <c r="V1024" s="83"/>
      <c r="W1024" s="83"/>
    </row>
    <row r="1025">
      <c r="A1025" s="91"/>
      <c r="B1025" s="91"/>
      <c r="C1025" s="91"/>
      <c r="D1025" s="91"/>
      <c r="E1025" s="91"/>
      <c r="F1025" s="92"/>
      <c r="G1025" s="83"/>
      <c r="H1025" s="83"/>
      <c r="I1025" s="83"/>
      <c r="J1025" s="83"/>
      <c r="K1025" s="83"/>
      <c r="L1025" s="83"/>
      <c r="M1025" s="83"/>
      <c r="N1025" s="83"/>
      <c r="O1025" s="83"/>
      <c r="P1025" s="83"/>
      <c r="Q1025" s="83"/>
      <c r="R1025" s="83"/>
      <c r="S1025" s="83"/>
      <c r="T1025" s="83"/>
      <c r="U1025" s="83"/>
      <c r="V1025" s="83"/>
      <c r="W1025" s="83"/>
    </row>
    <row r="1026">
      <c r="A1026" s="91"/>
      <c r="B1026" s="91"/>
      <c r="C1026" s="91"/>
      <c r="D1026" s="91"/>
      <c r="E1026" s="91"/>
      <c r="F1026" s="92"/>
      <c r="G1026" s="83"/>
      <c r="H1026" s="83"/>
      <c r="I1026" s="83"/>
      <c r="J1026" s="83"/>
      <c r="K1026" s="83"/>
      <c r="L1026" s="83"/>
      <c r="M1026" s="83"/>
      <c r="N1026" s="83"/>
      <c r="O1026" s="83"/>
      <c r="P1026" s="83"/>
      <c r="Q1026" s="83"/>
      <c r="R1026" s="83"/>
      <c r="S1026" s="83"/>
      <c r="T1026" s="83"/>
      <c r="U1026" s="83"/>
      <c r="V1026" s="83"/>
      <c r="W1026" s="83"/>
    </row>
    <row r="1027">
      <c r="A1027" s="91"/>
      <c r="B1027" s="91"/>
      <c r="C1027" s="91"/>
      <c r="D1027" s="91"/>
      <c r="E1027" s="91"/>
      <c r="F1027" s="92"/>
      <c r="G1027" s="83"/>
      <c r="H1027" s="83"/>
      <c r="I1027" s="83"/>
      <c r="J1027" s="83"/>
      <c r="K1027" s="83"/>
      <c r="L1027" s="83"/>
      <c r="M1027" s="83"/>
      <c r="N1027" s="83"/>
      <c r="O1027" s="83"/>
      <c r="P1027" s="83"/>
      <c r="Q1027" s="83"/>
      <c r="R1027" s="83"/>
      <c r="S1027" s="83"/>
      <c r="T1027" s="83"/>
      <c r="U1027" s="83"/>
      <c r="V1027" s="83"/>
      <c r="W1027" s="83"/>
    </row>
    <row r="1028">
      <c r="A1028" s="91"/>
      <c r="B1028" s="91"/>
      <c r="C1028" s="91"/>
      <c r="D1028" s="91"/>
      <c r="E1028" s="91"/>
      <c r="F1028" s="92"/>
      <c r="G1028" s="83"/>
      <c r="H1028" s="83"/>
      <c r="I1028" s="83"/>
      <c r="J1028" s="83"/>
      <c r="K1028" s="83"/>
      <c r="L1028" s="83"/>
      <c r="M1028" s="83"/>
      <c r="N1028" s="83"/>
      <c r="O1028" s="83"/>
      <c r="P1028" s="83"/>
      <c r="Q1028" s="83"/>
      <c r="R1028" s="83"/>
      <c r="S1028" s="83"/>
      <c r="T1028" s="83"/>
      <c r="U1028" s="83"/>
      <c r="V1028" s="83"/>
      <c r="W1028" s="83"/>
    </row>
    <row r="1029">
      <c r="A1029" s="91"/>
      <c r="B1029" s="91"/>
      <c r="C1029" s="91"/>
      <c r="D1029" s="91"/>
      <c r="E1029" s="91"/>
      <c r="F1029" s="92"/>
      <c r="G1029" s="83"/>
      <c r="H1029" s="83"/>
      <c r="I1029" s="83"/>
      <c r="J1029" s="83"/>
      <c r="K1029" s="83"/>
      <c r="L1029" s="83"/>
      <c r="M1029" s="83"/>
      <c r="N1029" s="83"/>
      <c r="O1029" s="83"/>
      <c r="P1029" s="83"/>
      <c r="Q1029" s="83"/>
      <c r="R1029" s="83"/>
      <c r="S1029" s="83"/>
      <c r="T1029" s="83"/>
      <c r="U1029" s="83"/>
      <c r="V1029" s="83"/>
      <c r="W1029" s="83"/>
    </row>
    <row r="1030">
      <c r="A1030" s="91"/>
      <c r="B1030" s="91"/>
      <c r="C1030" s="91"/>
      <c r="D1030" s="91"/>
      <c r="E1030" s="91"/>
      <c r="F1030" s="92"/>
      <c r="G1030" s="83"/>
      <c r="H1030" s="83"/>
      <c r="I1030" s="83"/>
      <c r="J1030" s="83"/>
      <c r="K1030" s="83"/>
      <c r="L1030" s="83"/>
      <c r="M1030" s="83"/>
      <c r="N1030" s="83"/>
      <c r="O1030" s="83"/>
      <c r="P1030" s="83"/>
      <c r="Q1030" s="83"/>
      <c r="R1030" s="83"/>
      <c r="S1030" s="83"/>
      <c r="T1030" s="83"/>
      <c r="U1030" s="83"/>
      <c r="V1030" s="83"/>
      <c r="W1030" s="83"/>
    </row>
    <row r="1031">
      <c r="A1031" s="91"/>
      <c r="B1031" s="91"/>
      <c r="C1031" s="91"/>
      <c r="D1031" s="91"/>
      <c r="E1031" s="91"/>
      <c r="F1031" s="92"/>
      <c r="G1031" s="83"/>
      <c r="H1031" s="83"/>
      <c r="I1031" s="83"/>
      <c r="J1031" s="83"/>
      <c r="K1031" s="83"/>
      <c r="L1031" s="83"/>
      <c r="M1031" s="83"/>
      <c r="N1031" s="83"/>
      <c r="O1031" s="83"/>
      <c r="P1031" s="83"/>
      <c r="Q1031" s="83"/>
      <c r="R1031" s="83"/>
      <c r="S1031" s="83"/>
      <c r="T1031" s="83"/>
      <c r="U1031" s="83"/>
      <c r="V1031" s="83"/>
      <c r="W1031" s="83"/>
    </row>
    <row r="1032">
      <c r="A1032" s="91"/>
      <c r="B1032" s="91"/>
      <c r="C1032" s="91"/>
      <c r="D1032" s="91"/>
      <c r="E1032" s="91"/>
      <c r="F1032" s="92"/>
      <c r="G1032" s="83"/>
      <c r="H1032" s="83"/>
      <c r="I1032" s="83"/>
      <c r="J1032" s="83"/>
      <c r="K1032" s="83"/>
      <c r="L1032" s="83"/>
      <c r="M1032" s="83"/>
      <c r="N1032" s="83"/>
      <c r="O1032" s="83"/>
      <c r="P1032" s="83"/>
      <c r="Q1032" s="83"/>
      <c r="R1032" s="83"/>
      <c r="S1032" s="83"/>
      <c r="T1032" s="83"/>
      <c r="U1032" s="83"/>
      <c r="V1032" s="83"/>
      <c r="W1032" s="83"/>
    </row>
    <row r="1033">
      <c r="A1033" s="91"/>
      <c r="B1033" s="91"/>
      <c r="C1033" s="91"/>
      <c r="D1033" s="91"/>
      <c r="E1033" s="91"/>
      <c r="F1033" s="92"/>
      <c r="G1033" s="83"/>
      <c r="H1033" s="83"/>
      <c r="I1033" s="83"/>
      <c r="J1033" s="83"/>
      <c r="K1033" s="83"/>
      <c r="L1033" s="83"/>
      <c r="M1033" s="83"/>
      <c r="N1033" s="83"/>
      <c r="O1033" s="83"/>
      <c r="P1033" s="83"/>
      <c r="Q1033" s="83"/>
      <c r="R1033" s="83"/>
      <c r="S1033" s="83"/>
      <c r="T1033" s="83"/>
      <c r="U1033" s="83"/>
      <c r="V1033" s="83"/>
      <c r="W1033" s="83"/>
    </row>
    <row r="1034">
      <c r="A1034" s="91"/>
      <c r="B1034" s="91"/>
      <c r="C1034" s="91"/>
      <c r="D1034" s="91"/>
      <c r="E1034" s="91"/>
      <c r="F1034" s="92"/>
      <c r="G1034" s="83"/>
      <c r="H1034" s="83"/>
      <c r="I1034" s="83"/>
      <c r="J1034" s="83"/>
      <c r="K1034" s="83"/>
      <c r="L1034" s="83"/>
      <c r="M1034" s="83"/>
      <c r="N1034" s="83"/>
      <c r="O1034" s="83"/>
      <c r="P1034" s="83"/>
      <c r="Q1034" s="83"/>
      <c r="R1034" s="83"/>
      <c r="S1034" s="83"/>
      <c r="T1034" s="83"/>
      <c r="U1034" s="83"/>
      <c r="V1034" s="83"/>
      <c r="W1034" s="83"/>
    </row>
    <row r="1035">
      <c r="A1035" s="91"/>
      <c r="B1035" s="91"/>
      <c r="C1035" s="91"/>
      <c r="D1035" s="91"/>
      <c r="E1035" s="91"/>
      <c r="F1035" s="92"/>
      <c r="G1035" s="83"/>
      <c r="H1035" s="83"/>
      <c r="I1035" s="83"/>
      <c r="J1035" s="83"/>
      <c r="K1035" s="83"/>
      <c r="L1035" s="83"/>
      <c r="M1035" s="83"/>
      <c r="N1035" s="83"/>
      <c r="O1035" s="83"/>
      <c r="P1035" s="83"/>
      <c r="Q1035" s="83"/>
      <c r="R1035" s="83"/>
      <c r="S1035" s="83"/>
      <c r="T1035" s="83"/>
      <c r="U1035" s="83"/>
      <c r="V1035" s="83"/>
      <c r="W1035" s="83"/>
    </row>
    <row r="1036">
      <c r="A1036" s="91"/>
      <c r="B1036" s="91"/>
      <c r="C1036" s="91"/>
      <c r="D1036" s="91"/>
      <c r="E1036" s="91"/>
      <c r="F1036" s="92"/>
      <c r="G1036" s="83"/>
      <c r="H1036" s="83"/>
      <c r="I1036" s="83"/>
      <c r="J1036" s="83"/>
      <c r="K1036" s="83"/>
      <c r="L1036" s="83"/>
      <c r="M1036" s="83"/>
      <c r="N1036" s="83"/>
      <c r="O1036" s="83"/>
      <c r="P1036" s="83"/>
      <c r="Q1036" s="83"/>
      <c r="R1036" s="83"/>
      <c r="S1036" s="83"/>
      <c r="T1036" s="83"/>
      <c r="U1036" s="83"/>
      <c r="V1036" s="83"/>
      <c r="W1036" s="83"/>
    </row>
    <row r="1037">
      <c r="A1037" s="91"/>
      <c r="B1037" s="91"/>
      <c r="C1037" s="91"/>
      <c r="D1037" s="91"/>
      <c r="E1037" s="91"/>
      <c r="F1037" s="92"/>
      <c r="G1037" s="83"/>
      <c r="H1037" s="83"/>
      <c r="I1037" s="83"/>
      <c r="J1037" s="83"/>
      <c r="K1037" s="83"/>
      <c r="L1037" s="83"/>
      <c r="M1037" s="83"/>
      <c r="N1037" s="83"/>
      <c r="O1037" s="83"/>
      <c r="P1037" s="83"/>
      <c r="Q1037" s="83"/>
      <c r="R1037" s="83"/>
      <c r="S1037" s="83"/>
      <c r="T1037" s="83"/>
      <c r="U1037" s="83"/>
      <c r="V1037" s="83"/>
      <c r="W1037" s="83"/>
    </row>
    <row r="1038">
      <c r="A1038" s="91"/>
      <c r="B1038" s="91"/>
      <c r="C1038" s="91"/>
      <c r="D1038" s="91"/>
      <c r="E1038" s="91"/>
      <c r="F1038" s="92"/>
      <c r="G1038" s="83"/>
      <c r="H1038" s="83"/>
      <c r="I1038" s="83"/>
      <c r="J1038" s="83"/>
      <c r="K1038" s="83"/>
      <c r="L1038" s="83"/>
      <c r="M1038" s="83"/>
      <c r="N1038" s="83"/>
      <c r="O1038" s="83"/>
      <c r="P1038" s="83"/>
      <c r="Q1038" s="83"/>
      <c r="R1038" s="83"/>
      <c r="S1038" s="83"/>
      <c r="T1038" s="83"/>
      <c r="U1038" s="83"/>
      <c r="V1038" s="83"/>
      <c r="W1038" s="83"/>
    </row>
    <row r="1039">
      <c r="A1039" s="91"/>
      <c r="B1039" s="91"/>
      <c r="C1039" s="91"/>
      <c r="D1039" s="91"/>
      <c r="E1039" s="91"/>
      <c r="F1039" s="92"/>
      <c r="G1039" s="83"/>
      <c r="H1039" s="83"/>
      <c r="I1039" s="83"/>
      <c r="J1039" s="83"/>
      <c r="K1039" s="83"/>
      <c r="L1039" s="83"/>
      <c r="M1039" s="83"/>
      <c r="N1039" s="83"/>
      <c r="O1039" s="83"/>
      <c r="P1039" s="83"/>
      <c r="Q1039" s="83"/>
      <c r="R1039" s="83"/>
      <c r="S1039" s="83"/>
      <c r="T1039" s="83"/>
      <c r="U1039" s="83"/>
      <c r="V1039" s="83"/>
      <c r="W1039" s="83"/>
    </row>
    <row r="1040">
      <c r="A1040" s="91"/>
      <c r="B1040" s="91"/>
      <c r="C1040" s="91"/>
      <c r="D1040" s="91"/>
      <c r="E1040" s="91"/>
      <c r="F1040" s="92"/>
      <c r="G1040" s="83"/>
      <c r="H1040" s="83"/>
      <c r="I1040" s="83"/>
      <c r="J1040" s="83"/>
      <c r="K1040" s="83"/>
      <c r="L1040" s="83"/>
      <c r="M1040" s="83"/>
      <c r="N1040" s="83"/>
      <c r="O1040" s="83"/>
      <c r="P1040" s="83"/>
      <c r="Q1040" s="83"/>
      <c r="R1040" s="83"/>
      <c r="S1040" s="83"/>
      <c r="T1040" s="83"/>
      <c r="U1040" s="83"/>
      <c r="V1040" s="83"/>
      <c r="W1040" s="83"/>
    </row>
    <row r="1041">
      <c r="A1041" s="91"/>
      <c r="B1041" s="91"/>
      <c r="C1041" s="91"/>
      <c r="D1041" s="91"/>
      <c r="E1041" s="91"/>
      <c r="F1041" s="92"/>
      <c r="G1041" s="83"/>
      <c r="H1041" s="83"/>
      <c r="I1041" s="83"/>
      <c r="J1041" s="83"/>
      <c r="K1041" s="83"/>
      <c r="L1041" s="83"/>
      <c r="M1041" s="83"/>
      <c r="N1041" s="83"/>
      <c r="O1041" s="83"/>
      <c r="P1041" s="83"/>
      <c r="Q1041" s="83"/>
      <c r="R1041" s="83"/>
      <c r="S1041" s="83"/>
      <c r="T1041" s="83"/>
      <c r="U1041" s="83"/>
      <c r="V1041" s="83"/>
      <c r="W1041" s="83"/>
    </row>
    <row r="1042">
      <c r="A1042" s="91"/>
      <c r="B1042" s="91"/>
      <c r="C1042" s="91"/>
      <c r="D1042" s="91"/>
      <c r="E1042" s="91"/>
      <c r="F1042" s="92"/>
      <c r="G1042" s="83"/>
      <c r="H1042" s="83"/>
      <c r="I1042" s="83"/>
      <c r="J1042" s="83"/>
      <c r="K1042" s="83"/>
      <c r="L1042" s="83"/>
      <c r="M1042" s="83"/>
      <c r="N1042" s="83"/>
      <c r="O1042" s="83"/>
      <c r="P1042" s="83"/>
      <c r="Q1042" s="83"/>
      <c r="R1042" s="83"/>
      <c r="S1042" s="83"/>
      <c r="T1042" s="83"/>
      <c r="U1042" s="83"/>
      <c r="V1042" s="83"/>
      <c r="W1042" s="83"/>
    </row>
    <row r="1043">
      <c r="A1043" s="91"/>
      <c r="B1043" s="91"/>
      <c r="C1043" s="91"/>
      <c r="D1043" s="91"/>
      <c r="E1043" s="91"/>
      <c r="F1043" s="92"/>
      <c r="G1043" s="83"/>
      <c r="H1043" s="83"/>
      <c r="I1043" s="83"/>
      <c r="J1043" s="83"/>
      <c r="K1043" s="83"/>
      <c r="L1043" s="83"/>
      <c r="M1043" s="83"/>
      <c r="N1043" s="83"/>
      <c r="O1043" s="83"/>
      <c r="P1043" s="83"/>
      <c r="Q1043" s="83"/>
      <c r="R1043" s="83"/>
      <c r="S1043" s="83"/>
      <c r="T1043" s="83"/>
      <c r="U1043" s="83"/>
      <c r="V1043" s="83"/>
      <c r="W1043" s="83"/>
    </row>
    <row r="1044">
      <c r="A1044" s="91"/>
      <c r="B1044" s="91"/>
      <c r="C1044" s="91"/>
      <c r="D1044" s="91"/>
      <c r="E1044" s="91"/>
      <c r="F1044" s="92"/>
      <c r="G1044" s="83"/>
      <c r="H1044" s="83"/>
      <c r="I1044" s="83"/>
      <c r="J1044" s="83"/>
      <c r="K1044" s="83"/>
      <c r="L1044" s="83"/>
      <c r="M1044" s="83"/>
      <c r="N1044" s="83"/>
      <c r="O1044" s="83"/>
      <c r="P1044" s="83"/>
      <c r="Q1044" s="83"/>
      <c r="R1044" s="83"/>
      <c r="S1044" s="83"/>
      <c r="T1044" s="83"/>
      <c r="U1044" s="83"/>
      <c r="V1044" s="83"/>
      <c r="W1044" s="83"/>
    </row>
    <row r="1045">
      <c r="A1045" s="91"/>
      <c r="B1045" s="91"/>
      <c r="C1045" s="91"/>
      <c r="D1045" s="91"/>
      <c r="E1045" s="91"/>
      <c r="F1045" s="92"/>
      <c r="G1045" s="83"/>
      <c r="H1045" s="83"/>
      <c r="I1045" s="83"/>
      <c r="J1045" s="83"/>
      <c r="K1045" s="83"/>
      <c r="L1045" s="83"/>
      <c r="M1045" s="83"/>
      <c r="N1045" s="83"/>
      <c r="O1045" s="83"/>
      <c r="P1045" s="83"/>
      <c r="Q1045" s="83"/>
      <c r="R1045" s="83"/>
      <c r="S1045" s="83"/>
      <c r="T1045" s="83"/>
      <c r="U1045" s="83"/>
      <c r="V1045" s="83"/>
      <c r="W1045" s="83"/>
    </row>
    <row r="1046">
      <c r="A1046" s="91"/>
      <c r="B1046" s="91"/>
      <c r="C1046" s="91"/>
      <c r="D1046" s="91"/>
      <c r="E1046" s="91"/>
      <c r="F1046" s="92"/>
      <c r="G1046" s="83"/>
      <c r="H1046" s="83"/>
      <c r="I1046" s="83"/>
      <c r="J1046" s="83"/>
      <c r="K1046" s="83"/>
      <c r="L1046" s="83"/>
      <c r="M1046" s="83"/>
      <c r="N1046" s="83"/>
      <c r="O1046" s="83"/>
      <c r="P1046" s="83"/>
      <c r="Q1046" s="83"/>
      <c r="R1046" s="83"/>
      <c r="S1046" s="83"/>
      <c r="T1046" s="83"/>
      <c r="U1046" s="83"/>
      <c r="V1046" s="83"/>
      <c r="W1046" s="83"/>
    </row>
    <row r="1047">
      <c r="A1047" s="91"/>
      <c r="B1047" s="91"/>
      <c r="C1047" s="91"/>
      <c r="D1047" s="91"/>
      <c r="E1047" s="91"/>
      <c r="F1047" s="92"/>
      <c r="G1047" s="83"/>
      <c r="H1047" s="83"/>
      <c r="I1047" s="83"/>
      <c r="J1047" s="83"/>
      <c r="K1047" s="83"/>
      <c r="L1047" s="83"/>
      <c r="M1047" s="83"/>
      <c r="N1047" s="83"/>
      <c r="O1047" s="83"/>
      <c r="P1047" s="83"/>
      <c r="Q1047" s="83"/>
      <c r="R1047" s="83"/>
      <c r="S1047" s="83"/>
      <c r="T1047" s="83"/>
      <c r="U1047" s="83"/>
      <c r="V1047" s="83"/>
      <c r="W1047" s="83"/>
    </row>
    <row r="1048">
      <c r="A1048" s="91"/>
      <c r="B1048" s="91"/>
      <c r="C1048" s="91"/>
      <c r="D1048" s="91"/>
      <c r="E1048" s="91"/>
      <c r="F1048" s="92"/>
      <c r="G1048" s="83"/>
      <c r="H1048" s="83"/>
      <c r="I1048" s="83"/>
      <c r="J1048" s="83"/>
      <c r="K1048" s="83"/>
      <c r="L1048" s="83"/>
      <c r="M1048" s="83"/>
      <c r="N1048" s="83"/>
      <c r="O1048" s="83"/>
      <c r="P1048" s="83"/>
      <c r="Q1048" s="83"/>
      <c r="R1048" s="83"/>
      <c r="S1048" s="83"/>
      <c r="T1048" s="83"/>
      <c r="U1048" s="83"/>
      <c r="V1048" s="83"/>
      <c r="W1048" s="83"/>
    </row>
    <row r="1049">
      <c r="A1049" s="91"/>
      <c r="B1049" s="91"/>
      <c r="C1049" s="91"/>
      <c r="D1049" s="91"/>
      <c r="E1049" s="91"/>
      <c r="F1049" s="92"/>
      <c r="G1049" s="83"/>
      <c r="H1049" s="83"/>
      <c r="I1049" s="83"/>
      <c r="J1049" s="83"/>
      <c r="K1049" s="83"/>
      <c r="L1049" s="83"/>
      <c r="M1049" s="83"/>
      <c r="N1049" s="83"/>
      <c r="O1049" s="83"/>
      <c r="P1049" s="83"/>
      <c r="Q1049" s="83"/>
      <c r="R1049" s="83"/>
      <c r="S1049" s="83"/>
      <c r="T1049" s="83"/>
      <c r="U1049" s="83"/>
      <c r="V1049" s="83"/>
      <c r="W1049" s="83"/>
    </row>
    <row r="1050">
      <c r="A1050" s="91"/>
      <c r="B1050" s="91"/>
      <c r="C1050" s="91"/>
      <c r="D1050" s="91"/>
      <c r="E1050" s="91"/>
      <c r="F1050" s="92"/>
      <c r="G1050" s="83"/>
      <c r="H1050" s="83"/>
      <c r="I1050" s="83"/>
      <c r="J1050" s="83"/>
      <c r="K1050" s="83"/>
      <c r="L1050" s="83"/>
      <c r="M1050" s="83"/>
      <c r="N1050" s="83"/>
      <c r="O1050" s="83"/>
      <c r="P1050" s="83"/>
      <c r="Q1050" s="83"/>
      <c r="R1050" s="83"/>
      <c r="S1050" s="83"/>
      <c r="T1050" s="83"/>
      <c r="U1050" s="83"/>
      <c r="V1050" s="83"/>
      <c r="W1050" s="83"/>
    </row>
    <row r="1051">
      <c r="A1051" s="91"/>
      <c r="B1051" s="91"/>
      <c r="C1051" s="91"/>
      <c r="D1051" s="91"/>
      <c r="E1051" s="91"/>
      <c r="F1051" s="92"/>
      <c r="G1051" s="83"/>
      <c r="H1051" s="83"/>
      <c r="I1051" s="83"/>
      <c r="J1051" s="83"/>
      <c r="K1051" s="83"/>
      <c r="L1051" s="83"/>
      <c r="M1051" s="83"/>
      <c r="N1051" s="83"/>
      <c r="O1051" s="83"/>
      <c r="P1051" s="83"/>
      <c r="Q1051" s="83"/>
      <c r="R1051" s="83"/>
      <c r="S1051" s="83"/>
      <c r="T1051" s="83"/>
      <c r="U1051" s="83"/>
      <c r="V1051" s="83"/>
      <c r="W1051" s="83"/>
    </row>
    <row r="1052">
      <c r="A1052" s="91"/>
      <c r="B1052" s="91"/>
      <c r="C1052" s="91"/>
      <c r="D1052" s="91"/>
      <c r="E1052" s="91"/>
      <c r="F1052" s="92"/>
      <c r="G1052" s="83"/>
      <c r="H1052" s="83"/>
      <c r="I1052" s="83"/>
      <c r="J1052" s="83"/>
      <c r="K1052" s="83"/>
      <c r="L1052" s="83"/>
      <c r="M1052" s="83"/>
      <c r="N1052" s="83"/>
      <c r="O1052" s="83"/>
      <c r="P1052" s="83"/>
      <c r="Q1052" s="83"/>
      <c r="R1052" s="83"/>
      <c r="S1052" s="83"/>
      <c r="T1052" s="83"/>
      <c r="U1052" s="83"/>
      <c r="V1052" s="83"/>
      <c r="W1052" s="83"/>
    </row>
    <row r="1053">
      <c r="A1053" s="91"/>
      <c r="B1053" s="91"/>
      <c r="C1053" s="91"/>
      <c r="D1053" s="91"/>
      <c r="E1053" s="91"/>
      <c r="F1053" s="92"/>
      <c r="G1053" s="83"/>
      <c r="H1053" s="83"/>
      <c r="I1053" s="83"/>
      <c r="J1053" s="83"/>
      <c r="K1053" s="83"/>
      <c r="L1053" s="83"/>
      <c r="M1053" s="83"/>
      <c r="N1053" s="83"/>
      <c r="O1053" s="83"/>
      <c r="P1053" s="83"/>
      <c r="Q1053" s="83"/>
      <c r="R1053" s="83"/>
      <c r="S1053" s="83"/>
      <c r="T1053" s="83"/>
      <c r="U1053" s="83"/>
      <c r="V1053" s="83"/>
      <c r="W1053" s="83"/>
    </row>
    <row r="1054">
      <c r="A1054" s="91"/>
      <c r="B1054" s="91"/>
      <c r="C1054" s="91"/>
      <c r="D1054" s="91"/>
      <c r="E1054" s="91"/>
      <c r="F1054" s="92"/>
      <c r="G1054" s="83"/>
      <c r="H1054" s="83"/>
      <c r="I1054" s="83"/>
      <c r="J1054" s="83"/>
      <c r="K1054" s="83"/>
      <c r="L1054" s="83"/>
      <c r="M1054" s="83"/>
      <c r="N1054" s="83"/>
      <c r="O1054" s="83"/>
      <c r="P1054" s="83"/>
      <c r="Q1054" s="83"/>
      <c r="R1054" s="83"/>
      <c r="S1054" s="83"/>
      <c r="T1054" s="83"/>
      <c r="U1054" s="83"/>
      <c r="V1054" s="83"/>
      <c r="W1054" s="83"/>
    </row>
    <row r="1055">
      <c r="A1055" s="91"/>
      <c r="B1055" s="91"/>
      <c r="C1055" s="91"/>
      <c r="D1055" s="91"/>
      <c r="E1055" s="91"/>
      <c r="F1055" s="92"/>
      <c r="G1055" s="83"/>
      <c r="H1055" s="83"/>
      <c r="I1055" s="83"/>
      <c r="J1055" s="83"/>
      <c r="K1055" s="83"/>
      <c r="L1055" s="83"/>
      <c r="M1055" s="83"/>
      <c r="N1055" s="83"/>
      <c r="O1055" s="83"/>
      <c r="P1055" s="83"/>
      <c r="Q1055" s="83"/>
      <c r="R1055" s="83"/>
      <c r="S1055" s="83"/>
      <c r="T1055" s="83"/>
      <c r="U1055" s="83"/>
      <c r="V1055" s="83"/>
      <c r="W1055" s="83"/>
    </row>
    <row r="1056">
      <c r="A1056" s="91"/>
      <c r="B1056" s="91"/>
      <c r="C1056" s="91"/>
      <c r="D1056" s="91"/>
      <c r="E1056" s="91"/>
      <c r="F1056" s="92"/>
      <c r="G1056" s="83"/>
      <c r="H1056" s="83"/>
      <c r="I1056" s="83"/>
      <c r="J1056" s="83"/>
      <c r="K1056" s="83"/>
      <c r="L1056" s="83"/>
      <c r="M1056" s="83"/>
      <c r="N1056" s="83"/>
      <c r="O1056" s="83"/>
      <c r="P1056" s="83"/>
      <c r="Q1056" s="83"/>
      <c r="R1056" s="83"/>
      <c r="S1056" s="83"/>
      <c r="T1056" s="83"/>
      <c r="U1056" s="83"/>
      <c r="V1056" s="83"/>
      <c r="W1056" s="83"/>
    </row>
    <row r="1057">
      <c r="A1057" s="91"/>
      <c r="B1057" s="91"/>
      <c r="C1057" s="91"/>
      <c r="D1057" s="91"/>
      <c r="E1057" s="91"/>
      <c r="F1057" s="92"/>
      <c r="G1057" s="83"/>
      <c r="H1057" s="83"/>
      <c r="I1057" s="83"/>
      <c r="J1057" s="83"/>
      <c r="K1057" s="83"/>
      <c r="L1057" s="83"/>
      <c r="M1057" s="83"/>
      <c r="N1057" s="83"/>
      <c r="O1057" s="83"/>
      <c r="P1057" s="83"/>
      <c r="Q1057" s="83"/>
      <c r="R1057" s="83"/>
      <c r="S1057" s="83"/>
      <c r="T1057" s="83"/>
      <c r="U1057" s="83"/>
      <c r="V1057" s="83"/>
      <c r="W1057" s="83"/>
    </row>
    <row r="1058">
      <c r="A1058" s="91"/>
      <c r="B1058" s="91"/>
      <c r="C1058" s="91"/>
      <c r="D1058" s="91"/>
      <c r="E1058" s="91"/>
      <c r="F1058" s="92"/>
      <c r="G1058" s="83"/>
      <c r="H1058" s="83"/>
      <c r="I1058" s="83"/>
      <c r="J1058" s="83"/>
      <c r="K1058" s="83"/>
      <c r="L1058" s="83"/>
      <c r="M1058" s="83"/>
      <c r="N1058" s="83"/>
      <c r="O1058" s="83"/>
      <c r="P1058" s="83"/>
      <c r="Q1058" s="83"/>
      <c r="R1058" s="83"/>
      <c r="S1058" s="83"/>
      <c r="T1058" s="83"/>
      <c r="U1058" s="83"/>
      <c r="V1058" s="83"/>
      <c r="W1058" s="83"/>
    </row>
    <row r="1059">
      <c r="A1059" s="91"/>
      <c r="B1059" s="91"/>
      <c r="C1059" s="91"/>
      <c r="D1059" s="91"/>
      <c r="E1059" s="91"/>
      <c r="F1059" s="92"/>
      <c r="G1059" s="83"/>
      <c r="H1059" s="83"/>
      <c r="I1059" s="83"/>
      <c r="J1059" s="83"/>
      <c r="K1059" s="83"/>
      <c r="L1059" s="83"/>
      <c r="M1059" s="83"/>
      <c r="N1059" s="83"/>
      <c r="O1059" s="83"/>
      <c r="P1059" s="83"/>
      <c r="Q1059" s="83"/>
      <c r="R1059" s="83"/>
      <c r="S1059" s="83"/>
      <c r="T1059" s="83"/>
      <c r="U1059" s="83"/>
      <c r="V1059" s="83"/>
      <c r="W1059" s="83"/>
    </row>
    <row r="1060">
      <c r="A1060" s="91"/>
      <c r="B1060" s="91"/>
      <c r="C1060" s="91"/>
      <c r="D1060" s="91"/>
      <c r="E1060" s="91"/>
      <c r="F1060" s="92"/>
      <c r="G1060" s="83"/>
      <c r="H1060" s="83"/>
      <c r="I1060" s="83"/>
      <c r="J1060" s="83"/>
      <c r="K1060" s="83"/>
      <c r="L1060" s="83"/>
      <c r="M1060" s="83"/>
      <c r="N1060" s="83"/>
      <c r="O1060" s="83"/>
      <c r="P1060" s="83"/>
      <c r="Q1060" s="83"/>
      <c r="R1060" s="83"/>
      <c r="S1060" s="83"/>
      <c r="T1060" s="83"/>
      <c r="U1060" s="83"/>
      <c r="V1060" s="83"/>
      <c r="W1060" s="83"/>
    </row>
    <row r="1061">
      <c r="A1061" s="91"/>
      <c r="B1061" s="91"/>
      <c r="C1061" s="91"/>
      <c r="D1061" s="91"/>
      <c r="E1061" s="91"/>
      <c r="F1061" s="92"/>
      <c r="G1061" s="83"/>
      <c r="H1061" s="83"/>
      <c r="I1061" s="83"/>
      <c r="J1061" s="83"/>
      <c r="K1061" s="83"/>
      <c r="L1061" s="83"/>
      <c r="M1061" s="83"/>
      <c r="N1061" s="83"/>
      <c r="O1061" s="83"/>
      <c r="P1061" s="83"/>
      <c r="Q1061" s="83"/>
      <c r="R1061" s="83"/>
      <c r="S1061" s="83"/>
      <c r="T1061" s="83"/>
      <c r="U1061" s="83"/>
      <c r="V1061" s="83"/>
      <c r="W1061" s="83"/>
    </row>
    <row r="1062">
      <c r="A1062" s="91"/>
      <c r="B1062" s="91"/>
      <c r="C1062" s="91"/>
      <c r="D1062" s="91"/>
      <c r="E1062" s="91"/>
      <c r="F1062" s="92"/>
      <c r="G1062" s="83"/>
      <c r="H1062" s="83"/>
      <c r="I1062" s="83"/>
      <c r="J1062" s="83"/>
      <c r="K1062" s="83"/>
      <c r="L1062" s="83"/>
      <c r="M1062" s="83"/>
      <c r="N1062" s="83"/>
      <c r="O1062" s="83"/>
      <c r="P1062" s="83"/>
      <c r="Q1062" s="83"/>
      <c r="R1062" s="83"/>
      <c r="S1062" s="83"/>
      <c r="T1062" s="83"/>
      <c r="U1062" s="83"/>
      <c r="V1062" s="83"/>
      <c r="W1062" s="83"/>
    </row>
    <row r="1063">
      <c r="A1063" s="91"/>
      <c r="B1063" s="91"/>
      <c r="C1063" s="91"/>
      <c r="D1063" s="91"/>
      <c r="E1063" s="91"/>
      <c r="F1063" s="92"/>
      <c r="G1063" s="83"/>
      <c r="H1063" s="83"/>
      <c r="I1063" s="83"/>
      <c r="J1063" s="83"/>
      <c r="K1063" s="83"/>
      <c r="L1063" s="83"/>
      <c r="M1063" s="83"/>
      <c r="N1063" s="83"/>
      <c r="O1063" s="83"/>
      <c r="P1063" s="83"/>
      <c r="Q1063" s="83"/>
      <c r="R1063" s="83"/>
      <c r="S1063" s="83"/>
      <c r="T1063" s="83"/>
      <c r="U1063" s="83"/>
      <c r="V1063" s="83"/>
      <c r="W1063" s="83"/>
    </row>
    <row r="1064">
      <c r="A1064" s="91"/>
      <c r="B1064" s="91"/>
      <c r="C1064" s="91"/>
      <c r="D1064" s="91"/>
      <c r="E1064" s="91"/>
      <c r="F1064" s="92"/>
      <c r="G1064" s="83"/>
      <c r="H1064" s="83"/>
      <c r="I1064" s="83"/>
      <c r="J1064" s="83"/>
      <c r="K1064" s="83"/>
      <c r="L1064" s="83"/>
      <c r="M1064" s="83"/>
      <c r="N1064" s="83"/>
      <c r="O1064" s="83"/>
      <c r="P1064" s="83"/>
      <c r="Q1064" s="83"/>
      <c r="R1064" s="83"/>
      <c r="S1064" s="83"/>
      <c r="T1064" s="83"/>
      <c r="U1064" s="83"/>
      <c r="V1064" s="83"/>
      <c r="W1064" s="83"/>
    </row>
    <row r="1065">
      <c r="A1065" s="91"/>
      <c r="B1065" s="91"/>
      <c r="C1065" s="91"/>
      <c r="D1065" s="91"/>
      <c r="E1065" s="91"/>
      <c r="F1065" s="92"/>
      <c r="G1065" s="83"/>
      <c r="H1065" s="83"/>
      <c r="I1065" s="83"/>
      <c r="J1065" s="83"/>
      <c r="K1065" s="83"/>
      <c r="L1065" s="83"/>
      <c r="M1065" s="83"/>
      <c r="N1065" s="83"/>
      <c r="O1065" s="83"/>
      <c r="P1065" s="83"/>
      <c r="Q1065" s="83"/>
      <c r="R1065" s="83"/>
      <c r="S1065" s="83"/>
      <c r="T1065" s="83"/>
      <c r="U1065" s="83"/>
      <c r="V1065" s="83"/>
      <c r="W1065" s="83"/>
    </row>
    <row r="1066">
      <c r="A1066" s="91"/>
      <c r="B1066" s="91"/>
      <c r="C1066" s="91"/>
      <c r="D1066" s="91"/>
      <c r="E1066" s="91"/>
      <c r="F1066" s="92"/>
      <c r="G1066" s="83"/>
      <c r="H1066" s="83"/>
      <c r="I1066" s="83"/>
      <c r="J1066" s="83"/>
      <c r="K1066" s="83"/>
      <c r="L1066" s="83"/>
      <c r="M1066" s="83"/>
      <c r="N1066" s="83"/>
      <c r="O1066" s="83"/>
      <c r="P1066" s="83"/>
      <c r="Q1066" s="83"/>
      <c r="R1066" s="83"/>
      <c r="S1066" s="83"/>
      <c r="T1066" s="83"/>
      <c r="U1066" s="83"/>
      <c r="V1066" s="83"/>
      <c r="W1066" s="83"/>
    </row>
    <row r="1067">
      <c r="A1067" s="91"/>
      <c r="B1067" s="91"/>
      <c r="C1067" s="91"/>
      <c r="D1067" s="91"/>
      <c r="E1067" s="91"/>
      <c r="F1067" s="92"/>
      <c r="G1067" s="83"/>
      <c r="H1067" s="83"/>
      <c r="I1067" s="83"/>
      <c r="J1067" s="83"/>
      <c r="K1067" s="83"/>
      <c r="L1067" s="83"/>
      <c r="M1067" s="83"/>
      <c r="N1067" s="83"/>
      <c r="O1067" s="83"/>
      <c r="P1067" s="83"/>
      <c r="Q1067" s="83"/>
      <c r="R1067" s="83"/>
      <c r="S1067" s="83"/>
      <c r="T1067" s="83"/>
      <c r="U1067" s="83"/>
      <c r="V1067" s="83"/>
      <c r="W1067" s="83"/>
    </row>
    <row r="1068">
      <c r="A1068" s="91"/>
      <c r="B1068" s="91"/>
      <c r="C1068" s="91"/>
      <c r="D1068" s="91"/>
      <c r="E1068" s="91"/>
      <c r="F1068" s="92"/>
      <c r="G1068" s="83"/>
      <c r="H1068" s="83"/>
      <c r="I1068" s="83"/>
      <c r="J1068" s="83"/>
      <c r="K1068" s="83"/>
      <c r="L1068" s="83"/>
      <c r="M1068" s="83"/>
      <c r="N1068" s="83"/>
      <c r="O1068" s="83"/>
      <c r="P1068" s="83"/>
      <c r="Q1068" s="83"/>
      <c r="R1068" s="83"/>
      <c r="S1068" s="83"/>
      <c r="T1068" s="83"/>
      <c r="U1068" s="83"/>
      <c r="V1068" s="83"/>
      <c r="W1068" s="83"/>
    </row>
    <row r="1069">
      <c r="A1069" s="91"/>
      <c r="B1069" s="91"/>
      <c r="C1069" s="91"/>
      <c r="D1069" s="91"/>
      <c r="E1069" s="91"/>
      <c r="F1069" s="92"/>
      <c r="G1069" s="83"/>
      <c r="H1069" s="83"/>
      <c r="I1069" s="83"/>
      <c r="J1069" s="83"/>
      <c r="K1069" s="83"/>
      <c r="L1069" s="83"/>
      <c r="M1069" s="83"/>
      <c r="N1069" s="83"/>
      <c r="O1069" s="83"/>
      <c r="P1069" s="83"/>
      <c r="Q1069" s="83"/>
      <c r="R1069" s="83"/>
      <c r="S1069" s="83"/>
      <c r="T1069" s="83"/>
      <c r="U1069" s="83"/>
      <c r="V1069" s="83"/>
      <c r="W1069" s="83"/>
    </row>
    <row r="1070">
      <c r="A1070" s="91"/>
      <c r="B1070" s="91"/>
      <c r="C1070" s="91"/>
      <c r="D1070" s="91"/>
      <c r="E1070" s="91"/>
      <c r="F1070" s="92"/>
      <c r="G1070" s="83"/>
      <c r="H1070" s="83"/>
      <c r="I1070" s="83"/>
      <c r="J1070" s="83"/>
      <c r="K1070" s="83"/>
      <c r="L1070" s="83"/>
      <c r="M1070" s="83"/>
      <c r="N1070" s="83"/>
      <c r="O1070" s="83"/>
      <c r="P1070" s="83"/>
      <c r="Q1070" s="83"/>
      <c r="R1070" s="83"/>
      <c r="S1070" s="83"/>
      <c r="T1070" s="83"/>
      <c r="U1070" s="83"/>
      <c r="V1070" s="83"/>
      <c r="W1070" s="83"/>
    </row>
    <row r="1071">
      <c r="A1071" s="91"/>
      <c r="B1071" s="91"/>
      <c r="C1071" s="91"/>
      <c r="D1071" s="91"/>
      <c r="E1071" s="91"/>
      <c r="F1071" s="92"/>
      <c r="G1071" s="83"/>
      <c r="H1071" s="83"/>
      <c r="I1071" s="83"/>
      <c r="J1071" s="83"/>
      <c r="K1071" s="83"/>
      <c r="L1071" s="83"/>
      <c r="M1071" s="83"/>
      <c r="N1071" s="83"/>
      <c r="O1071" s="83"/>
      <c r="P1071" s="83"/>
      <c r="Q1071" s="83"/>
      <c r="R1071" s="83"/>
      <c r="S1071" s="83"/>
      <c r="T1071" s="83"/>
      <c r="U1071" s="83"/>
      <c r="V1071" s="83"/>
      <c r="W1071" s="83"/>
    </row>
    <row r="1072">
      <c r="A1072" s="91"/>
      <c r="B1072" s="91"/>
      <c r="C1072" s="91"/>
      <c r="D1072" s="91"/>
      <c r="E1072" s="91"/>
      <c r="F1072" s="92"/>
      <c r="G1072" s="83"/>
      <c r="H1072" s="83"/>
      <c r="I1072" s="83"/>
      <c r="J1072" s="83"/>
      <c r="K1072" s="83"/>
      <c r="L1072" s="83"/>
      <c r="M1072" s="83"/>
      <c r="N1072" s="83"/>
      <c r="O1072" s="83"/>
      <c r="P1072" s="83"/>
      <c r="Q1072" s="83"/>
      <c r="R1072" s="83"/>
      <c r="S1072" s="83"/>
      <c r="T1072" s="83"/>
      <c r="U1072" s="83"/>
      <c r="V1072" s="83"/>
      <c r="W1072" s="83"/>
    </row>
    <row r="1073">
      <c r="A1073" s="91"/>
      <c r="B1073" s="91"/>
      <c r="C1073" s="91"/>
      <c r="D1073" s="91"/>
      <c r="E1073" s="91"/>
      <c r="F1073" s="92"/>
      <c r="G1073" s="83"/>
      <c r="H1073" s="83"/>
      <c r="I1073" s="83"/>
      <c r="J1073" s="83"/>
      <c r="K1073" s="83"/>
      <c r="L1073" s="83"/>
      <c r="M1073" s="83"/>
      <c r="N1073" s="83"/>
      <c r="O1073" s="83"/>
      <c r="P1073" s="83"/>
      <c r="Q1073" s="83"/>
      <c r="R1073" s="83"/>
      <c r="S1073" s="83"/>
      <c r="T1073" s="83"/>
      <c r="U1073" s="83"/>
      <c r="V1073" s="83"/>
      <c r="W1073" s="83"/>
    </row>
    <row r="1074">
      <c r="A1074" s="91"/>
      <c r="B1074" s="91"/>
      <c r="C1074" s="91"/>
      <c r="D1074" s="91"/>
      <c r="E1074" s="91"/>
      <c r="F1074" s="92"/>
      <c r="G1074" s="83"/>
      <c r="H1074" s="83"/>
      <c r="I1074" s="83"/>
      <c r="J1074" s="83"/>
      <c r="K1074" s="83"/>
      <c r="L1074" s="83"/>
      <c r="M1074" s="83"/>
      <c r="N1074" s="83"/>
      <c r="O1074" s="83"/>
      <c r="P1074" s="83"/>
      <c r="Q1074" s="83"/>
      <c r="R1074" s="83"/>
      <c r="S1074" s="83"/>
      <c r="T1074" s="83"/>
      <c r="U1074" s="83"/>
      <c r="V1074" s="83"/>
      <c r="W1074" s="83"/>
    </row>
    <row r="1075">
      <c r="A1075" s="91"/>
      <c r="B1075" s="91"/>
      <c r="C1075" s="91"/>
      <c r="D1075" s="91"/>
      <c r="E1075" s="91"/>
      <c r="F1075" s="92"/>
      <c r="G1075" s="83"/>
      <c r="H1075" s="83"/>
      <c r="I1075" s="83"/>
      <c r="J1075" s="83"/>
      <c r="K1075" s="83"/>
      <c r="L1075" s="83"/>
      <c r="M1075" s="83"/>
      <c r="N1075" s="83"/>
      <c r="O1075" s="83"/>
      <c r="P1075" s="83"/>
      <c r="Q1075" s="83"/>
      <c r="R1075" s="83"/>
      <c r="S1075" s="83"/>
      <c r="T1075" s="83"/>
      <c r="U1075" s="83"/>
      <c r="V1075" s="83"/>
      <c r="W1075" s="83"/>
    </row>
    <row r="1076">
      <c r="A1076" s="91"/>
      <c r="B1076" s="91"/>
      <c r="C1076" s="91"/>
      <c r="D1076" s="91"/>
      <c r="E1076" s="91"/>
      <c r="F1076" s="92"/>
      <c r="G1076" s="83"/>
      <c r="H1076" s="83"/>
      <c r="I1076" s="83"/>
      <c r="J1076" s="83"/>
      <c r="K1076" s="83"/>
      <c r="L1076" s="83"/>
      <c r="M1076" s="83"/>
      <c r="N1076" s="83"/>
      <c r="O1076" s="83"/>
      <c r="P1076" s="83"/>
      <c r="Q1076" s="83"/>
      <c r="R1076" s="83"/>
      <c r="S1076" s="83"/>
      <c r="T1076" s="83"/>
      <c r="U1076" s="83"/>
      <c r="V1076" s="83"/>
      <c r="W1076" s="83"/>
    </row>
    <row r="1077">
      <c r="A1077" s="91"/>
      <c r="B1077" s="91"/>
      <c r="C1077" s="91"/>
      <c r="D1077" s="91"/>
      <c r="E1077" s="91"/>
      <c r="F1077" s="92"/>
      <c r="G1077" s="83"/>
      <c r="H1077" s="83"/>
      <c r="I1077" s="83"/>
      <c r="J1077" s="83"/>
      <c r="K1077" s="83"/>
      <c r="L1077" s="83"/>
      <c r="M1077" s="83"/>
      <c r="N1077" s="83"/>
      <c r="O1077" s="83"/>
      <c r="P1077" s="83"/>
      <c r="Q1077" s="83"/>
      <c r="R1077" s="83"/>
      <c r="S1077" s="83"/>
      <c r="T1077" s="83"/>
      <c r="U1077" s="83"/>
      <c r="V1077" s="83"/>
      <c r="W1077" s="83"/>
    </row>
    <row r="1078">
      <c r="A1078" s="91"/>
      <c r="B1078" s="91"/>
      <c r="C1078" s="91"/>
      <c r="D1078" s="91"/>
      <c r="E1078" s="91"/>
      <c r="F1078" s="92"/>
      <c r="G1078" s="83"/>
      <c r="H1078" s="83"/>
      <c r="I1078" s="83"/>
      <c r="J1078" s="83"/>
      <c r="K1078" s="83"/>
      <c r="L1078" s="83"/>
      <c r="M1078" s="83"/>
      <c r="N1078" s="83"/>
      <c r="O1078" s="83"/>
      <c r="P1078" s="83"/>
      <c r="Q1078" s="83"/>
      <c r="R1078" s="83"/>
      <c r="S1078" s="83"/>
      <c r="T1078" s="83"/>
      <c r="U1078" s="83"/>
      <c r="V1078" s="83"/>
      <c r="W1078" s="83"/>
    </row>
    <row r="1079">
      <c r="A1079" s="91"/>
      <c r="B1079" s="91"/>
      <c r="C1079" s="91"/>
      <c r="D1079" s="91"/>
      <c r="E1079" s="91"/>
      <c r="F1079" s="92"/>
      <c r="G1079" s="83"/>
      <c r="H1079" s="83"/>
      <c r="I1079" s="83"/>
      <c r="J1079" s="83"/>
      <c r="K1079" s="83"/>
      <c r="L1079" s="83"/>
      <c r="M1079" s="83"/>
      <c r="N1079" s="83"/>
      <c r="O1079" s="83"/>
      <c r="P1079" s="83"/>
      <c r="Q1079" s="83"/>
      <c r="R1079" s="83"/>
      <c r="S1079" s="83"/>
      <c r="T1079" s="83"/>
      <c r="U1079" s="83"/>
      <c r="V1079" s="83"/>
      <c r="W1079" s="83"/>
    </row>
    <row r="1080">
      <c r="A1080" s="91"/>
      <c r="B1080" s="91"/>
      <c r="C1080" s="91"/>
      <c r="D1080" s="91"/>
      <c r="E1080" s="91"/>
      <c r="F1080" s="92"/>
      <c r="G1080" s="83"/>
      <c r="H1080" s="83"/>
      <c r="I1080" s="83"/>
      <c r="J1080" s="83"/>
      <c r="K1080" s="83"/>
      <c r="L1080" s="83"/>
      <c r="M1080" s="83"/>
      <c r="N1080" s="83"/>
      <c r="O1080" s="83"/>
      <c r="P1080" s="83"/>
      <c r="Q1080" s="83"/>
      <c r="R1080" s="83"/>
      <c r="S1080" s="83"/>
      <c r="T1080" s="83"/>
      <c r="U1080" s="83"/>
      <c r="V1080" s="83"/>
      <c r="W1080" s="83"/>
    </row>
    <row r="1081">
      <c r="A1081" s="91"/>
      <c r="B1081" s="91"/>
      <c r="C1081" s="91"/>
      <c r="D1081" s="91"/>
      <c r="E1081" s="91"/>
      <c r="F1081" s="92"/>
      <c r="G1081" s="83"/>
      <c r="H1081" s="83"/>
      <c r="I1081" s="83"/>
      <c r="J1081" s="83"/>
      <c r="K1081" s="83"/>
      <c r="L1081" s="83"/>
      <c r="M1081" s="83"/>
      <c r="N1081" s="83"/>
      <c r="O1081" s="83"/>
      <c r="P1081" s="83"/>
      <c r="Q1081" s="83"/>
      <c r="R1081" s="83"/>
      <c r="S1081" s="83"/>
      <c r="T1081" s="83"/>
      <c r="U1081" s="83"/>
      <c r="V1081" s="83"/>
      <c r="W1081" s="83"/>
    </row>
    <row r="1082">
      <c r="A1082" s="91"/>
      <c r="B1082" s="91"/>
      <c r="C1082" s="91"/>
      <c r="D1082" s="91"/>
      <c r="E1082" s="91"/>
      <c r="F1082" s="92"/>
      <c r="G1082" s="83"/>
      <c r="H1082" s="83"/>
      <c r="I1082" s="83"/>
      <c r="J1082" s="83"/>
      <c r="K1082" s="83"/>
      <c r="L1082" s="83"/>
      <c r="M1082" s="83"/>
      <c r="N1082" s="83"/>
      <c r="O1082" s="83"/>
      <c r="P1082" s="83"/>
      <c r="Q1082" s="83"/>
      <c r="R1082" s="83"/>
      <c r="S1082" s="83"/>
      <c r="T1082" s="83"/>
      <c r="U1082" s="83"/>
      <c r="V1082" s="83"/>
      <c r="W1082" s="83"/>
    </row>
    <row r="1083">
      <c r="A1083" s="91"/>
      <c r="B1083" s="91"/>
      <c r="C1083" s="91"/>
      <c r="D1083" s="91"/>
      <c r="E1083" s="91"/>
      <c r="F1083" s="92"/>
      <c r="G1083" s="83"/>
      <c r="H1083" s="83"/>
      <c r="I1083" s="83"/>
      <c r="J1083" s="83"/>
      <c r="K1083" s="83"/>
      <c r="L1083" s="83"/>
      <c r="M1083" s="83"/>
      <c r="N1083" s="83"/>
      <c r="O1083" s="83"/>
      <c r="P1083" s="83"/>
      <c r="Q1083" s="83"/>
      <c r="R1083" s="83"/>
      <c r="S1083" s="83"/>
      <c r="T1083" s="83"/>
      <c r="U1083" s="83"/>
      <c r="V1083" s="83"/>
      <c r="W1083" s="83"/>
    </row>
    <row r="1084">
      <c r="A1084" s="91"/>
      <c r="B1084" s="91"/>
      <c r="C1084" s="91"/>
      <c r="D1084" s="91"/>
      <c r="E1084" s="91"/>
      <c r="F1084" s="92"/>
      <c r="G1084" s="83"/>
      <c r="H1084" s="83"/>
      <c r="I1084" s="83"/>
      <c r="J1084" s="83"/>
      <c r="K1084" s="83"/>
      <c r="L1084" s="83"/>
      <c r="M1084" s="83"/>
      <c r="N1084" s="83"/>
      <c r="O1084" s="83"/>
      <c r="P1084" s="83"/>
      <c r="Q1084" s="83"/>
      <c r="R1084" s="83"/>
      <c r="S1084" s="83"/>
      <c r="T1084" s="83"/>
      <c r="U1084" s="83"/>
      <c r="V1084" s="83"/>
      <c r="W1084" s="83"/>
    </row>
    <row r="1085">
      <c r="A1085" s="91"/>
      <c r="B1085" s="91"/>
      <c r="C1085" s="91"/>
      <c r="D1085" s="91"/>
      <c r="E1085" s="91"/>
      <c r="F1085" s="92"/>
      <c r="G1085" s="83"/>
      <c r="H1085" s="83"/>
      <c r="I1085" s="83"/>
      <c r="J1085" s="83"/>
      <c r="K1085" s="83"/>
      <c r="L1085" s="83"/>
      <c r="M1085" s="83"/>
      <c r="N1085" s="83"/>
      <c r="O1085" s="83"/>
      <c r="P1085" s="83"/>
      <c r="Q1085" s="83"/>
      <c r="R1085" s="83"/>
      <c r="S1085" s="83"/>
      <c r="T1085" s="83"/>
      <c r="U1085" s="83"/>
      <c r="V1085" s="83"/>
      <c r="W1085" s="83"/>
    </row>
    <row r="1086">
      <c r="A1086" s="91"/>
      <c r="B1086" s="91"/>
      <c r="C1086" s="91"/>
      <c r="D1086" s="91"/>
      <c r="E1086" s="91"/>
      <c r="F1086" s="92"/>
      <c r="G1086" s="83"/>
      <c r="H1086" s="83"/>
      <c r="I1086" s="83"/>
      <c r="J1086" s="83"/>
      <c r="K1086" s="83"/>
      <c r="L1086" s="83"/>
      <c r="M1086" s="83"/>
      <c r="N1086" s="83"/>
      <c r="O1086" s="83"/>
      <c r="P1086" s="83"/>
      <c r="Q1086" s="83"/>
      <c r="R1086" s="83"/>
      <c r="S1086" s="83"/>
      <c r="T1086" s="83"/>
      <c r="U1086" s="83"/>
      <c r="V1086" s="83"/>
      <c r="W1086" s="83"/>
    </row>
    <row r="1087">
      <c r="A1087" s="91"/>
      <c r="B1087" s="91"/>
      <c r="C1087" s="91"/>
      <c r="D1087" s="91"/>
      <c r="E1087" s="91"/>
      <c r="F1087" s="92"/>
      <c r="G1087" s="83"/>
      <c r="H1087" s="83"/>
      <c r="I1087" s="83"/>
      <c r="J1087" s="83"/>
      <c r="K1087" s="83"/>
      <c r="L1087" s="83"/>
      <c r="M1087" s="83"/>
      <c r="N1087" s="83"/>
      <c r="O1087" s="83"/>
      <c r="P1087" s="83"/>
      <c r="Q1087" s="83"/>
      <c r="R1087" s="83"/>
      <c r="S1087" s="83"/>
      <c r="T1087" s="83"/>
      <c r="U1087" s="83"/>
      <c r="V1087" s="83"/>
      <c r="W1087" s="83"/>
    </row>
    <row r="1088">
      <c r="A1088" s="91"/>
      <c r="B1088" s="91"/>
      <c r="C1088" s="91"/>
      <c r="D1088" s="91"/>
      <c r="E1088" s="91"/>
      <c r="F1088" s="92"/>
      <c r="G1088" s="83"/>
      <c r="H1088" s="83"/>
      <c r="I1088" s="83"/>
      <c r="J1088" s="83"/>
      <c r="K1088" s="83"/>
      <c r="L1088" s="83"/>
      <c r="M1088" s="83"/>
      <c r="N1088" s="83"/>
      <c r="O1088" s="83"/>
      <c r="P1088" s="83"/>
      <c r="Q1088" s="83"/>
      <c r="R1088" s="83"/>
      <c r="S1088" s="83"/>
      <c r="T1088" s="83"/>
      <c r="U1088" s="83"/>
      <c r="V1088" s="83"/>
      <c r="W1088" s="83"/>
    </row>
    <row r="1089">
      <c r="A1089" s="91"/>
      <c r="B1089" s="91"/>
      <c r="C1089" s="91"/>
      <c r="D1089" s="91"/>
      <c r="E1089" s="91"/>
      <c r="F1089" s="92"/>
      <c r="G1089" s="83"/>
      <c r="H1089" s="83"/>
      <c r="I1089" s="83"/>
      <c r="J1089" s="83"/>
      <c r="K1089" s="83"/>
      <c r="L1089" s="83"/>
      <c r="M1089" s="83"/>
      <c r="N1089" s="83"/>
      <c r="O1089" s="83"/>
      <c r="P1089" s="83"/>
      <c r="Q1089" s="83"/>
      <c r="R1089" s="83"/>
      <c r="S1089" s="83"/>
      <c r="T1089" s="83"/>
      <c r="U1089" s="83"/>
      <c r="V1089" s="83"/>
      <c r="W1089" s="83"/>
    </row>
    <row r="1090">
      <c r="A1090" s="91"/>
      <c r="B1090" s="91"/>
      <c r="C1090" s="91"/>
      <c r="D1090" s="91"/>
      <c r="E1090" s="91"/>
      <c r="F1090" s="92"/>
      <c r="G1090" s="83"/>
      <c r="H1090" s="83"/>
      <c r="I1090" s="83"/>
      <c r="J1090" s="83"/>
      <c r="K1090" s="83"/>
      <c r="L1090" s="83"/>
      <c r="M1090" s="83"/>
      <c r="N1090" s="83"/>
      <c r="O1090" s="83"/>
      <c r="P1090" s="83"/>
      <c r="Q1090" s="83"/>
      <c r="R1090" s="83"/>
      <c r="S1090" s="83"/>
      <c r="T1090" s="83"/>
      <c r="U1090" s="83"/>
      <c r="V1090" s="83"/>
      <c r="W1090" s="83"/>
    </row>
    <row r="1091">
      <c r="A1091" s="91"/>
      <c r="B1091" s="91"/>
      <c r="C1091" s="91"/>
      <c r="D1091" s="91"/>
      <c r="E1091" s="91"/>
      <c r="F1091" s="92"/>
      <c r="G1091" s="83"/>
      <c r="H1091" s="83"/>
      <c r="I1091" s="83"/>
      <c r="J1091" s="83"/>
      <c r="K1091" s="83"/>
      <c r="L1091" s="83"/>
      <c r="M1091" s="83"/>
      <c r="N1091" s="83"/>
      <c r="O1091" s="83"/>
      <c r="P1091" s="83"/>
      <c r="Q1091" s="83"/>
      <c r="R1091" s="83"/>
      <c r="S1091" s="83"/>
      <c r="T1091" s="83"/>
      <c r="U1091" s="83"/>
      <c r="V1091" s="83"/>
      <c r="W1091" s="83"/>
    </row>
    <row r="1092">
      <c r="A1092" s="91"/>
      <c r="B1092" s="91"/>
      <c r="C1092" s="91"/>
      <c r="D1092" s="91"/>
      <c r="E1092" s="91"/>
      <c r="F1092" s="92"/>
      <c r="G1092" s="83"/>
      <c r="H1092" s="83"/>
      <c r="I1092" s="83"/>
      <c r="J1092" s="83"/>
      <c r="K1092" s="83"/>
      <c r="L1092" s="83"/>
      <c r="M1092" s="83"/>
      <c r="N1092" s="83"/>
      <c r="O1092" s="83"/>
      <c r="P1092" s="83"/>
      <c r="Q1092" s="83"/>
      <c r="R1092" s="83"/>
      <c r="S1092" s="83"/>
      <c r="T1092" s="83"/>
      <c r="U1092" s="83"/>
      <c r="V1092" s="83"/>
      <c r="W1092" s="83"/>
    </row>
    <row r="1093">
      <c r="A1093" s="91"/>
      <c r="B1093" s="91"/>
      <c r="C1093" s="91"/>
      <c r="D1093" s="91"/>
      <c r="E1093" s="91"/>
      <c r="F1093" s="92"/>
      <c r="G1093" s="83"/>
      <c r="H1093" s="83"/>
      <c r="I1093" s="83"/>
      <c r="J1093" s="83"/>
      <c r="K1093" s="83"/>
      <c r="L1093" s="83"/>
      <c r="M1093" s="83"/>
      <c r="N1093" s="83"/>
      <c r="O1093" s="83"/>
      <c r="P1093" s="83"/>
      <c r="Q1093" s="83"/>
      <c r="R1093" s="83"/>
      <c r="S1093" s="83"/>
      <c r="T1093" s="83"/>
      <c r="U1093" s="83"/>
      <c r="V1093" s="83"/>
      <c r="W1093" s="83"/>
    </row>
    <row r="1094">
      <c r="A1094" s="91"/>
      <c r="B1094" s="91"/>
      <c r="C1094" s="91"/>
      <c r="D1094" s="91"/>
      <c r="E1094" s="91"/>
      <c r="F1094" s="92"/>
      <c r="G1094" s="83"/>
      <c r="H1094" s="83"/>
      <c r="I1094" s="83"/>
      <c r="J1094" s="83"/>
      <c r="K1094" s="83"/>
      <c r="L1094" s="83"/>
      <c r="M1094" s="83"/>
      <c r="N1094" s="83"/>
      <c r="O1094" s="83"/>
      <c r="P1094" s="83"/>
      <c r="Q1094" s="83"/>
      <c r="R1094" s="83"/>
      <c r="S1094" s="83"/>
      <c r="T1094" s="83"/>
      <c r="U1094" s="83"/>
      <c r="V1094" s="83"/>
      <c r="W1094" s="83"/>
    </row>
    <row r="1095">
      <c r="A1095" s="91"/>
      <c r="B1095" s="91"/>
      <c r="C1095" s="91"/>
      <c r="D1095" s="91"/>
      <c r="E1095" s="91"/>
      <c r="F1095" s="92"/>
      <c r="G1095" s="83"/>
      <c r="H1095" s="83"/>
      <c r="I1095" s="83"/>
      <c r="J1095" s="83"/>
      <c r="K1095" s="83"/>
      <c r="L1095" s="83"/>
      <c r="M1095" s="83"/>
      <c r="N1095" s="83"/>
      <c r="O1095" s="83"/>
      <c r="P1095" s="83"/>
      <c r="Q1095" s="83"/>
      <c r="R1095" s="83"/>
      <c r="S1095" s="83"/>
      <c r="T1095" s="83"/>
      <c r="U1095" s="83"/>
      <c r="V1095" s="83"/>
      <c r="W1095" s="83"/>
    </row>
    <row r="1096">
      <c r="A1096" s="91"/>
      <c r="B1096" s="91"/>
      <c r="C1096" s="91"/>
      <c r="D1096" s="91"/>
      <c r="E1096" s="91"/>
      <c r="F1096" s="92"/>
      <c r="G1096" s="83"/>
      <c r="H1096" s="83"/>
      <c r="I1096" s="83"/>
      <c r="J1096" s="83"/>
      <c r="K1096" s="83"/>
      <c r="L1096" s="83"/>
      <c r="M1096" s="83"/>
      <c r="N1096" s="83"/>
      <c r="O1096" s="83"/>
      <c r="P1096" s="83"/>
      <c r="Q1096" s="83"/>
      <c r="R1096" s="83"/>
      <c r="S1096" s="83"/>
      <c r="T1096" s="83"/>
      <c r="U1096" s="83"/>
      <c r="V1096" s="83"/>
      <c r="W1096" s="83"/>
    </row>
    <row r="1097">
      <c r="A1097" s="91"/>
      <c r="B1097" s="91"/>
      <c r="C1097" s="91"/>
      <c r="D1097" s="91"/>
      <c r="E1097" s="91"/>
      <c r="F1097" s="92"/>
      <c r="G1097" s="83"/>
      <c r="H1097" s="83"/>
      <c r="I1097" s="83"/>
      <c r="J1097" s="83"/>
      <c r="K1097" s="83"/>
      <c r="L1097" s="83"/>
      <c r="M1097" s="83"/>
      <c r="N1097" s="83"/>
      <c r="O1097" s="83"/>
      <c r="P1097" s="83"/>
      <c r="Q1097" s="83"/>
      <c r="R1097" s="83"/>
      <c r="S1097" s="83"/>
      <c r="T1097" s="83"/>
      <c r="U1097" s="83"/>
      <c r="V1097" s="83"/>
      <c r="W1097" s="83"/>
    </row>
    <row r="1098">
      <c r="A1098" s="91"/>
      <c r="B1098" s="91"/>
      <c r="C1098" s="91"/>
      <c r="D1098" s="91"/>
      <c r="E1098" s="91"/>
      <c r="F1098" s="92"/>
      <c r="G1098" s="83"/>
      <c r="H1098" s="83"/>
      <c r="I1098" s="83"/>
      <c r="J1098" s="83"/>
      <c r="K1098" s="83"/>
      <c r="L1098" s="83"/>
      <c r="M1098" s="83"/>
      <c r="N1098" s="83"/>
      <c r="O1098" s="83"/>
      <c r="P1098" s="83"/>
      <c r="Q1098" s="83"/>
      <c r="R1098" s="83"/>
      <c r="S1098" s="83"/>
      <c r="T1098" s="83"/>
      <c r="U1098" s="83"/>
      <c r="V1098" s="83"/>
      <c r="W1098" s="83"/>
    </row>
    <row r="1099">
      <c r="A1099" s="91"/>
      <c r="B1099" s="91"/>
      <c r="C1099" s="91"/>
      <c r="D1099" s="91"/>
      <c r="E1099" s="91"/>
      <c r="F1099" s="92"/>
      <c r="G1099" s="83"/>
      <c r="H1099" s="83"/>
      <c r="I1099" s="83"/>
      <c r="J1099" s="83"/>
      <c r="K1099" s="83"/>
      <c r="L1099" s="83"/>
      <c r="M1099" s="83"/>
      <c r="N1099" s="83"/>
      <c r="O1099" s="83"/>
      <c r="P1099" s="83"/>
      <c r="Q1099" s="83"/>
      <c r="R1099" s="83"/>
      <c r="S1099" s="83"/>
      <c r="T1099" s="83"/>
      <c r="U1099" s="83"/>
      <c r="V1099" s="83"/>
      <c r="W1099" s="83"/>
    </row>
    <row r="1100">
      <c r="A1100" s="91"/>
      <c r="B1100" s="91"/>
      <c r="C1100" s="91"/>
      <c r="D1100" s="91"/>
      <c r="E1100" s="91"/>
      <c r="F1100" s="92"/>
      <c r="G1100" s="83"/>
      <c r="H1100" s="83"/>
      <c r="I1100" s="83"/>
      <c r="J1100" s="83"/>
      <c r="K1100" s="83"/>
      <c r="L1100" s="83"/>
      <c r="M1100" s="83"/>
      <c r="N1100" s="83"/>
      <c r="O1100" s="83"/>
      <c r="P1100" s="83"/>
      <c r="Q1100" s="83"/>
      <c r="R1100" s="83"/>
      <c r="S1100" s="83"/>
      <c r="T1100" s="83"/>
      <c r="U1100" s="83"/>
      <c r="V1100" s="83"/>
      <c r="W1100" s="83"/>
    </row>
    <row r="1101">
      <c r="A1101" s="91"/>
      <c r="B1101" s="91"/>
      <c r="C1101" s="91"/>
      <c r="D1101" s="91"/>
      <c r="E1101" s="91"/>
      <c r="F1101" s="92"/>
      <c r="G1101" s="83"/>
      <c r="H1101" s="83"/>
      <c r="I1101" s="83"/>
      <c r="J1101" s="83"/>
      <c r="K1101" s="83"/>
      <c r="L1101" s="83"/>
      <c r="M1101" s="83"/>
      <c r="N1101" s="83"/>
      <c r="O1101" s="83"/>
      <c r="P1101" s="83"/>
      <c r="Q1101" s="83"/>
      <c r="R1101" s="83"/>
      <c r="S1101" s="83"/>
      <c r="T1101" s="83"/>
      <c r="U1101" s="83"/>
      <c r="V1101" s="83"/>
      <c r="W1101" s="83"/>
    </row>
    <row r="1102">
      <c r="A1102" s="91"/>
      <c r="B1102" s="91"/>
      <c r="C1102" s="91"/>
      <c r="D1102" s="91"/>
      <c r="E1102" s="91"/>
      <c r="F1102" s="92"/>
      <c r="G1102" s="83"/>
      <c r="H1102" s="83"/>
      <c r="I1102" s="83"/>
      <c r="J1102" s="83"/>
      <c r="K1102" s="83"/>
      <c r="L1102" s="83"/>
      <c r="M1102" s="83"/>
      <c r="N1102" s="83"/>
      <c r="O1102" s="83"/>
      <c r="P1102" s="83"/>
      <c r="Q1102" s="83"/>
      <c r="R1102" s="83"/>
      <c r="S1102" s="83"/>
      <c r="T1102" s="83"/>
      <c r="U1102" s="83"/>
      <c r="V1102" s="83"/>
      <c r="W1102" s="83"/>
    </row>
    <row r="1103">
      <c r="A1103" s="91"/>
      <c r="B1103" s="91"/>
      <c r="C1103" s="91"/>
      <c r="D1103" s="91"/>
      <c r="E1103" s="91"/>
      <c r="F1103" s="92"/>
      <c r="G1103" s="83"/>
      <c r="H1103" s="83"/>
      <c r="I1103" s="83"/>
      <c r="J1103" s="83"/>
      <c r="K1103" s="83"/>
      <c r="L1103" s="83"/>
      <c r="M1103" s="83"/>
      <c r="N1103" s="83"/>
      <c r="O1103" s="83"/>
      <c r="P1103" s="83"/>
      <c r="Q1103" s="83"/>
      <c r="R1103" s="83"/>
      <c r="S1103" s="83"/>
      <c r="T1103" s="83"/>
      <c r="U1103" s="83"/>
      <c r="V1103" s="83"/>
      <c r="W1103" s="83"/>
    </row>
    <row r="1104">
      <c r="A1104" s="91"/>
      <c r="B1104" s="91"/>
      <c r="C1104" s="91"/>
      <c r="D1104" s="91"/>
      <c r="E1104" s="91"/>
      <c r="F1104" s="92"/>
      <c r="G1104" s="83"/>
      <c r="H1104" s="83"/>
      <c r="I1104" s="83"/>
      <c r="J1104" s="83"/>
      <c r="K1104" s="83"/>
      <c r="L1104" s="83"/>
      <c r="M1104" s="83"/>
      <c r="N1104" s="83"/>
      <c r="O1104" s="83"/>
      <c r="P1104" s="83"/>
      <c r="Q1104" s="83"/>
      <c r="R1104" s="83"/>
      <c r="S1104" s="83"/>
      <c r="T1104" s="83"/>
      <c r="U1104" s="83"/>
      <c r="V1104" s="83"/>
      <c r="W1104" s="83"/>
    </row>
    <row r="1105">
      <c r="A1105" s="91"/>
      <c r="B1105" s="91"/>
      <c r="C1105" s="91"/>
      <c r="D1105" s="91"/>
      <c r="E1105" s="91"/>
      <c r="F1105" s="92"/>
      <c r="G1105" s="83"/>
      <c r="H1105" s="83"/>
      <c r="I1105" s="83"/>
      <c r="J1105" s="83"/>
      <c r="K1105" s="83"/>
      <c r="L1105" s="83"/>
      <c r="M1105" s="83"/>
      <c r="N1105" s="83"/>
      <c r="O1105" s="83"/>
      <c r="P1105" s="83"/>
      <c r="Q1105" s="83"/>
      <c r="R1105" s="83"/>
      <c r="S1105" s="83"/>
      <c r="T1105" s="83"/>
      <c r="U1105" s="83"/>
      <c r="V1105" s="83"/>
      <c r="W1105" s="83"/>
    </row>
    <row r="1106">
      <c r="A1106" s="91"/>
      <c r="B1106" s="91"/>
      <c r="C1106" s="91"/>
      <c r="D1106" s="91"/>
      <c r="E1106" s="91"/>
      <c r="F1106" s="92"/>
      <c r="G1106" s="83"/>
      <c r="H1106" s="83"/>
      <c r="I1106" s="83"/>
      <c r="J1106" s="83"/>
      <c r="K1106" s="83"/>
      <c r="L1106" s="83"/>
      <c r="M1106" s="83"/>
      <c r="N1106" s="83"/>
      <c r="O1106" s="83"/>
      <c r="P1106" s="83"/>
      <c r="Q1106" s="83"/>
      <c r="R1106" s="83"/>
      <c r="S1106" s="83"/>
      <c r="T1106" s="83"/>
      <c r="U1106" s="83"/>
      <c r="V1106" s="83"/>
      <c r="W1106" s="83"/>
    </row>
    <row r="1107">
      <c r="A1107" s="91"/>
      <c r="B1107" s="91"/>
      <c r="C1107" s="91"/>
      <c r="D1107" s="91"/>
      <c r="E1107" s="91"/>
      <c r="F1107" s="92"/>
      <c r="G1107" s="83"/>
      <c r="H1107" s="83"/>
      <c r="I1107" s="83"/>
      <c r="J1107" s="83"/>
      <c r="K1107" s="83"/>
      <c r="L1107" s="83"/>
      <c r="M1107" s="83"/>
      <c r="N1107" s="83"/>
      <c r="O1107" s="83"/>
      <c r="P1107" s="83"/>
      <c r="Q1107" s="83"/>
      <c r="R1107" s="83"/>
      <c r="S1107" s="83"/>
      <c r="T1107" s="83"/>
      <c r="U1107" s="83"/>
      <c r="V1107" s="83"/>
      <c r="W1107" s="83"/>
    </row>
    <row r="1108">
      <c r="A1108" s="91"/>
      <c r="B1108" s="91"/>
      <c r="C1108" s="91"/>
      <c r="D1108" s="91"/>
      <c r="E1108" s="91"/>
      <c r="F1108" s="92"/>
      <c r="G1108" s="83"/>
      <c r="H1108" s="83"/>
      <c r="I1108" s="83"/>
      <c r="J1108" s="83"/>
      <c r="K1108" s="83"/>
      <c r="L1108" s="83"/>
      <c r="M1108" s="83"/>
      <c r="N1108" s="83"/>
      <c r="O1108" s="83"/>
      <c r="P1108" s="83"/>
      <c r="Q1108" s="83"/>
      <c r="R1108" s="83"/>
      <c r="S1108" s="83"/>
      <c r="T1108" s="83"/>
      <c r="U1108" s="83"/>
      <c r="V1108" s="83"/>
      <c r="W1108" s="83"/>
    </row>
    <row r="1109">
      <c r="A1109" s="91"/>
      <c r="B1109" s="91"/>
      <c r="C1109" s="91"/>
      <c r="D1109" s="91"/>
      <c r="E1109" s="91"/>
      <c r="F1109" s="92"/>
      <c r="G1109" s="83"/>
      <c r="H1109" s="83"/>
      <c r="I1109" s="83"/>
      <c r="J1109" s="83"/>
      <c r="K1109" s="83"/>
      <c r="L1109" s="83"/>
      <c r="M1109" s="83"/>
      <c r="N1109" s="83"/>
      <c r="O1109" s="83"/>
      <c r="P1109" s="83"/>
      <c r="Q1109" s="83"/>
      <c r="R1109" s="83"/>
      <c r="S1109" s="83"/>
      <c r="T1109" s="83"/>
      <c r="U1109" s="83"/>
      <c r="V1109" s="83"/>
      <c r="W1109" s="83"/>
    </row>
    <row r="1110">
      <c r="A1110" s="91"/>
      <c r="B1110" s="91"/>
      <c r="C1110" s="91"/>
      <c r="D1110" s="91"/>
      <c r="E1110" s="91"/>
      <c r="F1110" s="92"/>
      <c r="G1110" s="83"/>
      <c r="H1110" s="83"/>
      <c r="I1110" s="83"/>
      <c r="J1110" s="83"/>
      <c r="K1110" s="83"/>
      <c r="L1110" s="83"/>
      <c r="M1110" s="83"/>
      <c r="N1110" s="83"/>
      <c r="O1110" s="83"/>
      <c r="P1110" s="83"/>
      <c r="Q1110" s="83"/>
      <c r="R1110" s="83"/>
      <c r="S1110" s="83"/>
      <c r="T1110" s="83"/>
      <c r="U1110" s="83"/>
      <c r="V1110" s="83"/>
      <c r="W1110" s="83"/>
    </row>
    <row r="1111">
      <c r="A1111" s="91"/>
      <c r="B1111" s="91"/>
      <c r="C1111" s="91"/>
      <c r="D1111" s="91"/>
      <c r="E1111" s="91"/>
      <c r="F1111" s="92"/>
      <c r="G1111" s="83"/>
      <c r="H1111" s="83"/>
      <c r="I1111" s="83"/>
      <c r="J1111" s="83"/>
      <c r="K1111" s="83"/>
      <c r="L1111" s="83"/>
      <c r="M1111" s="83"/>
      <c r="N1111" s="83"/>
      <c r="O1111" s="83"/>
      <c r="P1111" s="83"/>
      <c r="Q1111" s="83"/>
      <c r="R1111" s="83"/>
      <c r="S1111" s="83"/>
      <c r="T1111" s="83"/>
      <c r="U1111" s="83"/>
      <c r="V1111" s="83"/>
      <c r="W1111" s="83"/>
    </row>
    <row r="1112">
      <c r="A1112" s="91"/>
      <c r="B1112" s="91"/>
      <c r="C1112" s="91"/>
      <c r="D1112" s="91"/>
      <c r="E1112" s="91"/>
      <c r="F1112" s="92"/>
      <c r="G1112" s="83"/>
      <c r="H1112" s="83"/>
      <c r="I1112" s="83"/>
      <c r="J1112" s="83"/>
      <c r="K1112" s="83"/>
      <c r="L1112" s="83"/>
      <c r="M1112" s="83"/>
      <c r="N1112" s="83"/>
      <c r="O1112" s="83"/>
      <c r="P1112" s="83"/>
      <c r="Q1112" s="83"/>
      <c r="R1112" s="83"/>
      <c r="S1112" s="83"/>
      <c r="T1112" s="83"/>
      <c r="U1112" s="83"/>
      <c r="V1112" s="83"/>
      <c r="W1112" s="83"/>
    </row>
    <row r="1113">
      <c r="A1113" s="91"/>
      <c r="B1113" s="91"/>
      <c r="C1113" s="91"/>
      <c r="D1113" s="91"/>
      <c r="E1113" s="91"/>
      <c r="F1113" s="92"/>
      <c r="G1113" s="83"/>
      <c r="H1113" s="83"/>
      <c r="I1113" s="83"/>
      <c r="J1113" s="83"/>
      <c r="K1113" s="83"/>
      <c r="L1113" s="83"/>
      <c r="M1113" s="83"/>
      <c r="N1113" s="83"/>
      <c r="O1113" s="83"/>
      <c r="P1113" s="83"/>
      <c r="Q1113" s="83"/>
      <c r="R1113" s="83"/>
      <c r="S1113" s="83"/>
      <c r="T1113" s="83"/>
      <c r="U1113" s="83"/>
      <c r="V1113" s="83"/>
      <c r="W1113" s="83"/>
    </row>
    <row r="1114">
      <c r="A1114" s="91"/>
      <c r="B1114" s="91"/>
      <c r="C1114" s="91"/>
      <c r="D1114" s="91"/>
      <c r="E1114" s="91"/>
      <c r="F1114" s="92"/>
      <c r="G1114" s="83"/>
      <c r="H1114" s="83"/>
      <c r="I1114" s="83"/>
      <c r="J1114" s="83"/>
      <c r="K1114" s="83"/>
      <c r="L1114" s="83"/>
      <c r="M1114" s="83"/>
      <c r="N1114" s="83"/>
      <c r="O1114" s="83"/>
      <c r="P1114" s="83"/>
      <c r="Q1114" s="83"/>
      <c r="R1114" s="83"/>
      <c r="S1114" s="83"/>
      <c r="T1114" s="83"/>
      <c r="U1114" s="83"/>
      <c r="V1114" s="83"/>
      <c r="W1114" s="83"/>
    </row>
    <row r="1115">
      <c r="A1115" s="91"/>
      <c r="B1115" s="91"/>
      <c r="C1115" s="91"/>
      <c r="D1115" s="91"/>
      <c r="E1115" s="91"/>
      <c r="F1115" s="92"/>
      <c r="G1115" s="83"/>
      <c r="H1115" s="83"/>
      <c r="I1115" s="83"/>
      <c r="J1115" s="83"/>
      <c r="K1115" s="83"/>
      <c r="L1115" s="83"/>
      <c r="M1115" s="83"/>
      <c r="N1115" s="83"/>
      <c r="O1115" s="83"/>
      <c r="P1115" s="83"/>
      <c r="Q1115" s="83"/>
      <c r="R1115" s="83"/>
      <c r="S1115" s="83"/>
      <c r="T1115" s="83"/>
      <c r="U1115" s="83"/>
      <c r="V1115" s="83"/>
      <c r="W1115" s="83"/>
    </row>
    <row r="1116">
      <c r="A1116" s="91"/>
      <c r="B1116" s="91"/>
      <c r="C1116" s="91"/>
      <c r="D1116" s="91"/>
      <c r="E1116" s="91"/>
      <c r="F1116" s="92"/>
      <c r="G1116" s="83"/>
      <c r="H1116" s="83"/>
      <c r="I1116" s="83"/>
      <c r="J1116" s="83"/>
      <c r="K1116" s="83"/>
      <c r="L1116" s="83"/>
      <c r="M1116" s="83"/>
      <c r="N1116" s="83"/>
      <c r="O1116" s="83"/>
      <c r="P1116" s="83"/>
      <c r="Q1116" s="83"/>
      <c r="R1116" s="83"/>
      <c r="S1116" s="83"/>
      <c r="T1116" s="83"/>
      <c r="U1116" s="83"/>
      <c r="V1116" s="83"/>
      <c r="W1116" s="83"/>
    </row>
    <row r="1117">
      <c r="A1117" s="91"/>
      <c r="B1117" s="91"/>
      <c r="C1117" s="91"/>
      <c r="D1117" s="91"/>
      <c r="E1117" s="91"/>
      <c r="F1117" s="92"/>
      <c r="G1117" s="83"/>
      <c r="H1117" s="83"/>
      <c r="I1117" s="83"/>
      <c r="J1117" s="83"/>
      <c r="K1117" s="83"/>
      <c r="L1117" s="83"/>
      <c r="M1117" s="83"/>
      <c r="N1117" s="83"/>
      <c r="O1117" s="83"/>
      <c r="P1117" s="83"/>
      <c r="Q1117" s="83"/>
      <c r="R1117" s="83"/>
      <c r="S1117" s="83"/>
      <c r="T1117" s="83"/>
      <c r="U1117" s="83"/>
      <c r="V1117" s="83"/>
      <c r="W1117" s="83"/>
    </row>
    <row r="1118">
      <c r="A1118" s="91"/>
      <c r="B1118" s="91"/>
      <c r="C1118" s="91"/>
      <c r="D1118" s="91"/>
      <c r="E1118" s="91"/>
      <c r="F1118" s="92"/>
      <c r="G1118" s="83"/>
      <c r="H1118" s="83"/>
      <c r="I1118" s="83"/>
      <c r="J1118" s="83"/>
      <c r="K1118" s="83"/>
      <c r="L1118" s="83"/>
      <c r="M1118" s="83"/>
      <c r="N1118" s="83"/>
      <c r="O1118" s="83"/>
      <c r="P1118" s="83"/>
      <c r="Q1118" s="83"/>
      <c r="R1118" s="83"/>
      <c r="S1118" s="83"/>
      <c r="T1118" s="83"/>
      <c r="U1118" s="83"/>
      <c r="V1118" s="83"/>
      <c r="W1118" s="83"/>
    </row>
    <row r="1119">
      <c r="A1119" s="91"/>
      <c r="B1119" s="91"/>
      <c r="C1119" s="91"/>
      <c r="D1119" s="91"/>
      <c r="E1119" s="91"/>
      <c r="F1119" s="92"/>
      <c r="G1119" s="83"/>
      <c r="H1119" s="83"/>
      <c r="I1119" s="83"/>
      <c r="J1119" s="83"/>
      <c r="K1119" s="83"/>
      <c r="L1119" s="83"/>
      <c r="M1119" s="83"/>
      <c r="N1119" s="83"/>
      <c r="O1119" s="83"/>
      <c r="P1119" s="83"/>
      <c r="Q1119" s="83"/>
      <c r="R1119" s="83"/>
      <c r="S1119" s="83"/>
      <c r="T1119" s="83"/>
      <c r="U1119" s="83"/>
      <c r="V1119" s="83"/>
      <c r="W1119" s="83"/>
    </row>
    <row r="1120">
      <c r="A1120" s="91"/>
      <c r="B1120" s="91"/>
      <c r="C1120" s="91"/>
      <c r="D1120" s="91"/>
      <c r="E1120" s="91"/>
      <c r="F1120" s="92"/>
      <c r="G1120" s="83"/>
      <c r="H1120" s="83"/>
      <c r="I1120" s="83"/>
      <c r="J1120" s="83"/>
      <c r="K1120" s="83"/>
      <c r="L1120" s="83"/>
      <c r="M1120" s="83"/>
      <c r="N1120" s="83"/>
      <c r="O1120" s="83"/>
      <c r="P1120" s="83"/>
      <c r="Q1120" s="83"/>
      <c r="R1120" s="83"/>
      <c r="S1120" s="83"/>
      <c r="T1120" s="83"/>
      <c r="U1120" s="83"/>
      <c r="V1120" s="83"/>
      <c r="W1120" s="83"/>
    </row>
    <row r="1121">
      <c r="A1121" s="91"/>
      <c r="B1121" s="91"/>
      <c r="C1121" s="91"/>
      <c r="D1121" s="91"/>
      <c r="E1121" s="91"/>
      <c r="F1121" s="92"/>
      <c r="G1121" s="83"/>
      <c r="H1121" s="83"/>
      <c r="I1121" s="83"/>
      <c r="J1121" s="83"/>
      <c r="K1121" s="83"/>
      <c r="L1121" s="83"/>
      <c r="M1121" s="83"/>
      <c r="N1121" s="83"/>
      <c r="O1121" s="83"/>
      <c r="P1121" s="83"/>
      <c r="Q1121" s="83"/>
      <c r="R1121" s="83"/>
      <c r="S1121" s="83"/>
      <c r="T1121" s="83"/>
      <c r="U1121" s="83"/>
      <c r="V1121" s="83"/>
      <c r="W1121" s="83"/>
    </row>
    <row r="1122">
      <c r="A1122" s="91"/>
      <c r="B1122" s="91"/>
      <c r="C1122" s="91"/>
      <c r="D1122" s="91"/>
      <c r="E1122" s="91"/>
      <c r="F1122" s="92"/>
      <c r="G1122" s="83"/>
      <c r="H1122" s="83"/>
      <c r="I1122" s="83"/>
      <c r="J1122" s="83"/>
      <c r="K1122" s="83"/>
      <c r="L1122" s="83"/>
      <c r="M1122" s="83"/>
      <c r="N1122" s="83"/>
      <c r="O1122" s="83"/>
      <c r="P1122" s="83"/>
      <c r="Q1122" s="83"/>
      <c r="R1122" s="83"/>
      <c r="S1122" s="83"/>
      <c r="T1122" s="83"/>
      <c r="U1122" s="83"/>
      <c r="V1122" s="83"/>
      <c r="W1122" s="83"/>
    </row>
    <row r="1123">
      <c r="A1123" s="91"/>
      <c r="B1123" s="91"/>
      <c r="C1123" s="91"/>
      <c r="D1123" s="91"/>
      <c r="E1123" s="91"/>
      <c r="F1123" s="92"/>
      <c r="G1123" s="83"/>
      <c r="H1123" s="83"/>
      <c r="I1123" s="83"/>
      <c r="J1123" s="83"/>
      <c r="K1123" s="83"/>
      <c r="L1123" s="83"/>
      <c r="M1123" s="83"/>
      <c r="N1123" s="83"/>
      <c r="O1123" s="83"/>
      <c r="P1123" s="83"/>
      <c r="Q1123" s="83"/>
      <c r="R1123" s="83"/>
      <c r="S1123" s="83"/>
      <c r="T1123" s="83"/>
      <c r="U1123" s="83"/>
      <c r="V1123" s="83"/>
      <c r="W1123" s="83"/>
    </row>
    <row r="1124">
      <c r="A1124" s="91"/>
      <c r="B1124" s="91"/>
      <c r="C1124" s="91"/>
      <c r="D1124" s="91"/>
      <c r="E1124" s="91"/>
      <c r="F1124" s="92"/>
      <c r="G1124" s="83"/>
      <c r="H1124" s="83"/>
      <c r="I1124" s="83"/>
      <c r="J1124" s="83"/>
      <c r="K1124" s="83"/>
      <c r="L1124" s="83"/>
      <c r="M1124" s="83"/>
      <c r="N1124" s="83"/>
      <c r="O1124" s="83"/>
      <c r="P1124" s="83"/>
      <c r="Q1124" s="83"/>
      <c r="R1124" s="83"/>
      <c r="S1124" s="83"/>
      <c r="T1124" s="83"/>
      <c r="U1124" s="83"/>
      <c r="V1124" s="83"/>
      <c r="W1124" s="83"/>
    </row>
    <row r="1125">
      <c r="A1125" s="91"/>
      <c r="B1125" s="91"/>
      <c r="C1125" s="91"/>
      <c r="D1125" s="91"/>
      <c r="E1125" s="91"/>
      <c r="F1125" s="92"/>
      <c r="G1125" s="83"/>
      <c r="H1125" s="83"/>
      <c r="I1125" s="83"/>
      <c r="J1125" s="83"/>
      <c r="K1125" s="83"/>
      <c r="L1125" s="83"/>
      <c r="M1125" s="83"/>
      <c r="N1125" s="83"/>
      <c r="O1125" s="83"/>
      <c r="P1125" s="83"/>
      <c r="Q1125" s="83"/>
      <c r="R1125" s="83"/>
      <c r="S1125" s="83"/>
      <c r="T1125" s="83"/>
      <c r="U1125" s="83"/>
      <c r="V1125" s="83"/>
      <c r="W1125" s="83"/>
    </row>
    <row r="1126">
      <c r="A1126" s="91"/>
      <c r="B1126" s="91"/>
      <c r="C1126" s="91"/>
      <c r="D1126" s="91"/>
      <c r="E1126" s="91"/>
      <c r="F1126" s="92"/>
      <c r="G1126" s="83"/>
      <c r="H1126" s="83"/>
      <c r="I1126" s="83"/>
      <c r="J1126" s="83"/>
      <c r="K1126" s="83"/>
      <c r="L1126" s="83"/>
      <c r="M1126" s="83"/>
      <c r="N1126" s="83"/>
      <c r="O1126" s="83"/>
      <c r="P1126" s="83"/>
      <c r="Q1126" s="83"/>
      <c r="R1126" s="83"/>
      <c r="S1126" s="83"/>
      <c r="T1126" s="83"/>
      <c r="U1126" s="83"/>
      <c r="V1126" s="83"/>
      <c r="W1126" s="83"/>
    </row>
    <row r="1127">
      <c r="A1127" s="91"/>
      <c r="B1127" s="91"/>
      <c r="C1127" s="91"/>
      <c r="D1127" s="91"/>
      <c r="E1127" s="91"/>
      <c r="F1127" s="92"/>
      <c r="G1127" s="83"/>
      <c r="H1127" s="83"/>
      <c r="I1127" s="83"/>
      <c r="J1127" s="83"/>
      <c r="K1127" s="83"/>
      <c r="L1127" s="83"/>
      <c r="M1127" s="83"/>
      <c r="N1127" s="83"/>
      <c r="O1127" s="83"/>
      <c r="P1127" s="83"/>
      <c r="Q1127" s="83"/>
      <c r="R1127" s="83"/>
      <c r="S1127" s="83"/>
      <c r="T1127" s="83"/>
      <c r="U1127" s="83"/>
      <c r="V1127" s="83"/>
      <c r="W1127" s="83"/>
    </row>
    <row r="1128">
      <c r="A1128" s="91"/>
      <c r="B1128" s="91"/>
      <c r="C1128" s="91"/>
      <c r="D1128" s="91"/>
      <c r="E1128" s="91"/>
      <c r="F1128" s="92"/>
      <c r="G1128" s="83"/>
      <c r="H1128" s="83"/>
      <c r="I1128" s="83"/>
      <c r="J1128" s="83"/>
      <c r="K1128" s="83"/>
      <c r="L1128" s="83"/>
      <c r="M1128" s="83"/>
      <c r="N1128" s="83"/>
      <c r="O1128" s="83"/>
      <c r="P1128" s="83"/>
      <c r="Q1128" s="83"/>
      <c r="R1128" s="83"/>
      <c r="S1128" s="83"/>
      <c r="T1128" s="83"/>
      <c r="U1128" s="83"/>
      <c r="V1128" s="83"/>
      <c r="W1128" s="83"/>
    </row>
    <row r="1129">
      <c r="A1129" s="91"/>
      <c r="B1129" s="91"/>
      <c r="C1129" s="91"/>
      <c r="D1129" s="91"/>
      <c r="E1129" s="91"/>
      <c r="F1129" s="92"/>
      <c r="G1129" s="83"/>
      <c r="H1129" s="83"/>
      <c r="I1129" s="83"/>
      <c r="J1129" s="83"/>
      <c r="K1129" s="83"/>
      <c r="L1129" s="83"/>
      <c r="M1129" s="83"/>
      <c r="N1129" s="83"/>
      <c r="O1129" s="83"/>
      <c r="P1129" s="83"/>
      <c r="Q1129" s="83"/>
      <c r="R1129" s="83"/>
      <c r="S1129" s="83"/>
      <c r="T1129" s="83"/>
      <c r="U1129" s="83"/>
      <c r="V1129" s="83"/>
      <c r="W1129" s="83"/>
    </row>
    <row r="1130">
      <c r="A1130" s="91"/>
      <c r="B1130" s="91"/>
      <c r="C1130" s="91"/>
      <c r="D1130" s="91"/>
      <c r="E1130" s="91"/>
      <c r="F1130" s="92"/>
      <c r="G1130" s="83"/>
      <c r="H1130" s="83"/>
      <c r="I1130" s="83"/>
      <c r="J1130" s="83"/>
      <c r="K1130" s="83"/>
      <c r="L1130" s="83"/>
      <c r="M1130" s="83"/>
      <c r="N1130" s="83"/>
      <c r="O1130" s="83"/>
      <c r="P1130" s="83"/>
      <c r="Q1130" s="83"/>
      <c r="R1130" s="83"/>
      <c r="S1130" s="83"/>
      <c r="T1130" s="83"/>
      <c r="U1130" s="83"/>
      <c r="V1130" s="83"/>
      <c r="W1130" s="83"/>
    </row>
    <row r="1131">
      <c r="A1131" s="91"/>
      <c r="B1131" s="91"/>
      <c r="C1131" s="91"/>
      <c r="D1131" s="91"/>
      <c r="E1131" s="91"/>
      <c r="F1131" s="92"/>
      <c r="G1131" s="83"/>
      <c r="H1131" s="83"/>
      <c r="I1131" s="83"/>
      <c r="J1131" s="83"/>
      <c r="K1131" s="83"/>
      <c r="L1131" s="83"/>
      <c r="M1131" s="83"/>
      <c r="N1131" s="83"/>
      <c r="O1131" s="83"/>
      <c r="P1131" s="83"/>
      <c r="Q1131" s="83"/>
      <c r="R1131" s="83"/>
      <c r="S1131" s="83"/>
      <c r="T1131" s="83"/>
      <c r="U1131" s="83"/>
      <c r="V1131" s="83"/>
      <c r="W1131" s="83"/>
    </row>
    <row r="1132">
      <c r="A1132" s="91"/>
      <c r="B1132" s="91"/>
      <c r="C1132" s="91"/>
      <c r="D1132" s="91"/>
      <c r="E1132" s="91"/>
      <c r="F1132" s="92"/>
      <c r="G1132" s="83"/>
      <c r="H1132" s="83"/>
      <c r="I1132" s="83"/>
      <c r="J1132" s="83"/>
      <c r="K1132" s="83"/>
      <c r="L1132" s="83"/>
      <c r="M1132" s="83"/>
      <c r="N1132" s="83"/>
      <c r="O1132" s="83"/>
      <c r="P1132" s="83"/>
      <c r="Q1132" s="83"/>
      <c r="R1132" s="83"/>
      <c r="S1132" s="83"/>
      <c r="T1132" s="83"/>
      <c r="U1132" s="83"/>
      <c r="V1132" s="83"/>
      <c r="W1132" s="83"/>
    </row>
    <row r="1133">
      <c r="A1133" s="91"/>
      <c r="B1133" s="91"/>
      <c r="C1133" s="91"/>
      <c r="D1133" s="91"/>
      <c r="E1133" s="91"/>
      <c r="F1133" s="92"/>
      <c r="G1133" s="83"/>
      <c r="H1133" s="83"/>
      <c r="I1133" s="83"/>
      <c r="J1133" s="83"/>
      <c r="K1133" s="83"/>
      <c r="L1133" s="83"/>
      <c r="M1133" s="83"/>
      <c r="N1133" s="83"/>
      <c r="O1133" s="83"/>
      <c r="P1133" s="83"/>
      <c r="Q1133" s="83"/>
      <c r="R1133" s="83"/>
      <c r="S1133" s="83"/>
      <c r="T1133" s="83"/>
      <c r="U1133" s="83"/>
      <c r="V1133" s="83"/>
      <c r="W1133" s="83"/>
    </row>
    <row r="1134">
      <c r="A1134" s="91"/>
      <c r="B1134" s="91"/>
      <c r="C1134" s="91"/>
      <c r="D1134" s="91"/>
      <c r="E1134" s="91"/>
      <c r="F1134" s="92"/>
      <c r="G1134" s="83"/>
      <c r="H1134" s="83"/>
      <c r="I1134" s="83"/>
      <c r="J1134" s="83"/>
      <c r="K1134" s="83"/>
      <c r="L1134" s="83"/>
      <c r="M1134" s="83"/>
      <c r="N1134" s="83"/>
      <c r="O1134" s="83"/>
      <c r="P1134" s="83"/>
      <c r="Q1134" s="83"/>
      <c r="R1134" s="83"/>
      <c r="S1134" s="83"/>
      <c r="T1134" s="83"/>
      <c r="U1134" s="83"/>
      <c r="V1134" s="83"/>
      <c r="W1134" s="83"/>
    </row>
    <row r="1135">
      <c r="A1135" s="91"/>
      <c r="B1135" s="91"/>
      <c r="C1135" s="91"/>
      <c r="D1135" s="91"/>
      <c r="E1135" s="91"/>
      <c r="F1135" s="92"/>
      <c r="G1135" s="83"/>
      <c r="H1135" s="83"/>
      <c r="I1135" s="83"/>
      <c r="J1135" s="83"/>
      <c r="K1135" s="83"/>
      <c r="L1135" s="83"/>
      <c r="M1135" s="83"/>
      <c r="N1135" s="83"/>
      <c r="O1135" s="83"/>
      <c r="P1135" s="83"/>
      <c r="Q1135" s="83"/>
      <c r="R1135" s="83"/>
      <c r="S1135" s="83"/>
      <c r="T1135" s="83"/>
      <c r="U1135" s="83"/>
      <c r="V1135" s="83"/>
      <c r="W1135" s="83"/>
    </row>
    <row r="1136">
      <c r="A1136" s="91"/>
      <c r="B1136" s="91"/>
      <c r="C1136" s="91"/>
      <c r="D1136" s="91"/>
      <c r="E1136" s="91"/>
      <c r="F1136" s="92"/>
      <c r="G1136" s="83"/>
      <c r="H1136" s="83"/>
      <c r="I1136" s="83"/>
      <c r="J1136" s="83"/>
      <c r="K1136" s="83"/>
      <c r="L1136" s="83"/>
      <c r="M1136" s="83"/>
      <c r="N1136" s="83"/>
      <c r="O1136" s="83"/>
      <c r="P1136" s="83"/>
      <c r="Q1136" s="83"/>
      <c r="R1136" s="83"/>
      <c r="S1136" s="83"/>
      <c r="T1136" s="83"/>
      <c r="U1136" s="83"/>
      <c r="V1136" s="83"/>
      <c r="W1136" s="83"/>
    </row>
    <row r="1137">
      <c r="A1137" s="91"/>
      <c r="B1137" s="91"/>
      <c r="C1137" s="91"/>
      <c r="D1137" s="91"/>
      <c r="E1137" s="91"/>
      <c r="F1137" s="92"/>
      <c r="G1137" s="83"/>
      <c r="H1137" s="83"/>
      <c r="I1137" s="83"/>
      <c r="J1137" s="83"/>
      <c r="K1137" s="83"/>
      <c r="L1137" s="83"/>
      <c r="M1137" s="83"/>
      <c r="N1137" s="83"/>
      <c r="O1137" s="83"/>
      <c r="P1137" s="83"/>
      <c r="Q1137" s="83"/>
      <c r="R1137" s="83"/>
      <c r="S1137" s="83"/>
      <c r="T1137" s="83"/>
      <c r="U1137" s="83"/>
      <c r="V1137" s="83"/>
      <c r="W1137" s="83"/>
    </row>
    <row r="1138">
      <c r="A1138" s="91"/>
      <c r="B1138" s="91"/>
      <c r="C1138" s="91"/>
      <c r="D1138" s="91"/>
      <c r="E1138" s="91"/>
      <c r="F1138" s="92"/>
      <c r="G1138" s="83"/>
      <c r="H1138" s="83"/>
      <c r="I1138" s="83"/>
      <c r="J1138" s="83"/>
      <c r="K1138" s="83"/>
      <c r="L1138" s="83"/>
      <c r="M1138" s="83"/>
      <c r="N1138" s="83"/>
      <c r="O1138" s="83"/>
      <c r="P1138" s="83"/>
      <c r="Q1138" s="83"/>
      <c r="R1138" s="83"/>
      <c r="S1138" s="83"/>
      <c r="T1138" s="83"/>
      <c r="U1138" s="83"/>
      <c r="V1138" s="83"/>
      <c r="W1138" s="83"/>
    </row>
    <row r="1139">
      <c r="A1139" s="91"/>
      <c r="B1139" s="91"/>
      <c r="C1139" s="91"/>
      <c r="D1139" s="91"/>
      <c r="E1139" s="91"/>
      <c r="F1139" s="92"/>
      <c r="G1139" s="83"/>
      <c r="H1139" s="83"/>
      <c r="I1139" s="83"/>
      <c r="J1139" s="83"/>
      <c r="K1139" s="83"/>
      <c r="L1139" s="83"/>
      <c r="M1139" s="83"/>
      <c r="N1139" s="83"/>
      <c r="O1139" s="83"/>
      <c r="P1139" s="83"/>
      <c r="Q1139" s="83"/>
      <c r="R1139" s="83"/>
      <c r="S1139" s="83"/>
      <c r="T1139" s="83"/>
      <c r="U1139" s="83"/>
      <c r="V1139" s="83"/>
      <c r="W1139" s="83"/>
    </row>
    <row r="1140">
      <c r="A1140" s="91"/>
      <c r="B1140" s="91"/>
      <c r="C1140" s="91"/>
      <c r="D1140" s="91"/>
      <c r="E1140" s="91"/>
      <c r="F1140" s="92"/>
      <c r="G1140" s="83"/>
      <c r="H1140" s="83"/>
      <c r="I1140" s="83"/>
      <c r="J1140" s="83"/>
      <c r="K1140" s="83"/>
      <c r="L1140" s="83"/>
      <c r="M1140" s="83"/>
      <c r="N1140" s="83"/>
      <c r="O1140" s="83"/>
      <c r="P1140" s="83"/>
      <c r="Q1140" s="83"/>
      <c r="R1140" s="83"/>
      <c r="S1140" s="83"/>
      <c r="T1140" s="83"/>
      <c r="U1140" s="83"/>
      <c r="V1140" s="83"/>
      <c r="W1140" s="83"/>
    </row>
    <row r="1141">
      <c r="A1141" s="91"/>
      <c r="B1141" s="91"/>
      <c r="C1141" s="91"/>
      <c r="D1141" s="91"/>
      <c r="E1141" s="91"/>
      <c r="F1141" s="92"/>
      <c r="G1141" s="83"/>
      <c r="H1141" s="83"/>
      <c r="I1141" s="83"/>
      <c r="J1141" s="83"/>
      <c r="K1141" s="83"/>
      <c r="L1141" s="83"/>
      <c r="M1141" s="83"/>
      <c r="N1141" s="83"/>
      <c r="O1141" s="83"/>
      <c r="P1141" s="83"/>
      <c r="Q1141" s="83"/>
      <c r="R1141" s="83"/>
      <c r="S1141" s="83"/>
      <c r="T1141" s="83"/>
      <c r="U1141" s="83"/>
      <c r="V1141" s="83"/>
      <c r="W1141" s="83"/>
    </row>
    <row r="1142">
      <c r="A1142" s="91"/>
      <c r="B1142" s="91"/>
      <c r="C1142" s="91"/>
      <c r="D1142" s="91"/>
      <c r="E1142" s="91"/>
      <c r="F1142" s="92"/>
      <c r="G1142" s="83"/>
      <c r="H1142" s="83"/>
      <c r="I1142" s="83"/>
      <c r="J1142" s="83"/>
      <c r="K1142" s="83"/>
      <c r="L1142" s="83"/>
      <c r="M1142" s="83"/>
      <c r="N1142" s="83"/>
      <c r="O1142" s="83"/>
      <c r="P1142" s="83"/>
      <c r="Q1142" s="83"/>
      <c r="R1142" s="83"/>
      <c r="S1142" s="83"/>
      <c r="T1142" s="83"/>
      <c r="U1142" s="83"/>
      <c r="V1142" s="83"/>
      <c r="W1142" s="83"/>
    </row>
    <row r="1143">
      <c r="A1143" s="91"/>
      <c r="B1143" s="91"/>
      <c r="C1143" s="91"/>
      <c r="D1143" s="91"/>
      <c r="E1143" s="91"/>
      <c r="F1143" s="92"/>
      <c r="G1143" s="83"/>
      <c r="H1143" s="83"/>
      <c r="I1143" s="83"/>
      <c r="J1143" s="83"/>
      <c r="K1143" s="83"/>
      <c r="L1143" s="83"/>
      <c r="M1143" s="83"/>
      <c r="N1143" s="83"/>
      <c r="O1143" s="83"/>
      <c r="P1143" s="83"/>
      <c r="Q1143" s="83"/>
      <c r="R1143" s="83"/>
      <c r="S1143" s="83"/>
      <c r="T1143" s="83"/>
      <c r="U1143" s="83"/>
      <c r="V1143" s="83"/>
      <c r="W1143" s="83"/>
    </row>
    <row r="1144">
      <c r="A1144" s="91"/>
      <c r="B1144" s="91"/>
      <c r="C1144" s="91"/>
      <c r="D1144" s="91"/>
      <c r="E1144" s="91"/>
      <c r="F1144" s="92"/>
      <c r="G1144" s="83"/>
      <c r="H1144" s="83"/>
      <c r="I1144" s="83"/>
      <c r="J1144" s="83"/>
      <c r="K1144" s="83"/>
      <c r="L1144" s="83"/>
      <c r="M1144" s="83"/>
      <c r="N1144" s="83"/>
      <c r="O1144" s="83"/>
      <c r="P1144" s="83"/>
      <c r="Q1144" s="83"/>
      <c r="R1144" s="83"/>
      <c r="S1144" s="83"/>
      <c r="T1144" s="83"/>
      <c r="U1144" s="83"/>
      <c r="V1144" s="83"/>
      <c r="W1144" s="83"/>
    </row>
    <row r="1145">
      <c r="A1145" s="91"/>
      <c r="B1145" s="91"/>
      <c r="C1145" s="91"/>
      <c r="D1145" s="91"/>
      <c r="E1145" s="91"/>
      <c r="F1145" s="92"/>
      <c r="G1145" s="83"/>
      <c r="H1145" s="83"/>
      <c r="I1145" s="83"/>
      <c r="J1145" s="83"/>
      <c r="K1145" s="83"/>
      <c r="L1145" s="83"/>
      <c r="M1145" s="83"/>
      <c r="N1145" s="83"/>
      <c r="O1145" s="83"/>
      <c r="P1145" s="83"/>
      <c r="Q1145" s="83"/>
      <c r="R1145" s="83"/>
      <c r="S1145" s="83"/>
      <c r="T1145" s="83"/>
      <c r="U1145" s="83"/>
      <c r="V1145" s="83"/>
      <c r="W1145" s="83"/>
    </row>
    <row r="1146">
      <c r="A1146" s="91"/>
      <c r="B1146" s="91"/>
      <c r="C1146" s="91"/>
      <c r="D1146" s="91"/>
      <c r="E1146" s="91"/>
      <c r="F1146" s="92"/>
      <c r="G1146" s="83"/>
      <c r="H1146" s="83"/>
      <c r="I1146" s="83"/>
      <c r="J1146" s="83"/>
      <c r="K1146" s="83"/>
      <c r="L1146" s="83"/>
      <c r="M1146" s="83"/>
      <c r="N1146" s="83"/>
      <c r="O1146" s="83"/>
      <c r="P1146" s="83"/>
      <c r="Q1146" s="83"/>
      <c r="R1146" s="83"/>
      <c r="S1146" s="83"/>
      <c r="T1146" s="83"/>
      <c r="U1146" s="83"/>
      <c r="V1146" s="83"/>
      <c r="W1146" s="83"/>
    </row>
    <row r="1147">
      <c r="A1147" s="91"/>
      <c r="B1147" s="91"/>
      <c r="C1147" s="91"/>
      <c r="D1147" s="91"/>
      <c r="E1147" s="91"/>
      <c r="F1147" s="92"/>
      <c r="G1147" s="83"/>
      <c r="H1147" s="83"/>
      <c r="I1147" s="83"/>
      <c r="J1147" s="83"/>
      <c r="K1147" s="83"/>
      <c r="L1147" s="83"/>
      <c r="M1147" s="83"/>
      <c r="N1147" s="83"/>
      <c r="O1147" s="83"/>
      <c r="P1147" s="83"/>
      <c r="Q1147" s="83"/>
      <c r="R1147" s="83"/>
      <c r="S1147" s="83"/>
      <c r="T1147" s="83"/>
      <c r="U1147" s="83"/>
      <c r="V1147" s="83"/>
      <c r="W1147" s="83"/>
    </row>
    <row r="1148">
      <c r="A1148" s="91"/>
      <c r="B1148" s="91"/>
      <c r="C1148" s="91"/>
      <c r="D1148" s="91"/>
      <c r="E1148" s="91"/>
      <c r="F1148" s="92"/>
      <c r="G1148" s="83"/>
      <c r="H1148" s="83"/>
      <c r="I1148" s="83"/>
      <c r="J1148" s="83"/>
      <c r="K1148" s="83"/>
      <c r="L1148" s="83"/>
      <c r="M1148" s="83"/>
      <c r="N1148" s="83"/>
      <c r="O1148" s="83"/>
      <c r="P1148" s="83"/>
      <c r="Q1148" s="83"/>
      <c r="R1148" s="83"/>
      <c r="S1148" s="83"/>
      <c r="T1148" s="83"/>
      <c r="U1148" s="83"/>
      <c r="V1148" s="83"/>
      <c r="W1148" s="83"/>
    </row>
    <row r="1149">
      <c r="A1149" s="91"/>
      <c r="B1149" s="91"/>
      <c r="C1149" s="91"/>
      <c r="D1149" s="91"/>
      <c r="E1149" s="91"/>
      <c r="F1149" s="92"/>
      <c r="G1149" s="83"/>
      <c r="H1149" s="83"/>
      <c r="I1149" s="83"/>
      <c r="J1149" s="83"/>
      <c r="K1149" s="83"/>
      <c r="L1149" s="83"/>
      <c r="M1149" s="83"/>
      <c r="N1149" s="83"/>
      <c r="O1149" s="83"/>
      <c r="P1149" s="83"/>
      <c r="Q1149" s="83"/>
      <c r="R1149" s="83"/>
      <c r="S1149" s="83"/>
      <c r="T1149" s="83"/>
      <c r="U1149" s="83"/>
      <c r="V1149" s="83"/>
      <c r="W1149" s="83"/>
    </row>
    <row r="1150">
      <c r="A1150" s="91"/>
      <c r="B1150" s="91"/>
      <c r="C1150" s="91"/>
      <c r="D1150" s="91"/>
      <c r="E1150" s="91"/>
      <c r="F1150" s="92"/>
      <c r="G1150" s="83"/>
      <c r="H1150" s="83"/>
      <c r="I1150" s="83"/>
      <c r="J1150" s="83"/>
      <c r="K1150" s="83"/>
      <c r="L1150" s="83"/>
      <c r="M1150" s="83"/>
      <c r="N1150" s="83"/>
      <c r="O1150" s="83"/>
      <c r="P1150" s="83"/>
      <c r="Q1150" s="83"/>
      <c r="R1150" s="83"/>
      <c r="S1150" s="83"/>
      <c r="T1150" s="83"/>
      <c r="U1150" s="83"/>
      <c r="V1150" s="83"/>
      <c r="W1150" s="83"/>
    </row>
    <row r="1151">
      <c r="A1151" s="91"/>
      <c r="B1151" s="91"/>
      <c r="C1151" s="91"/>
      <c r="D1151" s="91"/>
      <c r="E1151" s="91"/>
      <c r="F1151" s="92"/>
      <c r="G1151" s="83"/>
      <c r="H1151" s="83"/>
      <c r="I1151" s="83"/>
      <c r="J1151" s="83"/>
      <c r="K1151" s="83"/>
      <c r="L1151" s="83"/>
      <c r="M1151" s="83"/>
      <c r="N1151" s="83"/>
      <c r="O1151" s="83"/>
      <c r="P1151" s="83"/>
      <c r="Q1151" s="83"/>
      <c r="R1151" s="83"/>
      <c r="S1151" s="83"/>
      <c r="T1151" s="83"/>
      <c r="U1151" s="83"/>
      <c r="V1151" s="83"/>
      <c r="W1151" s="83"/>
    </row>
    <row r="1152">
      <c r="A1152" s="91"/>
      <c r="B1152" s="91"/>
      <c r="C1152" s="91"/>
      <c r="D1152" s="91"/>
      <c r="E1152" s="91"/>
      <c r="F1152" s="92"/>
      <c r="G1152" s="83"/>
      <c r="H1152" s="83"/>
      <c r="I1152" s="83"/>
      <c r="J1152" s="83"/>
      <c r="K1152" s="83"/>
      <c r="L1152" s="83"/>
      <c r="M1152" s="83"/>
      <c r="N1152" s="83"/>
      <c r="O1152" s="83"/>
      <c r="P1152" s="83"/>
      <c r="Q1152" s="83"/>
      <c r="R1152" s="83"/>
      <c r="S1152" s="83"/>
      <c r="T1152" s="83"/>
      <c r="U1152" s="83"/>
      <c r="V1152" s="83"/>
      <c r="W1152" s="83"/>
    </row>
    <row r="1153">
      <c r="A1153" s="91"/>
      <c r="B1153" s="91"/>
      <c r="C1153" s="91"/>
      <c r="D1153" s="91"/>
      <c r="E1153" s="91"/>
      <c r="F1153" s="92"/>
      <c r="G1153" s="83"/>
      <c r="H1153" s="83"/>
      <c r="I1153" s="83"/>
      <c r="J1153" s="83"/>
      <c r="K1153" s="83"/>
      <c r="L1153" s="83"/>
      <c r="M1153" s="83"/>
      <c r="N1153" s="83"/>
      <c r="O1153" s="83"/>
      <c r="P1153" s="83"/>
      <c r="Q1153" s="83"/>
      <c r="R1153" s="83"/>
      <c r="S1153" s="83"/>
      <c r="T1153" s="83"/>
      <c r="U1153" s="83"/>
      <c r="V1153" s="83"/>
      <c r="W1153" s="83"/>
    </row>
    <row r="1154">
      <c r="A1154" s="91"/>
      <c r="B1154" s="91"/>
      <c r="C1154" s="91"/>
      <c r="D1154" s="91"/>
      <c r="E1154" s="91"/>
      <c r="F1154" s="92"/>
      <c r="G1154" s="83"/>
      <c r="H1154" s="83"/>
      <c r="I1154" s="83"/>
      <c r="J1154" s="83"/>
      <c r="K1154" s="83"/>
      <c r="L1154" s="83"/>
      <c r="M1154" s="83"/>
      <c r="N1154" s="83"/>
      <c r="O1154" s="83"/>
      <c r="P1154" s="83"/>
      <c r="Q1154" s="83"/>
      <c r="R1154" s="83"/>
      <c r="S1154" s="83"/>
      <c r="T1154" s="83"/>
      <c r="U1154" s="83"/>
      <c r="V1154" s="83"/>
      <c r="W1154" s="83"/>
    </row>
    <row r="1155">
      <c r="A1155" s="91"/>
      <c r="B1155" s="91"/>
      <c r="C1155" s="91"/>
      <c r="D1155" s="91"/>
      <c r="E1155" s="91"/>
      <c r="F1155" s="92"/>
      <c r="G1155" s="83"/>
      <c r="H1155" s="83"/>
      <c r="I1155" s="83"/>
      <c r="J1155" s="83"/>
      <c r="K1155" s="83"/>
      <c r="L1155" s="83"/>
      <c r="M1155" s="83"/>
      <c r="N1155" s="83"/>
      <c r="O1155" s="83"/>
      <c r="P1155" s="83"/>
      <c r="Q1155" s="83"/>
      <c r="R1155" s="83"/>
      <c r="S1155" s="83"/>
      <c r="T1155" s="83"/>
      <c r="U1155" s="83"/>
      <c r="V1155" s="83"/>
      <c r="W1155" s="83"/>
    </row>
    <row r="1156">
      <c r="A1156" s="91"/>
      <c r="B1156" s="91"/>
      <c r="C1156" s="91"/>
      <c r="D1156" s="91"/>
      <c r="E1156" s="91"/>
      <c r="F1156" s="92"/>
      <c r="G1156" s="83"/>
      <c r="H1156" s="83"/>
      <c r="I1156" s="83"/>
      <c r="J1156" s="83"/>
      <c r="K1156" s="83"/>
      <c r="L1156" s="83"/>
      <c r="M1156" s="83"/>
      <c r="N1156" s="83"/>
      <c r="O1156" s="83"/>
      <c r="P1156" s="83"/>
      <c r="Q1156" s="83"/>
      <c r="R1156" s="83"/>
      <c r="S1156" s="83"/>
      <c r="T1156" s="83"/>
      <c r="U1156" s="83"/>
      <c r="V1156" s="83"/>
      <c r="W1156" s="83"/>
    </row>
    <row r="1157">
      <c r="A1157" s="91"/>
      <c r="B1157" s="91"/>
      <c r="C1157" s="91"/>
      <c r="D1157" s="91"/>
      <c r="E1157" s="91"/>
      <c r="F1157" s="92"/>
      <c r="G1157" s="83"/>
      <c r="H1157" s="83"/>
      <c r="I1157" s="83"/>
      <c r="J1157" s="83"/>
      <c r="K1157" s="83"/>
      <c r="L1157" s="83"/>
      <c r="M1157" s="83"/>
      <c r="N1157" s="83"/>
      <c r="O1157" s="83"/>
      <c r="P1157" s="83"/>
      <c r="Q1157" s="83"/>
      <c r="R1157" s="83"/>
      <c r="S1157" s="83"/>
      <c r="T1157" s="83"/>
      <c r="U1157" s="83"/>
      <c r="V1157" s="83"/>
      <c r="W1157" s="83"/>
    </row>
    <row r="1158">
      <c r="A1158" s="91"/>
      <c r="B1158" s="91"/>
      <c r="C1158" s="91"/>
      <c r="D1158" s="91"/>
      <c r="E1158" s="91"/>
      <c r="F1158" s="92"/>
      <c r="G1158" s="83"/>
      <c r="H1158" s="83"/>
      <c r="I1158" s="83"/>
      <c r="J1158" s="83"/>
      <c r="K1158" s="83"/>
      <c r="L1158" s="83"/>
      <c r="M1158" s="83"/>
      <c r="N1158" s="83"/>
      <c r="O1158" s="83"/>
      <c r="P1158" s="83"/>
      <c r="Q1158" s="83"/>
      <c r="R1158" s="83"/>
      <c r="S1158" s="83"/>
      <c r="T1158" s="83"/>
      <c r="U1158" s="83"/>
      <c r="V1158" s="83"/>
      <c r="W1158" s="83"/>
    </row>
    <row r="1159">
      <c r="A1159" s="91"/>
      <c r="B1159" s="91"/>
      <c r="C1159" s="91"/>
      <c r="D1159" s="91"/>
      <c r="E1159" s="91"/>
      <c r="F1159" s="92"/>
      <c r="G1159" s="83"/>
      <c r="H1159" s="83"/>
      <c r="I1159" s="83"/>
      <c r="J1159" s="83"/>
      <c r="K1159" s="83"/>
      <c r="L1159" s="83"/>
      <c r="M1159" s="83"/>
      <c r="N1159" s="83"/>
      <c r="O1159" s="83"/>
      <c r="P1159" s="83"/>
      <c r="Q1159" s="83"/>
      <c r="R1159" s="83"/>
      <c r="S1159" s="83"/>
      <c r="T1159" s="83"/>
      <c r="U1159" s="83"/>
      <c r="V1159" s="83"/>
      <c r="W1159" s="83"/>
    </row>
    <row r="1160">
      <c r="A1160" s="91"/>
      <c r="B1160" s="91"/>
      <c r="C1160" s="91"/>
      <c r="D1160" s="91"/>
      <c r="E1160" s="91"/>
      <c r="F1160" s="92"/>
      <c r="G1160" s="83"/>
      <c r="H1160" s="83"/>
      <c r="I1160" s="83"/>
      <c r="J1160" s="83"/>
      <c r="K1160" s="83"/>
      <c r="L1160" s="83"/>
      <c r="M1160" s="83"/>
      <c r="N1160" s="83"/>
      <c r="O1160" s="83"/>
      <c r="P1160" s="83"/>
      <c r="Q1160" s="83"/>
      <c r="R1160" s="83"/>
      <c r="S1160" s="83"/>
      <c r="T1160" s="83"/>
      <c r="U1160" s="83"/>
      <c r="V1160" s="83"/>
      <c r="W1160" s="83"/>
    </row>
    <row r="1161">
      <c r="A1161" s="91"/>
      <c r="B1161" s="91"/>
      <c r="C1161" s="91"/>
      <c r="D1161" s="91"/>
      <c r="E1161" s="91"/>
      <c r="F1161" s="92"/>
      <c r="G1161" s="83"/>
      <c r="H1161" s="83"/>
      <c r="I1161" s="83"/>
      <c r="J1161" s="83"/>
      <c r="K1161" s="83"/>
      <c r="L1161" s="83"/>
      <c r="M1161" s="83"/>
      <c r="N1161" s="83"/>
      <c r="O1161" s="83"/>
      <c r="P1161" s="83"/>
      <c r="Q1161" s="83"/>
      <c r="R1161" s="83"/>
      <c r="S1161" s="83"/>
      <c r="T1161" s="83"/>
      <c r="U1161" s="83"/>
      <c r="V1161" s="83"/>
      <c r="W1161" s="83"/>
    </row>
    <row r="1162">
      <c r="A1162" s="91"/>
      <c r="B1162" s="91"/>
      <c r="C1162" s="91"/>
      <c r="D1162" s="91"/>
      <c r="E1162" s="91"/>
      <c r="F1162" s="92"/>
      <c r="G1162" s="83"/>
      <c r="H1162" s="83"/>
      <c r="I1162" s="83"/>
      <c r="J1162" s="83"/>
      <c r="K1162" s="83"/>
      <c r="L1162" s="83"/>
      <c r="M1162" s="83"/>
      <c r="N1162" s="83"/>
      <c r="O1162" s="83"/>
      <c r="P1162" s="83"/>
      <c r="Q1162" s="83"/>
      <c r="R1162" s="83"/>
      <c r="S1162" s="83"/>
      <c r="T1162" s="83"/>
      <c r="U1162" s="83"/>
      <c r="V1162" s="83"/>
      <c r="W1162" s="83"/>
    </row>
    <row r="1163">
      <c r="A1163" s="91"/>
      <c r="B1163" s="91"/>
      <c r="C1163" s="91"/>
      <c r="D1163" s="91"/>
      <c r="E1163" s="91"/>
      <c r="F1163" s="92"/>
      <c r="G1163" s="83"/>
      <c r="H1163" s="83"/>
      <c r="I1163" s="83"/>
      <c r="J1163" s="83"/>
      <c r="K1163" s="83"/>
      <c r="L1163" s="83"/>
      <c r="M1163" s="83"/>
      <c r="N1163" s="83"/>
      <c r="O1163" s="83"/>
      <c r="P1163" s="83"/>
      <c r="Q1163" s="83"/>
      <c r="R1163" s="83"/>
      <c r="S1163" s="83"/>
      <c r="T1163" s="83"/>
      <c r="U1163" s="83"/>
      <c r="V1163" s="83"/>
      <c r="W1163" s="83"/>
    </row>
    <row r="1164">
      <c r="A1164" s="91"/>
      <c r="B1164" s="91"/>
      <c r="C1164" s="91"/>
      <c r="D1164" s="91"/>
      <c r="E1164" s="91"/>
      <c r="F1164" s="92"/>
      <c r="G1164" s="83"/>
      <c r="H1164" s="83"/>
      <c r="I1164" s="83"/>
      <c r="J1164" s="83"/>
      <c r="K1164" s="83"/>
      <c r="L1164" s="83"/>
      <c r="M1164" s="83"/>
      <c r="N1164" s="83"/>
      <c r="O1164" s="83"/>
      <c r="P1164" s="83"/>
      <c r="Q1164" s="83"/>
      <c r="R1164" s="83"/>
      <c r="S1164" s="83"/>
      <c r="T1164" s="83"/>
      <c r="U1164" s="83"/>
      <c r="V1164" s="83"/>
      <c r="W1164" s="83"/>
    </row>
    <row r="1165">
      <c r="A1165" s="91"/>
      <c r="B1165" s="91"/>
      <c r="C1165" s="91"/>
      <c r="D1165" s="91"/>
      <c r="E1165" s="91"/>
      <c r="F1165" s="92"/>
      <c r="G1165" s="83"/>
      <c r="H1165" s="83"/>
      <c r="I1165" s="83"/>
      <c r="J1165" s="83"/>
      <c r="K1165" s="83"/>
      <c r="L1165" s="83"/>
      <c r="M1165" s="83"/>
      <c r="N1165" s="83"/>
      <c r="O1165" s="83"/>
      <c r="P1165" s="83"/>
      <c r="Q1165" s="83"/>
      <c r="R1165" s="83"/>
      <c r="S1165" s="83"/>
      <c r="T1165" s="83"/>
      <c r="U1165" s="83"/>
      <c r="V1165" s="83"/>
      <c r="W1165" s="83"/>
    </row>
    <row r="1166">
      <c r="A1166" s="91"/>
      <c r="B1166" s="91"/>
      <c r="C1166" s="91"/>
      <c r="D1166" s="91"/>
      <c r="E1166" s="91"/>
      <c r="F1166" s="92"/>
      <c r="G1166" s="83"/>
      <c r="H1166" s="83"/>
      <c r="I1166" s="83"/>
      <c r="J1166" s="83"/>
      <c r="K1166" s="83"/>
      <c r="L1166" s="83"/>
      <c r="M1166" s="83"/>
      <c r="N1166" s="83"/>
      <c r="O1166" s="83"/>
      <c r="P1166" s="83"/>
      <c r="Q1166" s="83"/>
      <c r="R1166" s="83"/>
      <c r="S1166" s="83"/>
      <c r="T1166" s="83"/>
      <c r="U1166" s="83"/>
      <c r="V1166" s="83"/>
      <c r="W1166" s="83"/>
    </row>
    <row r="1167">
      <c r="A1167" s="91"/>
      <c r="B1167" s="91"/>
      <c r="C1167" s="91"/>
      <c r="D1167" s="91"/>
      <c r="E1167" s="91"/>
      <c r="F1167" s="92"/>
      <c r="G1167" s="83"/>
      <c r="H1167" s="83"/>
      <c r="I1167" s="83"/>
      <c r="J1167" s="83"/>
      <c r="K1167" s="83"/>
      <c r="L1167" s="83"/>
      <c r="M1167" s="83"/>
      <c r="N1167" s="83"/>
      <c r="O1167" s="83"/>
      <c r="P1167" s="83"/>
      <c r="Q1167" s="83"/>
      <c r="R1167" s="83"/>
      <c r="S1167" s="83"/>
      <c r="T1167" s="83"/>
      <c r="U1167" s="83"/>
      <c r="V1167" s="83"/>
      <c r="W1167" s="83"/>
    </row>
    <row r="1168">
      <c r="A1168" s="91"/>
      <c r="B1168" s="91"/>
      <c r="C1168" s="91"/>
      <c r="D1168" s="91"/>
      <c r="E1168" s="91"/>
      <c r="F1168" s="92"/>
      <c r="G1168" s="83"/>
      <c r="H1168" s="83"/>
      <c r="I1168" s="83"/>
      <c r="J1168" s="83"/>
      <c r="K1168" s="83"/>
      <c r="L1168" s="83"/>
      <c r="M1168" s="83"/>
      <c r="N1168" s="83"/>
      <c r="O1168" s="83"/>
      <c r="P1168" s="83"/>
      <c r="Q1168" s="83"/>
      <c r="R1168" s="83"/>
      <c r="S1168" s="83"/>
      <c r="T1168" s="83"/>
      <c r="U1168" s="83"/>
      <c r="V1168" s="83"/>
      <c r="W1168" s="83"/>
    </row>
    <row r="1169">
      <c r="A1169" s="91"/>
      <c r="B1169" s="91"/>
      <c r="C1169" s="91"/>
      <c r="D1169" s="91"/>
      <c r="E1169" s="91"/>
      <c r="F1169" s="92"/>
      <c r="G1169" s="83"/>
      <c r="H1169" s="83"/>
      <c r="I1169" s="83"/>
      <c r="J1169" s="83"/>
      <c r="K1169" s="83"/>
      <c r="L1169" s="83"/>
      <c r="M1169" s="83"/>
      <c r="N1169" s="83"/>
      <c r="O1169" s="83"/>
      <c r="P1169" s="83"/>
      <c r="Q1169" s="83"/>
      <c r="R1169" s="83"/>
      <c r="S1169" s="83"/>
      <c r="T1169" s="83"/>
      <c r="U1169" s="83"/>
      <c r="V1169" s="83"/>
      <c r="W1169" s="83"/>
    </row>
    <row r="1170">
      <c r="A1170" s="91"/>
      <c r="B1170" s="91"/>
      <c r="C1170" s="91"/>
      <c r="D1170" s="91"/>
      <c r="E1170" s="91"/>
      <c r="F1170" s="92"/>
      <c r="G1170" s="83"/>
      <c r="H1170" s="83"/>
      <c r="I1170" s="83"/>
      <c r="J1170" s="83"/>
      <c r="K1170" s="83"/>
      <c r="L1170" s="83"/>
      <c r="M1170" s="83"/>
      <c r="N1170" s="83"/>
      <c r="O1170" s="83"/>
      <c r="P1170" s="83"/>
      <c r="Q1170" s="83"/>
      <c r="R1170" s="83"/>
      <c r="S1170" s="83"/>
      <c r="T1170" s="83"/>
      <c r="U1170" s="83"/>
      <c r="V1170" s="83"/>
      <c r="W1170" s="83"/>
    </row>
    <row r="1171">
      <c r="A1171" s="91"/>
      <c r="B1171" s="91"/>
      <c r="C1171" s="91"/>
      <c r="D1171" s="91"/>
      <c r="E1171" s="91"/>
      <c r="F1171" s="92"/>
      <c r="G1171" s="83"/>
      <c r="H1171" s="83"/>
      <c r="I1171" s="83"/>
      <c r="J1171" s="83"/>
      <c r="K1171" s="83"/>
      <c r="L1171" s="83"/>
      <c r="M1171" s="83"/>
      <c r="N1171" s="83"/>
      <c r="O1171" s="83"/>
      <c r="P1171" s="83"/>
      <c r="Q1171" s="83"/>
      <c r="R1171" s="83"/>
      <c r="S1171" s="83"/>
      <c r="T1171" s="83"/>
      <c r="U1171" s="83"/>
      <c r="V1171" s="83"/>
      <c r="W1171" s="83"/>
    </row>
    <row r="1172">
      <c r="A1172" s="91"/>
      <c r="B1172" s="91"/>
      <c r="C1172" s="91"/>
      <c r="D1172" s="91"/>
      <c r="E1172" s="91"/>
      <c r="F1172" s="92"/>
      <c r="G1172" s="83"/>
      <c r="H1172" s="83"/>
      <c r="I1172" s="83"/>
      <c r="J1172" s="83"/>
      <c r="K1172" s="83"/>
      <c r="L1172" s="83"/>
      <c r="M1172" s="83"/>
      <c r="N1172" s="83"/>
      <c r="O1172" s="83"/>
      <c r="P1172" s="83"/>
      <c r="Q1172" s="83"/>
      <c r="R1172" s="83"/>
      <c r="S1172" s="83"/>
      <c r="T1172" s="83"/>
      <c r="U1172" s="83"/>
      <c r="V1172" s="83"/>
      <c r="W1172" s="83"/>
    </row>
    <row r="1173">
      <c r="A1173" s="91"/>
      <c r="B1173" s="91"/>
      <c r="C1173" s="91"/>
      <c r="D1173" s="91"/>
      <c r="E1173" s="91"/>
      <c r="F1173" s="92"/>
      <c r="G1173" s="83"/>
      <c r="H1173" s="83"/>
      <c r="I1173" s="83"/>
      <c r="J1173" s="83"/>
      <c r="K1173" s="83"/>
      <c r="L1173" s="83"/>
      <c r="M1173" s="83"/>
      <c r="N1173" s="83"/>
      <c r="O1173" s="83"/>
      <c r="P1173" s="83"/>
      <c r="Q1173" s="83"/>
      <c r="R1173" s="83"/>
      <c r="S1173" s="83"/>
      <c r="T1173" s="83"/>
      <c r="U1173" s="83"/>
      <c r="V1173" s="83"/>
      <c r="W1173" s="83"/>
    </row>
    <row r="1174">
      <c r="A1174" s="91"/>
      <c r="B1174" s="91"/>
      <c r="C1174" s="91"/>
      <c r="D1174" s="91"/>
      <c r="E1174" s="91"/>
      <c r="F1174" s="92"/>
      <c r="G1174" s="83"/>
      <c r="H1174" s="83"/>
      <c r="I1174" s="83"/>
      <c r="J1174" s="83"/>
      <c r="K1174" s="83"/>
      <c r="L1174" s="83"/>
      <c r="M1174" s="83"/>
      <c r="N1174" s="83"/>
      <c r="O1174" s="83"/>
      <c r="P1174" s="83"/>
      <c r="Q1174" s="83"/>
      <c r="R1174" s="83"/>
      <c r="S1174" s="83"/>
      <c r="T1174" s="83"/>
      <c r="U1174" s="83"/>
      <c r="V1174" s="83"/>
      <c r="W1174" s="83"/>
    </row>
    <row r="1175">
      <c r="A1175" s="91"/>
      <c r="B1175" s="91"/>
      <c r="C1175" s="91"/>
      <c r="D1175" s="91"/>
      <c r="E1175" s="91"/>
      <c r="F1175" s="92"/>
      <c r="G1175" s="83"/>
      <c r="H1175" s="83"/>
      <c r="I1175" s="83"/>
      <c r="J1175" s="83"/>
      <c r="K1175" s="83"/>
      <c r="L1175" s="83"/>
      <c r="M1175" s="83"/>
      <c r="N1175" s="83"/>
      <c r="O1175" s="83"/>
      <c r="P1175" s="83"/>
      <c r="Q1175" s="83"/>
      <c r="R1175" s="83"/>
      <c r="S1175" s="83"/>
      <c r="T1175" s="83"/>
      <c r="U1175" s="83"/>
      <c r="V1175" s="83"/>
      <c r="W1175" s="83"/>
    </row>
    <row r="1176">
      <c r="A1176" s="91"/>
      <c r="B1176" s="91"/>
      <c r="C1176" s="91"/>
      <c r="D1176" s="91"/>
      <c r="E1176" s="91"/>
      <c r="F1176" s="92"/>
      <c r="G1176" s="83"/>
      <c r="H1176" s="83"/>
      <c r="I1176" s="83"/>
      <c r="J1176" s="83"/>
      <c r="K1176" s="83"/>
      <c r="L1176" s="83"/>
      <c r="M1176" s="83"/>
      <c r="N1176" s="83"/>
      <c r="O1176" s="83"/>
      <c r="P1176" s="83"/>
      <c r="Q1176" s="83"/>
      <c r="R1176" s="83"/>
      <c r="S1176" s="83"/>
      <c r="T1176" s="83"/>
      <c r="U1176" s="83"/>
      <c r="V1176" s="83"/>
      <c r="W1176" s="83"/>
    </row>
    <row r="1177">
      <c r="A1177" s="91"/>
      <c r="B1177" s="91"/>
      <c r="C1177" s="91"/>
      <c r="D1177" s="91"/>
      <c r="E1177" s="91"/>
      <c r="F1177" s="92"/>
      <c r="G1177" s="83"/>
      <c r="H1177" s="83"/>
      <c r="I1177" s="83"/>
      <c r="J1177" s="83"/>
      <c r="K1177" s="83"/>
      <c r="L1177" s="83"/>
      <c r="M1177" s="83"/>
      <c r="N1177" s="83"/>
      <c r="O1177" s="83"/>
      <c r="P1177" s="83"/>
      <c r="Q1177" s="83"/>
      <c r="R1177" s="83"/>
      <c r="S1177" s="83"/>
      <c r="T1177" s="83"/>
      <c r="U1177" s="83"/>
      <c r="V1177" s="83"/>
      <c r="W1177" s="83"/>
    </row>
    <row r="1178">
      <c r="A1178" s="91"/>
      <c r="B1178" s="91"/>
      <c r="C1178" s="91"/>
      <c r="D1178" s="91"/>
      <c r="E1178" s="91"/>
      <c r="F1178" s="92"/>
      <c r="G1178" s="83"/>
      <c r="H1178" s="83"/>
      <c r="I1178" s="83"/>
      <c r="J1178" s="83"/>
      <c r="K1178" s="83"/>
      <c r="L1178" s="83"/>
      <c r="M1178" s="83"/>
      <c r="N1178" s="83"/>
      <c r="O1178" s="83"/>
      <c r="P1178" s="83"/>
      <c r="Q1178" s="83"/>
      <c r="R1178" s="83"/>
      <c r="S1178" s="83"/>
      <c r="T1178" s="83"/>
      <c r="U1178" s="83"/>
      <c r="V1178" s="83"/>
      <c r="W1178" s="83"/>
    </row>
    <row r="1179">
      <c r="A1179" s="91"/>
      <c r="B1179" s="91"/>
      <c r="C1179" s="91"/>
      <c r="D1179" s="91"/>
      <c r="E1179" s="91"/>
      <c r="F1179" s="92"/>
      <c r="G1179" s="83"/>
      <c r="H1179" s="83"/>
      <c r="I1179" s="83"/>
      <c r="J1179" s="83"/>
      <c r="K1179" s="83"/>
      <c r="L1179" s="83"/>
      <c r="M1179" s="83"/>
      <c r="N1179" s="83"/>
      <c r="O1179" s="83"/>
      <c r="P1179" s="83"/>
      <c r="Q1179" s="83"/>
      <c r="R1179" s="83"/>
      <c r="S1179" s="83"/>
      <c r="T1179" s="83"/>
      <c r="U1179" s="83"/>
      <c r="V1179" s="83"/>
      <c r="W1179" s="83"/>
    </row>
    <row r="1180">
      <c r="A1180" s="91"/>
      <c r="B1180" s="91"/>
      <c r="C1180" s="91"/>
      <c r="D1180" s="91"/>
      <c r="E1180" s="91"/>
      <c r="F1180" s="92"/>
      <c r="G1180" s="83"/>
      <c r="H1180" s="83"/>
      <c r="I1180" s="83"/>
      <c r="J1180" s="83"/>
      <c r="K1180" s="83"/>
      <c r="L1180" s="83"/>
      <c r="M1180" s="83"/>
      <c r="N1180" s="83"/>
      <c r="O1180" s="83"/>
      <c r="P1180" s="83"/>
      <c r="Q1180" s="83"/>
      <c r="R1180" s="83"/>
      <c r="S1180" s="83"/>
      <c r="T1180" s="83"/>
      <c r="U1180" s="83"/>
      <c r="V1180" s="83"/>
      <c r="W1180" s="83"/>
    </row>
    <row r="1181">
      <c r="A1181" s="91"/>
      <c r="B1181" s="91"/>
      <c r="C1181" s="91"/>
      <c r="D1181" s="91"/>
      <c r="E1181" s="91"/>
      <c r="F1181" s="92"/>
      <c r="G1181" s="83"/>
      <c r="H1181" s="83"/>
      <c r="I1181" s="83"/>
      <c r="J1181" s="83"/>
      <c r="K1181" s="83"/>
      <c r="L1181" s="83"/>
      <c r="M1181" s="83"/>
      <c r="N1181" s="83"/>
      <c r="O1181" s="83"/>
      <c r="P1181" s="83"/>
      <c r="Q1181" s="83"/>
      <c r="R1181" s="83"/>
      <c r="S1181" s="83"/>
      <c r="T1181" s="83"/>
      <c r="U1181" s="83"/>
      <c r="V1181" s="83"/>
      <c r="W1181" s="83"/>
    </row>
    <row r="1182">
      <c r="A1182" s="91"/>
      <c r="B1182" s="91"/>
      <c r="C1182" s="91"/>
      <c r="D1182" s="91"/>
      <c r="E1182" s="91"/>
      <c r="F1182" s="92"/>
      <c r="G1182" s="83"/>
      <c r="H1182" s="83"/>
      <c r="I1182" s="83"/>
      <c r="J1182" s="83"/>
      <c r="K1182" s="83"/>
      <c r="L1182" s="83"/>
      <c r="M1182" s="83"/>
      <c r="N1182" s="83"/>
      <c r="O1182" s="83"/>
      <c r="P1182" s="83"/>
      <c r="Q1182" s="83"/>
      <c r="R1182" s="83"/>
      <c r="S1182" s="83"/>
      <c r="T1182" s="83"/>
      <c r="U1182" s="83"/>
      <c r="V1182" s="83"/>
      <c r="W1182" s="83"/>
    </row>
    <row r="1183">
      <c r="A1183" s="91"/>
      <c r="B1183" s="91"/>
      <c r="C1183" s="91"/>
      <c r="D1183" s="91"/>
      <c r="E1183" s="91"/>
      <c r="F1183" s="92"/>
      <c r="G1183" s="83"/>
      <c r="H1183" s="83"/>
      <c r="I1183" s="83"/>
      <c r="J1183" s="83"/>
      <c r="K1183" s="83"/>
      <c r="L1183" s="83"/>
      <c r="M1183" s="83"/>
      <c r="N1183" s="83"/>
      <c r="O1183" s="83"/>
      <c r="P1183" s="83"/>
      <c r="Q1183" s="83"/>
      <c r="R1183" s="83"/>
      <c r="S1183" s="83"/>
      <c r="T1183" s="83"/>
      <c r="U1183" s="83"/>
      <c r="V1183" s="83"/>
      <c r="W1183" s="83"/>
    </row>
    <row r="1184">
      <c r="A1184" s="91"/>
      <c r="B1184" s="91"/>
      <c r="C1184" s="91"/>
      <c r="D1184" s="91"/>
      <c r="E1184" s="91"/>
      <c r="F1184" s="92"/>
      <c r="G1184" s="83"/>
      <c r="H1184" s="83"/>
      <c r="I1184" s="83"/>
      <c r="J1184" s="83"/>
      <c r="K1184" s="83"/>
      <c r="L1184" s="83"/>
      <c r="M1184" s="83"/>
      <c r="N1184" s="83"/>
      <c r="O1184" s="83"/>
      <c r="P1184" s="83"/>
      <c r="Q1184" s="83"/>
      <c r="R1184" s="83"/>
      <c r="S1184" s="83"/>
      <c r="T1184" s="83"/>
      <c r="U1184" s="83"/>
      <c r="V1184" s="83"/>
      <c r="W1184" s="83"/>
    </row>
    <row r="1185">
      <c r="A1185" s="91"/>
      <c r="B1185" s="91"/>
      <c r="C1185" s="91"/>
      <c r="D1185" s="91"/>
      <c r="E1185" s="91"/>
      <c r="F1185" s="92"/>
      <c r="G1185" s="83"/>
      <c r="H1185" s="83"/>
      <c r="I1185" s="83"/>
      <c r="J1185" s="83"/>
      <c r="K1185" s="83"/>
      <c r="L1185" s="83"/>
      <c r="M1185" s="83"/>
      <c r="N1185" s="83"/>
      <c r="O1185" s="83"/>
      <c r="P1185" s="83"/>
      <c r="Q1185" s="83"/>
      <c r="R1185" s="83"/>
      <c r="S1185" s="83"/>
      <c r="T1185" s="83"/>
      <c r="U1185" s="83"/>
      <c r="V1185" s="83"/>
      <c r="W1185" s="83"/>
    </row>
    <row r="1186">
      <c r="A1186" s="91"/>
      <c r="B1186" s="91"/>
      <c r="C1186" s="91"/>
      <c r="D1186" s="91"/>
      <c r="E1186" s="91"/>
      <c r="F1186" s="92"/>
      <c r="G1186" s="83"/>
      <c r="H1186" s="83"/>
      <c r="I1186" s="83"/>
      <c r="J1186" s="83"/>
      <c r="K1186" s="83"/>
      <c r="L1186" s="83"/>
      <c r="M1186" s="83"/>
      <c r="N1186" s="83"/>
      <c r="O1186" s="83"/>
      <c r="P1186" s="83"/>
      <c r="Q1186" s="83"/>
      <c r="R1186" s="83"/>
      <c r="S1186" s="83"/>
      <c r="T1186" s="83"/>
      <c r="U1186" s="83"/>
      <c r="V1186" s="83"/>
      <c r="W1186" s="83"/>
    </row>
    <row r="1187">
      <c r="A1187" s="91"/>
      <c r="B1187" s="91"/>
      <c r="C1187" s="91"/>
      <c r="D1187" s="91"/>
      <c r="E1187" s="91"/>
      <c r="F1187" s="92"/>
      <c r="G1187" s="83"/>
      <c r="H1187" s="83"/>
      <c r="I1187" s="83"/>
      <c r="J1187" s="83"/>
      <c r="K1187" s="83"/>
      <c r="L1187" s="83"/>
      <c r="M1187" s="83"/>
      <c r="N1187" s="83"/>
      <c r="O1187" s="83"/>
      <c r="P1187" s="83"/>
      <c r="Q1187" s="83"/>
      <c r="R1187" s="83"/>
      <c r="S1187" s="83"/>
      <c r="T1187" s="83"/>
      <c r="U1187" s="83"/>
      <c r="V1187" s="83"/>
      <c r="W1187" s="83"/>
    </row>
    <row r="1188">
      <c r="A1188" s="91"/>
      <c r="B1188" s="91"/>
      <c r="C1188" s="91"/>
      <c r="D1188" s="91"/>
      <c r="E1188" s="91"/>
      <c r="F1188" s="92"/>
      <c r="G1188" s="83"/>
      <c r="H1188" s="83"/>
      <c r="I1188" s="83"/>
      <c r="J1188" s="83"/>
      <c r="K1188" s="83"/>
      <c r="L1188" s="83"/>
      <c r="M1188" s="83"/>
      <c r="N1188" s="83"/>
      <c r="O1188" s="83"/>
      <c r="P1188" s="83"/>
      <c r="Q1188" s="83"/>
      <c r="R1188" s="83"/>
      <c r="S1188" s="83"/>
      <c r="T1188" s="83"/>
      <c r="U1188" s="83"/>
      <c r="V1188" s="83"/>
      <c r="W1188" s="83"/>
    </row>
    <row r="1189">
      <c r="A1189" s="91"/>
      <c r="B1189" s="91"/>
      <c r="C1189" s="91"/>
      <c r="D1189" s="91"/>
      <c r="E1189" s="91"/>
      <c r="F1189" s="92"/>
      <c r="G1189" s="83"/>
      <c r="H1189" s="83"/>
      <c r="I1189" s="83"/>
      <c r="J1189" s="83"/>
      <c r="K1189" s="83"/>
      <c r="L1189" s="83"/>
      <c r="M1189" s="83"/>
      <c r="N1189" s="83"/>
      <c r="O1189" s="83"/>
      <c r="P1189" s="83"/>
      <c r="Q1189" s="83"/>
      <c r="R1189" s="83"/>
      <c r="S1189" s="83"/>
      <c r="T1189" s="83"/>
      <c r="U1189" s="83"/>
      <c r="V1189" s="83"/>
      <c r="W1189" s="83"/>
    </row>
    <row r="1190">
      <c r="A1190" s="91"/>
      <c r="B1190" s="91"/>
      <c r="C1190" s="91"/>
      <c r="D1190" s="91"/>
      <c r="E1190" s="91"/>
      <c r="F1190" s="92"/>
      <c r="G1190" s="83"/>
      <c r="H1190" s="83"/>
      <c r="I1190" s="83"/>
      <c r="J1190" s="83"/>
      <c r="K1190" s="83"/>
      <c r="L1190" s="83"/>
      <c r="M1190" s="83"/>
      <c r="N1190" s="83"/>
      <c r="O1190" s="83"/>
      <c r="P1190" s="83"/>
      <c r="Q1190" s="83"/>
      <c r="R1190" s="83"/>
      <c r="S1190" s="83"/>
      <c r="T1190" s="83"/>
      <c r="U1190" s="83"/>
      <c r="V1190" s="83"/>
      <c r="W1190" s="83"/>
    </row>
    <row r="1191">
      <c r="A1191" s="91"/>
      <c r="B1191" s="91"/>
      <c r="C1191" s="91"/>
      <c r="D1191" s="91"/>
      <c r="E1191" s="91"/>
      <c r="F1191" s="92"/>
      <c r="G1191" s="83"/>
      <c r="H1191" s="83"/>
      <c r="I1191" s="83"/>
      <c r="J1191" s="83"/>
      <c r="K1191" s="83"/>
      <c r="L1191" s="83"/>
      <c r="M1191" s="83"/>
      <c r="N1191" s="83"/>
      <c r="O1191" s="83"/>
      <c r="P1191" s="83"/>
      <c r="Q1191" s="83"/>
      <c r="R1191" s="83"/>
      <c r="S1191" s="83"/>
      <c r="T1191" s="83"/>
      <c r="U1191" s="83"/>
      <c r="V1191" s="83"/>
      <c r="W1191" s="83"/>
    </row>
    <row r="1192">
      <c r="A1192" s="91"/>
      <c r="B1192" s="91"/>
      <c r="C1192" s="91"/>
      <c r="D1192" s="91"/>
      <c r="E1192" s="91"/>
      <c r="F1192" s="92"/>
      <c r="G1192" s="83"/>
      <c r="H1192" s="83"/>
      <c r="I1192" s="83"/>
      <c r="J1192" s="83"/>
      <c r="K1192" s="83"/>
      <c r="L1192" s="83"/>
      <c r="M1192" s="83"/>
      <c r="N1192" s="83"/>
      <c r="O1192" s="83"/>
      <c r="P1192" s="83"/>
      <c r="Q1192" s="83"/>
      <c r="R1192" s="83"/>
      <c r="S1192" s="83"/>
      <c r="T1192" s="83"/>
      <c r="U1192" s="83"/>
      <c r="V1192" s="83"/>
      <c r="W1192" s="83"/>
    </row>
    <row r="1193">
      <c r="A1193" s="91"/>
      <c r="B1193" s="91"/>
      <c r="C1193" s="91"/>
      <c r="D1193" s="91"/>
      <c r="E1193" s="91"/>
      <c r="F1193" s="92"/>
      <c r="G1193" s="83"/>
      <c r="H1193" s="83"/>
      <c r="I1193" s="83"/>
      <c r="J1193" s="83"/>
      <c r="K1193" s="83"/>
      <c r="L1193" s="83"/>
      <c r="M1193" s="83"/>
      <c r="N1193" s="83"/>
      <c r="O1193" s="83"/>
      <c r="P1193" s="83"/>
      <c r="Q1193" s="83"/>
      <c r="R1193" s="83"/>
      <c r="S1193" s="83"/>
      <c r="T1193" s="83"/>
      <c r="U1193" s="83"/>
      <c r="V1193" s="83"/>
      <c r="W1193" s="83"/>
    </row>
    <row r="1194">
      <c r="A1194" s="91"/>
      <c r="B1194" s="91"/>
      <c r="C1194" s="91"/>
      <c r="D1194" s="91"/>
      <c r="E1194" s="91"/>
      <c r="F1194" s="92"/>
      <c r="G1194" s="83"/>
      <c r="H1194" s="83"/>
      <c r="I1194" s="83"/>
      <c r="J1194" s="83"/>
      <c r="K1194" s="83"/>
      <c r="L1194" s="83"/>
      <c r="M1194" s="83"/>
      <c r="N1194" s="83"/>
      <c r="O1194" s="83"/>
      <c r="P1194" s="83"/>
      <c r="Q1194" s="83"/>
      <c r="R1194" s="83"/>
      <c r="S1194" s="83"/>
      <c r="T1194" s="83"/>
      <c r="U1194" s="83"/>
      <c r="V1194" s="83"/>
      <c r="W1194" s="83"/>
    </row>
    <row r="1195">
      <c r="A1195" s="91"/>
      <c r="B1195" s="91"/>
      <c r="C1195" s="91"/>
      <c r="D1195" s="91"/>
      <c r="E1195" s="91"/>
      <c r="F1195" s="92"/>
      <c r="G1195" s="83"/>
      <c r="H1195" s="83"/>
      <c r="I1195" s="83"/>
      <c r="J1195" s="83"/>
      <c r="K1195" s="83"/>
      <c r="L1195" s="83"/>
      <c r="M1195" s="83"/>
      <c r="N1195" s="83"/>
      <c r="O1195" s="83"/>
      <c r="P1195" s="83"/>
      <c r="Q1195" s="83"/>
      <c r="R1195" s="83"/>
      <c r="S1195" s="83"/>
      <c r="T1195" s="83"/>
      <c r="U1195" s="83"/>
      <c r="V1195" s="83"/>
      <c r="W1195" s="83"/>
    </row>
    <row r="1196">
      <c r="A1196" s="91"/>
      <c r="B1196" s="91"/>
      <c r="C1196" s="91"/>
      <c r="D1196" s="91"/>
      <c r="E1196" s="91"/>
      <c r="F1196" s="92"/>
      <c r="G1196" s="83"/>
      <c r="H1196" s="83"/>
      <c r="I1196" s="83"/>
      <c r="J1196" s="83"/>
      <c r="K1196" s="83"/>
      <c r="L1196" s="83"/>
      <c r="M1196" s="83"/>
      <c r="N1196" s="83"/>
      <c r="O1196" s="83"/>
      <c r="P1196" s="83"/>
      <c r="Q1196" s="83"/>
      <c r="R1196" s="83"/>
      <c r="S1196" s="83"/>
      <c r="T1196" s="83"/>
      <c r="U1196" s="83"/>
      <c r="V1196" s="83"/>
      <c r="W1196" s="83"/>
    </row>
    <row r="1197">
      <c r="A1197" s="91"/>
      <c r="B1197" s="91"/>
      <c r="C1197" s="91"/>
      <c r="D1197" s="91"/>
      <c r="E1197" s="91"/>
      <c r="F1197" s="92"/>
      <c r="G1197" s="83"/>
      <c r="H1197" s="83"/>
      <c r="I1197" s="83"/>
      <c r="J1197" s="83"/>
      <c r="K1197" s="83"/>
      <c r="L1197" s="83"/>
      <c r="M1197" s="83"/>
      <c r="N1197" s="83"/>
      <c r="O1197" s="83"/>
      <c r="P1197" s="83"/>
      <c r="Q1197" s="83"/>
      <c r="R1197" s="83"/>
      <c r="S1197" s="83"/>
      <c r="T1197" s="83"/>
      <c r="U1197" s="83"/>
      <c r="V1197" s="83"/>
      <c r="W1197" s="83"/>
    </row>
    <row r="1198">
      <c r="A1198" s="91"/>
      <c r="B1198" s="91"/>
      <c r="C1198" s="91"/>
      <c r="D1198" s="91"/>
      <c r="E1198" s="91"/>
      <c r="F1198" s="92"/>
      <c r="G1198" s="83"/>
      <c r="H1198" s="83"/>
      <c r="I1198" s="83"/>
      <c r="J1198" s="83"/>
      <c r="K1198" s="83"/>
      <c r="L1198" s="83"/>
      <c r="M1198" s="83"/>
      <c r="N1198" s="83"/>
      <c r="O1198" s="83"/>
      <c r="P1198" s="83"/>
      <c r="Q1198" s="83"/>
      <c r="R1198" s="83"/>
      <c r="S1198" s="83"/>
      <c r="T1198" s="83"/>
      <c r="U1198" s="83"/>
      <c r="V1198" s="83"/>
      <c r="W1198" s="83"/>
    </row>
    <row r="1199">
      <c r="A1199" s="91"/>
      <c r="B1199" s="91"/>
      <c r="C1199" s="91"/>
      <c r="D1199" s="91"/>
      <c r="E1199" s="91"/>
      <c r="F1199" s="92"/>
      <c r="G1199" s="83"/>
      <c r="H1199" s="83"/>
      <c r="I1199" s="83"/>
      <c r="J1199" s="83"/>
      <c r="K1199" s="83"/>
      <c r="L1199" s="83"/>
      <c r="M1199" s="83"/>
      <c r="N1199" s="83"/>
      <c r="O1199" s="83"/>
      <c r="P1199" s="83"/>
      <c r="Q1199" s="83"/>
      <c r="R1199" s="83"/>
      <c r="S1199" s="83"/>
      <c r="T1199" s="83"/>
      <c r="U1199" s="83"/>
      <c r="V1199" s="83"/>
      <c r="W1199" s="83"/>
    </row>
    <row r="1200">
      <c r="A1200" s="91"/>
      <c r="B1200" s="91"/>
      <c r="C1200" s="91"/>
      <c r="D1200" s="91"/>
      <c r="E1200" s="91"/>
      <c r="F1200" s="92"/>
      <c r="G1200" s="83"/>
      <c r="H1200" s="83"/>
      <c r="I1200" s="83"/>
      <c r="J1200" s="83"/>
      <c r="K1200" s="83"/>
      <c r="L1200" s="83"/>
      <c r="M1200" s="83"/>
      <c r="N1200" s="83"/>
      <c r="O1200" s="83"/>
      <c r="P1200" s="83"/>
      <c r="Q1200" s="83"/>
      <c r="R1200" s="83"/>
      <c r="S1200" s="83"/>
      <c r="T1200" s="83"/>
      <c r="U1200" s="83"/>
      <c r="V1200" s="83"/>
      <c r="W1200" s="83"/>
    </row>
    <row r="1201">
      <c r="A1201" s="91"/>
      <c r="B1201" s="91"/>
      <c r="C1201" s="91"/>
      <c r="D1201" s="91"/>
      <c r="E1201" s="91"/>
      <c r="F1201" s="92"/>
      <c r="G1201" s="83"/>
      <c r="H1201" s="83"/>
      <c r="I1201" s="83"/>
      <c r="J1201" s="83"/>
      <c r="K1201" s="83"/>
      <c r="L1201" s="83"/>
      <c r="M1201" s="83"/>
      <c r="N1201" s="83"/>
      <c r="O1201" s="83"/>
      <c r="P1201" s="83"/>
      <c r="Q1201" s="83"/>
      <c r="R1201" s="83"/>
      <c r="S1201" s="83"/>
      <c r="T1201" s="83"/>
      <c r="U1201" s="83"/>
      <c r="V1201" s="83"/>
      <c r="W1201" s="83"/>
    </row>
    <row r="1202">
      <c r="A1202" s="91"/>
      <c r="B1202" s="91"/>
      <c r="C1202" s="91"/>
      <c r="D1202" s="91"/>
      <c r="E1202" s="91"/>
      <c r="F1202" s="92"/>
      <c r="G1202" s="83"/>
      <c r="H1202" s="83"/>
      <c r="I1202" s="83"/>
      <c r="J1202" s="83"/>
      <c r="K1202" s="83"/>
      <c r="L1202" s="83"/>
      <c r="M1202" s="83"/>
      <c r="N1202" s="83"/>
      <c r="O1202" s="83"/>
      <c r="P1202" s="83"/>
      <c r="Q1202" s="83"/>
      <c r="R1202" s="83"/>
      <c r="S1202" s="83"/>
      <c r="T1202" s="83"/>
      <c r="U1202" s="83"/>
      <c r="V1202" s="83"/>
      <c r="W1202" s="83"/>
    </row>
    <row r="1203">
      <c r="A1203" s="91"/>
      <c r="B1203" s="91"/>
      <c r="C1203" s="91"/>
      <c r="D1203" s="91"/>
      <c r="E1203" s="91"/>
      <c r="F1203" s="92"/>
      <c r="G1203" s="83"/>
      <c r="H1203" s="83"/>
      <c r="I1203" s="83"/>
      <c r="J1203" s="83"/>
      <c r="K1203" s="83"/>
      <c r="L1203" s="83"/>
      <c r="M1203" s="83"/>
      <c r="N1203" s="83"/>
      <c r="O1203" s="83"/>
      <c r="P1203" s="83"/>
      <c r="Q1203" s="83"/>
      <c r="R1203" s="83"/>
      <c r="S1203" s="83"/>
      <c r="T1203" s="83"/>
      <c r="U1203" s="83"/>
      <c r="V1203" s="83"/>
      <c r="W1203" s="83"/>
    </row>
    <row r="1204">
      <c r="A1204" s="91"/>
      <c r="B1204" s="91"/>
      <c r="C1204" s="91"/>
      <c r="D1204" s="91"/>
      <c r="E1204" s="91"/>
      <c r="F1204" s="92"/>
      <c r="G1204" s="83"/>
      <c r="H1204" s="83"/>
      <c r="I1204" s="83"/>
      <c r="J1204" s="83"/>
      <c r="K1204" s="83"/>
      <c r="L1204" s="83"/>
      <c r="M1204" s="83"/>
      <c r="N1204" s="83"/>
      <c r="O1204" s="83"/>
      <c r="P1204" s="83"/>
      <c r="Q1204" s="83"/>
      <c r="R1204" s="83"/>
      <c r="S1204" s="83"/>
      <c r="T1204" s="83"/>
      <c r="U1204" s="83"/>
      <c r="V1204" s="83"/>
      <c r="W1204" s="83"/>
    </row>
    <row r="1205">
      <c r="A1205" s="91"/>
      <c r="B1205" s="91"/>
      <c r="C1205" s="91"/>
      <c r="D1205" s="91"/>
      <c r="E1205" s="91"/>
      <c r="F1205" s="92"/>
      <c r="G1205" s="83"/>
      <c r="H1205" s="83"/>
      <c r="I1205" s="83"/>
      <c r="J1205" s="83"/>
      <c r="K1205" s="83"/>
      <c r="L1205" s="83"/>
      <c r="M1205" s="83"/>
      <c r="N1205" s="83"/>
      <c r="O1205" s="83"/>
      <c r="P1205" s="83"/>
      <c r="Q1205" s="83"/>
      <c r="R1205" s="83"/>
      <c r="S1205" s="83"/>
      <c r="T1205" s="83"/>
      <c r="U1205" s="83"/>
      <c r="V1205" s="83"/>
      <c r="W1205" s="83"/>
    </row>
    <row r="1206">
      <c r="A1206" s="91"/>
      <c r="B1206" s="91"/>
      <c r="C1206" s="91"/>
      <c r="D1206" s="91"/>
      <c r="E1206" s="91"/>
      <c r="F1206" s="92"/>
      <c r="G1206" s="83"/>
      <c r="H1206" s="83"/>
      <c r="I1206" s="83"/>
      <c r="J1206" s="83"/>
      <c r="K1206" s="83"/>
      <c r="L1206" s="83"/>
      <c r="M1206" s="83"/>
      <c r="N1206" s="83"/>
      <c r="O1206" s="83"/>
      <c r="P1206" s="83"/>
      <c r="Q1206" s="83"/>
      <c r="R1206" s="83"/>
      <c r="S1206" s="83"/>
      <c r="T1206" s="83"/>
      <c r="U1206" s="83"/>
      <c r="V1206" s="83"/>
      <c r="W1206" s="83"/>
    </row>
    <row r="1207">
      <c r="A1207" s="91"/>
      <c r="B1207" s="91"/>
      <c r="C1207" s="91"/>
      <c r="D1207" s="91"/>
      <c r="E1207" s="91"/>
      <c r="F1207" s="92"/>
      <c r="G1207" s="83"/>
      <c r="H1207" s="83"/>
      <c r="I1207" s="83"/>
      <c r="J1207" s="83"/>
      <c r="K1207" s="83"/>
      <c r="L1207" s="83"/>
      <c r="M1207" s="83"/>
      <c r="N1207" s="83"/>
      <c r="O1207" s="83"/>
      <c r="P1207" s="83"/>
      <c r="Q1207" s="83"/>
      <c r="R1207" s="83"/>
      <c r="S1207" s="83"/>
      <c r="T1207" s="83"/>
      <c r="U1207" s="83"/>
      <c r="V1207" s="83"/>
      <c r="W1207" s="83"/>
    </row>
    <row r="1208">
      <c r="A1208" s="91"/>
      <c r="B1208" s="91"/>
      <c r="C1208" s="91"/>
      <c r="D1208" s="91"/>
      <c r="E1208" s="91"/>
      <c r="F1208" s="92"/>
      <c r="G1208" s="83"/>
      <c r="H1208" s="83"/>
      <c r="I1208" s="83"/>
      <c r="J1208" s="83"/>
      <c r="K1208" s="83"/>
      <c r="L1208" s="83"/>
      <c r="M1208" s="83"/>
      <c r="N1208" s="83"/>
      <c r="O1208" s="83"/>
      <c r="P1208" s="83"/>
      <c r="Q1208" s="83"/>
      <c r="R1208" s="83"/>
      <c r="S1208" s="83"/>
      <c r="T1208" s="83"/>
      <c r="U1208" s="83"/>
      <c r="V1208" s="83"/>
      <c r="W1208" s="83"/>
    </row>
    <row r="1209">
      <c r="A1209" s="91"/>
      <c r="B1209" s="91"/>
      <c r="C1209" s="91"/>
      <c r="D1209" s="91"/>
      <c r="E1209" s="91"/>
      <c r="F1209" s="92"/>
      <c r="G1209" s="83"/>
      <c r="H1209" s="83"/>
      <c r="I1209" s="83"/>
      <c r="J1209" s="83"/>
      <c r="K1209" s="83"/>
      <c r="L1209" s="83"/>
      <c r="M1209" s="83"/>
      <c r="N1209" s="83"/>
      <c r="O1209" s="83"/>
      <c r="P1209" s="83"/>
      <c r="Q1209" s="83"/>
      <c r="R1209" s="83"/>
      <c r="S1209" s="83"/>
      <c r="T1209" s="83"/>
      <c r="U1209" s="83"/>
      <c r="V1209" s="83"/>
      <c r="W1209" s="83"/>
    </row>
    <row r="1210">
      <c r="A1210" s="91"/>
      <c r="B1210" s="91"/>
      <c r="C1210" s="91"/>
      <c r="D1210" s="91"/>
      <c r="E1210" s="91"/>
      <c r="F1210" s="92"/>
      <c r="G1210" s="83"/>
      <c r="H1210" s="83"/>
      <c r="I1210" s="83"/>
      <c r="J1210" s="83"/>
      <c r="K1210" s="83"/>
      <c r="L1210" s="83"/>
      <c r="M1210" s="83"/>
      <c r="N1210" s="83"/>
      <c r="O1210" s="83"/>
      <c r="P1210" s="83"/>
      <c r="Q1210" s="83"/>
      <c r="R1210" s="83"/>
      <c r="S1210" s="83"/>
      <c r="T1210" s="83"/>
      <c r="U1210" s="83"/>
      <c r="V1210" s="83"/>
      <c r="W1210" s="83"/>
    </row>
    <row r="1211">
      <c r="A1211" s="91"/>
      <c r="B1211" s="91"/>
      <c r="C1211" s="91"/>
      <c r="D1211" s="91"/>
      <c r="E1211" s="91"/>
      <c r="F1211" s="92"/>
      <c r="G1211" s="83"/>
      <c r="H1211" s="83"/>
      <c r="I1211" s="83"/>
      <c r="J1211" s="83"/>
      <c r="K1211" s="83"/>
      <c r="L1211" s="83"/>
      <c r="M1211" s="83"/>
      <c r="N1211" s="83"/>
      <c r="O1211" s="83"/>
      <c r="P1211" s="83"/>
      <c r="Q1211" s="83"/>
      <c r="R1211" s="83"/>
      <c r="S1211" s="83"/>
      <c r="T1211" s="83"/>
      <c r="U1211" s="83"/>
      <c r="V1211" s="83"/>
      <c r="W1211" s="83"/>
    </row>
    <row r="1212">
      <c r="A1212" s="91"/>
      <c r="B1212" s="91"/>
      <c r="C1212" s="91"/>
      <c r="D1212" s="91"/>
      <c r="E1212" s="91"/>
      <c r="F1212" s="92"/>
      <c r="G1212" s="83"/>
      <c r="H1212" s="83"/>
      <c r="I1212" s="83"/>
      <c r="J1212" s="83"/>
      <c r="K1212" s="83"/>
      <c r="L1212" s="83"/>
      <c r="M1212" s="83"/>
      <c r="N1212" s="83"/>
      <c r="O1212" s="83"/>
      <c r="P1212" s="83"/>
      <c r="Q1212" s="83"/>
      <c r="R1212" s="83"/>
      <c r="S1212" s="83"/>
      <c r="T1212" s="83"/>
      <c r="U1212" s="83"/>
      <c r="V1212" s="83"/>
      <c r="W1212" s="83"/>
    </row>
    <row r="1213">
      <c r="A1213" s="91"/>
      <c r="B1213" s="91"/>
      <c r="C1213" s="91"/>
      <c r="D1213" s="91"/>
      <c r="E1213" s="91"/>
      <c r="F1213" s="92"/>
      <c r="G1213" s="83"/>
      <c r="H1213" s="83"/>
      <c r="I1213" s="83"/>
      <c r="J1213" s="83"/>
      <c r="K1213" s="83"/>
      <c r="L1213" s="83"/>
      <c r="M1213" s="83"/>
      <c r="N1213" s="83"/>
      <c r="O1213" s="83"/>
      <c r="P1213" s="83"/>
      <c r="Q1213" s="83"/>
      <c r="R1213" s="83"/>
      <c r="S1213" s="83"/>
      <c r="T1213" s="83"/>
      <c r="U1213" s="83"/>
      <c r="V1213" s="83"/>
      <c r="W1213" s="83"/>
    </row>
    <row r="1214">
      <c r="A1214" s="91"/>
      <c r="B1214" s="91"/>
      <c r="C1214" s="91"/>
      <c r="D1214" s="91"/>
      <c r="E1214" s="91"/>
      <c r="F1214" s="92"/>
      <c r="G1214" s="83"/>
      <c r="H1214" s="83"/>
      <c r="I1214" s="83"/>
      <c r="J1214" s="83"/>
      <c r="K1214" s="83"/>
      <c r="L1214" s="83"/>
      <c r="M1214" s="83"/>
      <c r="N1214" s="83"/>
      <c r="O1214" s="83"/>
      <c r="P1214" s="83"/>
      <c r="Q1214" s="83"/>
      <c r="R1214" s="83"/>
      <c r="S1214" s="83"/>
      <c r="T1214" s="83"/>
      <c r="U1214" s="83"/>
      <c r="V1214" s="83"/>
      <c r="W1214" s="83"/>
    </row>
    <row r="1215">
      <c r="A1215" s="91"/>
      <c r="B1215" s="91"/>
      <c r="C1215" s="91"/>
      <c r="D1215" s="91"/>
      <c r="E1215" s="91"/>
      <c r="F1215" s="92"/>
      <c r="G1215" s="83"/>
      <c r="H1215" s="83"/>
      <c r="I1215" s="83"/>
      <c r="J1215" s="83"/>
      <c r="K1215" s="83"/>
      <c r="L1215" s="83"/>
      <c r="M1215" s="83"/>
      <c r="N1215" s="83"/>
      <c r="O1215" s="83"/>
      <c r="P1215" s="83"/>
      <c r="Q1215" s="83"/>
      <c r="R1215" s="83"/>
      <c r="S1215" s="83"/>
      <c r="T1215" s="83"/>
      <c r="U1215" s="83"/>
      <c r="V1215" s="83"/>
      <c r="W1215" s="83"/>
    </row>
    <row r="1216">
      <c r="A1216" s="91"/>
      <c r="B1216" s="91"/>
      <c r="C1216" s="91"/>
      <c r="D1216" s="91"/>
      <c r="E1216" s="91"/>
      <c r="F1216" s="92"/>
      <c r="G1216" s="83"/>
      <c r="H1216" s="83"/>
      <c r="I1216" s="83"/>
      <c r="J1216" s="83"/>
      <c r="K1216" s="83"/>
      <c r="L1216" s="83"/>
      <c r="M1216" s="83"/>
      <c r="N1216" s="83"/>
      <c r="O1216" s="83"/>
      <c r="P1216" s="83"/>
      <c r="Q1216" s="83"/>
      <c r="R1216" s="83"/>
      <c r="S1216" s="83"/>
      <c r="T1216" s="83"/>
      <c r="U1216" s="83"/>
      <c r="V1216" s="83"/>
      <c r="W1216" s="83"/>
    </row>
    <row r="1217">
      <c r="A1217" s="91"/>
      <c r="B1217" s="91"/>
      <c r="C1217" s="91"/>
      <c r="D1217" s="91"/>
      <c r="E1217" s="91"/>
      <c r="F1217" s="92"/>
      <c r="G1217" s="83"/>
      <c r="H1217" s="83"/>
      <c r="I1217" s="83"/>
      <c r="J1217" s="83"/>
      <c r="K1217" s="83"/>
      <c r="L1217" s="83"/>
      <c r="M1217" s="83"/>
      <c r="N1217" s="83"/>
      <c r="O1217" s="83"/>
      <c r="P1217" s="83"/>
      <c r="Q1217" s="83"/>
      <c r="R1217" s="83"/>
      <c r="S1217" s="83"/>
      <c r="T1217" s="83"/>
      <c r="U1217" s="83"/>
      <c r="V1217" s="83"/>
      <c r="W1217" s="83"/>
    </row>
    <row r="1218">
      <c r="A1218" s="91"/>
      <c r="B1218" s="91"/>
      <c r="C1218" s="91"/>
      <c r="D1218" s="91"/>
      <c r="E1218" s="91"/>
      <c r="F1218" s="92"/>
      <c r="G1218" s="83"/>
      <c r="H1218" s="83"/>
      <c r="I1218" s="83"/>
      <c r="J1218" s="83"/>
      <c r="K1218" s="83"/>
      <c r="L1218" s="83"/>
      <c r="M1218" s="83"/>
      <c r="N1218" s="83"/>
      <c r="O1218" s="83"/>
      <c r="P1218" s="83"/>
      <c r="Q1218" s="83"/>
      <c r="R1218" s="83"/>
      <c r="S1218" s="83"/>
      <c r="T1218" s="83"/>
      <c r="U1218" s="83"/>
      <c r="V1218" s="83"/>
      <c r="W1218" s="83"/>
    </row>
    <row r="1219">
      <c r="A1219" s="91"/>
      <c r="B1219" s="91"/>
      <c r="C1219" s="91"/>
      <c r="D1219" s="91"/>
      <c r="E1219" s="91"/>
      <c r="F1219" s="92"/>
      <c r="G1219" s="83"/>
      <c r="H1219" s="83"/>
      <c r="I1219" s="83"/>
      <c r="J1219" s="83"/>
      <c r="K1219" s="83"/>
      <c r="L1219" s="83"/>
      <c r="M1219" s="83"/>
      <c r="N1219" s="83"/>
      <c r="O1219" s="83"/>
      <c r="P1219" s="83"/>
      <c r="Q1219" s="83"/>
      <c r="R1219" s="83"/>
      <c r="S1219" s="83"/>
      <c r="T1219" s="83"/>
      <c r="U1219" s="83"/>
      <c r="V1219" s="83"/>
      <c r="W1219" s="83"/>
    </row>
    <row r="1220">
      <c r="A1220" s="91"/>
      <c r="B1220" s="91"/>
      <c r="C1220" s="91"/>
      <c r="D1220" s="91"/>
      <c r="E1220" s="91"/>
      <c r="F1220" s="92"/>
      <c r="G1220" s="83"/>
      <c r="H1220" s="83"/>
      <c r="I1220" s="83"/>
      <c r="J1220" s="83"/>
      <c r="K1220" s="83"/>
      <c r="L1220" s="83"/>
      <c r="M1220" s="83"/>
      <c r="N1220" s="83"/>
      <c r="O1220" s="83"/>
      <c r="P1220" s="83"/>
      <c r="Q1220" s="83"/>
      <c r="R1220" s="83"/>
      <c r="S1220" s="83"/>
      <c r="T1220" s="83"/>
      <c r="U1220" s="83"/>
      <c r="V1220" s="83"/>
      <c r="W1220" s="83"/>
    </row>
    <row r="1221">
      <c r="A1221" s="91"/>
      <c r="B1221" s="91"/>
      <c r="C1221" s="91"/>
      <c r="D1221" s="91"/>
      <c r="E1221" s="91"/>
      <c r="F1221" s="92"/>
      <c r="G1221" s="83"/>
      <c r="H1221" s="83"/>
      <c r="I1221" s="83"/>
      <c r="J1221" s="83"/>
      <c r="K1221" s="83"/>
      <c r="L1221" s="83"/>
      <c r="M1221" s="83"/>
      <c r="N1221" s="83"/>
      <c r="O1221" s="83"/>
      <c r="P1221" s="83"/>
      <c r="Q1221" s="83"/>
      <c r="R1221" s="83"/>
      <c r="S1221" s="83"/>
      <c r="T1221" s="83"/>
      <c r="U1221" s="83"/>
      <c r="V1221" s="83"/>
      <c r="W1221" s="83"/>
    </row>
    <row r="1222">
      <c r="A1222" s="91"/>
      <c r="B1222" s="91"/>
      <c r="C1222" s="91"/>
      <c r="D1222" s="91"/>
      <c r="E1222" s="91"/>
      <c r="F1222" s="92"/>
      <c r="G1222" s="83"/>
      <c r="H1222" s="83"/>
      <c r="I1222" s="83"/>
      <c r="J1222" s="83"/>
      <c r="K1222" s="83"/>
      <c r="L1222" s="83"/>
      <c r="M1222" s="83"/>
      <c r="N1222" s="83"/>
      <c r="O1222" s="83"/>
      <c r="P1222" s="83"/>
      <c r="Q1222" s="83"/>
      <c r="R1222" s="83"/>
      <c r="S1222" s="83"/>
      <c r="T1222" s="83"/>
      <c r="U1222" s="83"/>
      <c r="V1222" s="83"/>
      <c r="W1222" s="83"/>
    </row>
    <row r="1223">
      <c r="A1223" s="91"/>
      <c r="B1223" s="91"/>
      <c r="C1223" s="91"/>
      <c r="D1223" s="91"/>
      <c r="E1223" s="91"/>
      <c r="F1223" s="92"/>
      <c r="G1223" s="83"/>
      <c r="H1223" s="83"/>
      <c r="I1223" s="83"/>
      <c r="J1223" s="83"/>
      <c r="K1223" s="83"/>
      <c r="L1223" s="83"/>
      <c r="M1223" s="83"/>
      <c r="N1223" s="83"/>
      <c r="O1223" s="83"/>
      <c r="P1223" s="83"/>
      <c r="Q1223" s="83"/>
      <c r="R1223" s="83"/>
      <c r="S1223" s="83"/>
      <c r="T1223" s="83"/>
      <c r="U1223" s="83"/>
      <c r="V1223" s="83"/>
      <c r="W1223" s="83"/>
    </row>
    <row r="1224">
      <c r="A1224" s="91"/>
      <c r="B1224" s="91"/>
      <c r="C1224" s="91"/>
      <c r="D1224" s="91"/>
      <c r="E1224" s="91"/>
      <c r="F1224" s="92"/>
      <c r="G1224" s="83"/>
      <c r="H1224" s="83"/>
      <c r="I1224" s="83"/>
      <c r="J1224" s="83"/>
      <c r="K1224" s="83"/>
      <c r="L1224" s="83"/>
      <c r="M1224" s="83"/>
      <c r="N1224" s="83"/>
      <c r="O1224" s="83"/>
      <c r="P1224" s="83"/>
      <c r="Q1224" s="83"/>
      <c r="R1224" s="83"/>
      <c r="S1224" s="83"/>
      <c r="T1224" s="83"/>
      <c r="U1224" s="83"/>
      <c r="V1224" s="83"/>
      <c r="W1224" s="83"/>
    </row>
    <row r="1225">
      <c r="A1225" s="91"/>
      <c r="B1225" s="91"/>
      <c r="C1225" s="91"/>
      <c r="D1225" s="91"/>
      <c r="E1225" s="91"/>
      <c r="F1225" s="92"/>
      <c r="G1225" s="83"/>
      <c r="H1225" s="83"/>
      <c r="I1225" s="83"/>
      <c r="J1225" s="83"/>
      <c r="K1225" s="83"/>
      <c r="L1225" s="83"/>
      <c r="M1225" s="83"/>
      <c r="N1225" s="83"/>
      <c r="O1225" s="83"/>
      <c r="P1225" s="83"/>
      <c r="Q1225" s="83"/>
      <c r="R1225" s="83"/>
      <c r="S1225" s="83"/>
      <c r="T1225" s="83"/>
      <c r="U1225" s="83"/>
      <c r="V1225" s="83"/>
      <c r="W1225" s="83"/>
    </row>
    <row r="1226">
      <c r="A1226" s="91"/>
      <c r="B1226" s="91"/>
      <c r="C1226" s="91"/>
      <c r="D1226" s="91"/>
      <c r="E1226" s="91"/>
      <c r="F1226" s="92"/>
      <c r="G1226" s="83"/>
      <c r="H1226" s="83"/>
      <c r="I1226" s="83"/>
      <c r="J1226" s="83"/>
      <c r="K1226" s="83"/>
      <c r="L1226" s="83"/>
      <c r="M1226" s="83"/>
      <c r="N1226" s="83"/>
      <c r="O1226" s="83"/>
      <c r="P1226" s="83"/>
      <c r="Q1226" s="83"/>
      <c r="R1226" s="83"/>
      <c r="S1226" s="83"/>
      <c r="T1226" s="83"/>
      <c r="U1226" s="83"/>
      <c r="V1226" s="83"/>
      <c r="W1226" s="83"/>
    </row>
    <row r="1227">
      <c r="A1227" s="91"/>
      <c r="B1227" s="91"/>
      <c r="C1227" s="91"/>
      <c r="D1227" s="91"/>
      <c r="E1227" s="91"/>
      <c r="F1227" s="92"/>
      <c r="G1227" s="83"/>
      <c r="H1227" s="83"/>
      <c r="I1227" s="83"/>
      <c r="J1227" s="83"/>
      <c r="K1227" s="83"/>
      <c r="L1227" s="83"/>
      <c r="M1227" s="83"/>
      <c r="N1227" s="83"/>
      <c r="O1227" s="83"/>
      <c r="P1227" s="83"/>
      <c r="Q1227" s="83"/>
      <c r="R1227" s="83"/>
      <c r="S1227" s="83"/>
      <c r="T1227" s="83"/>
      <c r="U1227" s="83"/>
      <c r="V1227" s="83"/>
      <c r="W1227" s="83"/>
    </row>
    <row r="1228">
      <c r="A1228" s="91"/>
      <c r="B1228" s="91"/>
      <c r="C1228" s="91"/>
      <c r="D1228" s="91"/>
      <c r="E1228" s="91"/>
      <c r="F1228" s="92"/>
      <c r="G1228" s="83"/>
      <c r="H1228" s="83"/>
      <c r="I1228" s="83"/>
      <c r="J1228" s="83"/>
      <c r="K1228" s="83"/>
      <c r="L1228" s="83"/>
      <c r="M1228" s="83"/>
      <c r="N1228" s="83"/>
      <c r="O1228" s="83"/>
      <c r="P1228" s="83"/>
      <c r="Q1228" s="83"/>
      <c r="R1228" s="83"/>
      <c r="S1228" s="83"/>
      <c r="T1228" s="83"/>
      <c r="U1228" s="83"/>
      <c r="V1228" s="83"/>
      <c r="W1228" s="83"/>
    </row>
    <row r="1229">
      <c r="A1229" s="91"/>
      <c r="B1229" s="91"/>
      <c r="C1229" s="91"/>
      <c r="D1229" s="91"/>
      <c r="E1229" s="91"/>
      <c r="F1229" s="92"/>
      <c r="G1229" s="83"/>
      <c r="H1229" s="83"/>
      <c r="I1229" s="83"/>
      <c r="J1229" s="83"/>
      <c r="K1229" s="83"/>
      <c r="L1229" s="83"/>
      <c r="M1229" s="83"/>
      <c r="N1229" s="83"/>
      <c r="O1229" s="83"/>
      <c r="P1229" s="83"/>
      <c r="Q1229" s="83"/>
      <c r="R1229" s="83"/>
      <c r="S1229" s="83"/>
      <c r="T1229" s="83"/>
      <c r="U1229" s="83"/>
      <c r="V1229" s="83"/>
      <c r="W1229" s="83"/>
    </row>
    <row r="1230">
      <c r="A1230" s="91"/>
      <c r="B1230" s="91"/>
      <c r="C1230" s="91"/>
      <c r="D1230" s="91"/>
      <c r="E1230" s="91"/>
      <c r="F1230" s="92"/>
      <c r="G1230" s="83"/>
      <c r="H1230" s="83"/>
      <c r="I1230" s="83"/>
      <c r="J1230" s="83"/>
      <c r="K1230" s="83"/>
      <c r="L1230" s="83"/>
      <c r="M1230" s="83"/>
      <c r="N1230" s="83"/>
      <c r="O1230" s="83"/>
      <c r="P1230" s="83"/>
      <c r="Q1230" s="83"/>
      <c r="R1230" s="83"/>
      <c r="S1230" s="83"/>
      <c r="T1230" s="83"/>
      <c r="U1230" s="83"/>
      <c r="V1230" s="83"/>
      <c r="W1230" s="83"/>
    </row>
    <row r="1231">
      <c r="A1231" s="91"/>
      <c r="B1231" s="91"/>
      <c r="C1231" s="91"/>
      <c r="D1231" s="91"/>
      <c r="E1231" s="91"/>
      <c r="F1231" s="92"/>
      <c r="G1231" s="83"/>
      <c r="H1231" s="83"/>
      <c r="I1231" s="83"/>
      <c r="J1231" s="83"/>
      <c r="K1231" s="83"/>
      <c r="L1231" s="83"/>
      <c r="M1231" s="83"/>
      <c r="N1231" s="83"/>
      <c r="O1231" s="83"/>
      <c r="P1231" s="83"/>
      <c r="Q1231" s="83"/>
      <c r="R1231" s="83"/>
      <c r="S1231" s="83"/>
      <c r="T1231" s="83"/>
      <c r="U1231" s="83"/>
      <c r="V1231" s="83"/>
      <c r="W1231" s="83"/>
    </row>
    <row r="1232">
      <c r="A1232" s="91"/>
      <c r="B1232" s="91"/>
      <c r="C1232" s="91"/>
      <c r="D1232" s="91"/>
      <c r="E1232" s="91"/>
      <c r="F1232" s="92"/>
      <c r="G1232" s="83"/>
      <c r="H1232" s="83"/>
      <c r="I1232" s="83"/>
      <c r="J1232" s="83"/>
      <c r="K1232" s="83"/>
      <c r="L1232" s="83"/>
      <c r="M1232" s="83"/>
      <c r="N1232" s="83"/>
      <c r="O1232" s="83"/>
      <c r="P1232" s="83"/>
      <c r="Q1232" s="83"/>
      <c r="R1232" s="83"/>
      <c r="S1232" s="83"/>
      <c r="T1232" s="83"/>
      <c r="U1232" s="83"/>
      <c r="V1232" s="83"/>
      <c r="W1232" s="83"/>
    </row>
    <row r="1233">
      <c r="A1233" s="91"/>
      <c r="B1233" s="91"/>
      <c r="C1233" s="91"/>
      <c r="D1233" s="91"/>
      <c r="E1233" s="91"/>
      <c r="F1233" s="92"/>
      <c r="G1233" s="83"/>
      <c r="H1233" s="83"/>
      <c r="I1233" s="83"/>
      <c r="J1233" s="83"/>
      <c r="K1233" s="83"/>
      <c r="L1233" s="83"/>
      <c r="M1233" s="83"/>
      <c r="N1233" s="83"/>
      <c r="O1233" s="83"/>
      <c r="P1233" s="83"/>
      <c r="Q1233" s="83"/>
      <c r="R1233" s="83"/>
      <c r="S1233" s="83"/>
      <c r="T1233" s="83"/>
      <c r="U1233" s="83"/>
      <c r="V1233" s="83"/>
      <c r="W1233" s="83"/>
    </row>
    <row r="1234">
      <c r="A1234" s="91"/>
      <c r="B1234" s="91"/>
      <c r="C1234" s="91"/>
      <c r="D1234" s="91"/>
      <c r="E1234" s="91"/>
      <c r="F1234" s="92"/>
      <c r="G1234" s="83"/>
      <c r="H1234" s="83"/>
      <c r="I1234" s="83"/>
      <c r="J1234" s="83"/>
      <c r="K1234" s="83"/>
      <c r="L1234" s="83"/>
      <c r="M1234" s="83"/>
      <c r="N1234" s="83"/>
      <c r="O1234" s="83"/>
      <c r="P1234" s="83"/>
      <c r="Q1234" s="83"/>
      <c r="R1234" s="83"/>
      <c r="S1234" s="83"/>
      <c r="T1234" s="83"/>
      <c r="U1234" s="83"/>
      <c r="V1234" s="83"/>
      <c r="W1234" s="83"/>
    </row>
    <row r="1235">
      <c r="A1235" s="91"/>
      <c r="B1235" s="91"/>
      <c r="C1235" s="91"/>
      <c r="D1235" s="91"/>
      <c r="E1235" s="91"/>
      <c r="F1235" s="92"/>
      <c r="G1235" s="83"/>
      <c r="H1235" s="83"/>
      <c r="I1235" s="83"/>
      <c r="J1235" s="83"/>
      <c r="K1235" s="83"/>
      <c r="L1235" s="83"/>
      <c r="M1235" s="83"/>
      <c r="N1235" s="83"/>
      <c r="O1235" s="83"/>
      <c r="P1235" s="83"/>
      <c r="Q1235" s="83"/>
      <c r="R1235" s="83"/>
      <c r="S1235" s="83"/>
      <c r="T1235" s="83"/>
      <c r="U1235" s="83"/>
      <c r="V1235" s="83"/>
      <c r="W1235" s="83"/>
    </row>
    <row r="1236">
      <c r="A1236" s="91"/>
      <c r="B1236" s="91"/>
      <c r="C1236" s="91"/>
      <c r="D1236" s="91"/>
      <c r="E1236" s="91"/>
      <c r="F1236" s="92"/>
      <c r="G1236" s="83"/>
      <c r="H1236" s="83"/>
      <c r="I1236" s="83"/>
      <c r="J1236" s="83"/>
      <c r="K1236" s="83"/>
      <c r="L1236" s="83"/>
      <c r="M1236" s="83"/>
      <c r="N1236" s="83"/>
      <c r="O1236" s="83"/>
      <c r="P1236" s="83"/>
      <c r="Q1236" s="83"/>
      <c r="R1236" s="83"/>
      <c r="S1236" s="83"/>
      <c r="T1236" s="83"/>
      <c r="U1236" s="83"/>
      <c r="V1236" s="83"/>
      <c r="W1236" s="83"/>
    </row>
    <row r="1237">
      <c r="A1237" s="91"/>
      <c r="B1237" s="91"/>
      <c r="C1237" s="91"/>
      <c r="D1237" s="91"/>
      <c r="E1237" s="91"/>
      <c r="F1237" s="92"/>
      <c r="G1237" s="83"/>
      <c r="H1237" s="83"/>
      <c r="I1237" s="83"/>
      <c r="J1237" s="83"/>
      <c r="K1237" s="83"/>
      <c r="L1237" s="83"/>
      <c r="M1237" s="83"/>
      <c r="N1237" s="83"/>
      <c r="O1237" s="83"/>
      <c r="P1237" s="83"/>
      <c r="Q1237" s="83"/>
      <c r="R1237" s="83"/>
      <c r="S1237" s="83"/>
      <c r="T1237" s="83"/>
      <c r="U1237" s="83"/>
      <c r="V1237" s="83"/>
      <c r="W1237" s="83"/>
    </row>
    <row r="1238">
      <c r="A1238" s="91"/>
      <c r="B1238" s="91"/>
      <c r="C1238" s="91"/>
      <c r="D1238" s="91"/>
      <c r="E1238" s="91"/>
      <c r="F1238" s="92"/>
      <c r="G1238" s="83"/>
      <c r="H1238" s="83"/>
      <c r="I1238" s="83"/>
      <c r="J1238" s="83"/>
      <c r="K1238" s="83"/>
      <c r="L1238" s="83"/>
      <c r="M1238" s="83"/>
      <c r="N1238" s="83"/>
      <c r="O1238" s="83"/>
      <c r="P1238" s="83"/>
      <c r="Q1238" s="83"/>
      <c r="R1238" s="83"/>
      <c r="S1238" s="83"/>
      <c r="T1238" s="83"/>
      <c r="U1238" s="83"/>
      <c r="V1238" s="83"/>
      <c r="W1238" s="83"/>
    </row>
    <row r="1239">
      <c r="A1239" s="91"/>
      <c r="B1239" s="91"/>
      <c r="C1239" s="91"/>
      <c r="D1239" s="91"/>
      <c r="E1239" s="91"/>
      <c r="F1239" s="92"/>
      <c r="G1239" s="83"/>
      <c r="H1239" s="83"/>
      <c r="I1239" s="83"/>
      <c r="J1239" s="83"/>
      <c r="K1239" s="83"/>
      <c r="L1239" s="83"/>
      <c r="M1239" s="83"/>
      <c r="N1239" s="83"/>
      <c r="O1239" s="83"/>
      <c r="P1239" s="83"/>
      <c r="Q1239" s="83"/>
      <c r="R1239" s="83"/>
      <c r="S1239" s="83"/>
      <c r="T1239" s="83"/>
      <c r="U1239" s="83"/>
      <c r="V1239" s="83"/>
      <c r="W1239" s="83"/>
    </row>
    <row r="1240">
      <c r="A1240" s="91"/>
      <c r="B1240" s="91"/>
      <c r="C1240" s="91"/>
      <c r="D1240" s="91"/>
      <c r="E1240" s="91"/>
      <c r="F1240" s="92"/>
      <c r="G1240" s="83"/>
      <c r="H1240" s="83"/>
      <c r="I1240" s="83"/>
      <c r="J1240" s="83"/>
      <c r="K1240" s="83"/>
      <c r="L1240" s="83"/>
      <c r="M1240" s="83"/>
      <c r="N1240" s="83"/>
      <c r="O1240" s="83"/>
      <c r="P1240" s="83"/>
      <c r="Q1240" s="83"/>
      <c r="R1240" s="83"/>
      <c r="S1240" s="83"/>
      <c r="T1240" s="83"/>
      <c r="U1240" s="83"/>
      <c r="V1240" s="83"/>
      <c r="W1240" s="83"/>
    </row>
    <row r="1241">
      <c r="A1241" s="91"/>
      <c r="B1241" s="91"/>
      <c r="C1241" s="91"/>
      <c r="D1241" s="91"/>
      <c r="E1241" s="91"/>
      <c r="F1241" s="92"/>
      <c r="G1241" s="83"/>
      <c r="H1241" s="83"/>
      <c r="I1241" s="83"/>
      <c r="J1241" s="83"/>
      <c r="K1241" s="83"/>
      <c r="L1241" s="83"/>
      <c r="M1241" s="83"/>
      <c r="N1241" s="83"/>
      <c r="O1241" s="83"/>
      <c r="P1241" s="83"/>
      <c r="Q1241" s="83"/>
      <c r="R1241" s="83"/>
      <c r="S1241" s="83"/>
      <c r="T1241" s="83"/>
      <c r="U1241" s="83"/>
      <c r="V1241" s="83"/>
      <c r="W1241" s="83"/>
    </row>
    <row r="1242">
      <c r="A1242" s="91"/>
      <c r="B1242" s="91"/>
      <c r="C1242" s="91"/>
      <c r="D1242" s="91"/>
      <c r="E1242" s="91"/>
      <c r="F1242" s="92"/>
      <c r="G1242" s="83"/>
      <c r="H1242" s="83"/>
      <c r="I1242" s="83"/>
      <c r="J1242" s="83"/>
      <c r="K1242" s="83"/>
      <c r="L1242" s="83"/>
      <c r="M1242" s="83"/>
      <c r="N1242" s="83"/>
      <c r="O1242" s="83"/>
      <c r="P1242" s="83"/>
      <c r="Q1242" s="83"/>
      <c r="R1242" s="83"/>
      <c r="S1242" s="83"/>
      <c r="T1242" s="83"/>
      <c r="U1242" s="83"/>
      <c r="V1242" s="83"/>
      <c r="W1242" s="83"/>
    </row>
    <row r="1243">
      <c r="A1243" s="91"/>
      <c r="B1243" s="91"/>
      <c r="C1243" s="91"/>
      <c r="D1243" s="91"/>
      <c r="E1243" s="91"/>
      <c r="F1243" s="92"/>
      <c r="G1243" s="83"/>
      <c r="H1243" s="83"/>
      <c r="I1243" s="83"/>
      <c r="J1243" s="83"/>
      <c r="K1243" s="83"/>
      <c r="L1243" s="83"/>
      <c r="M1243" s="83"/>
      <c r="N1243" s="83"/>
      <c r="O1243" s="83"/>
      <c r="P1243" s="83"/>
      <c r="Q1243" s="83"/>
      <c r="R1243" s="83"/>
      <c r="S1243" s="83"/>
      <c r="T1243" s="83"/>
      <c r="U1243" s="83"/>
      <c r="V1243" s="83"/>
      <c r="W1243" s="83"/>
    </row>
    <row r="1244">
      <c r="A1244" s="91"/>
      <c r="B1244" s="91"/>
      <c r="C1244" s="91"/>
      <c r="D1244" s="91"/>
      <c r="E1244" s="91"/>
      <c r="F1244" s="92"/>
      <c r="G1244" s="83"/>
      <c r="H1244" s="83"/>
      <c r="I1244" s="83"/>
      <c r="J1244" s="83"/>
      <c r="K1244" s="83"/>
      <c r="L1244" s="83"/>
      <c r="M1244" s="83"/>
      <c r="N1244" s="83"/>
      <c r="O1244" s="83"/>
      <c r="P1244" s="83"/>
      <c r="Q1244" s="83"/>
      <c r="R1244" s="83"/>
      <c r="S1244" s="83"/>
      <c r="T1244" s="83"/>
      <c r="U1244" s="83"/>
      <c r="V1244" s="83"/>
      <c r="W1244" s="83"/>
    </row>
    <row r="1245">
      <c r="A1245" s="91"/>
      <c r="B1245" s="91"/>
      <c r="C1245" s="91"/>
      <c r="D1245" s="91"/>
      <c r="E1245" s="91"/>
      <c r="F1245" s="92"/>
      <c r="G1245" s="83"/>
      <c r="H1245" s="83"/>
      <c r="I1245" s="83"/>
      <c r="J1245" s="83"/>
      <c r="K1245" s="83"/>
      <c r="L1245" s="83"/>
      <c r="M1245" s="83"/>
      <c r="N1245" s="83"/>
      <c r="O1245" s="83"/>
      <c r="P1245" s="83"/>
      <c r="Q1245" s="83"/>
      <c r="R1245" s="83"/>
      <c r="S1245" s="83"/>
      <c r="T1245" s="83"/>
      <c r="U1245" s="83"/>
      <c r="V1245" s="83"/>
      <c r="W1245" s="83"/>
    </row>
    <row r="1246">
      <c r="A1246" s="91"/>
      <c r="B1246" s="91"/>
      <c r="C1246" s="91"/>
      <c r="D1246" s="91"/>
      <c r="E1246" s="91"/>
      <c r="F1246" s="92"/>
      <c r="G1246" s="83"/>
      <c r="H1246" s="83"/>
      <c r="I1246" s="83"/>
      <c r="J1246" s="83"/>
      <c r="K1246" s="83"/>
      <c r="L1246" s="83"/>
      <c r="M1246" s="83"/>
      <c r="N1246" s="83"/>
      <c r="O1246" s="83"/>
      <c r="P1246" s="83"/>
      <c r="Q1246" s="83"/>
      <c r="R1246" s="83"/>
      <c r="S1246" s="83"/>
      <c r="T1246" s="83"/>
      <c r="U1246" s="83"/>
      <c r="V1246" s="83"/>
      <c r="W1246" s="83"/>
    </row>
    <row r="1247">
      <c r="A1247" s="91"/>
      <c r="B1247" s="91"/>
      <c r="C1247" s="91"/>
      <c r="D1247" s="91"/>
      <c r="E1247" s="91"/>
      <c r="F1247" s="92"/>
      <c r="G1247" s="83"/>
      <c r="H1247" s="83"/>
      <c r="I1247" s="83"/>
      <c r="J1247" s="83"/>
      <c r="K1247" s="83"/>
      <c r="L1247" s="83"/>
      <c r="M1247" s="83"/>
      <c r="N1247" s="83"/>
      <c r="O1247" s="83"/>
      <c r="P1247" s="83"/>
      <c r="Q1247" s="83"/>
      <c r="R1247" s="83"/>
      <c r="S1247" s="83"/>
      <c r="T1247" s="83"/>
      <c r="U1247" s="83"/>
      <c r="V1247" s="83"/>
      <c r="W1247" s="83"/>
    </row>
    <row r="1248">
      <c r="A1248" s="91"/>
      <c r="B1248" s="91"/>
      <c r="C1248" s="91"/>
      <c r="D1248" s="91"/>
      <c r="E1248" s="91"/>
      <c r="F1248" s="92"/>
      <c r="G1248" s="83"/>
      <c r="H1248" s="83"/>
      <c r="I1248" s="83"/>
      <c r="J1248" s="83"/>
      <c r="K1248" s="83"/>
      <c r="L1248" s="83"/>
      <c r="M1248" s="83"/>
      <c r="N1248" s="83"/>
      <c r="O1248" s="83"/>
      <c r="P1248" s="83"/>
      <c r="Q1248" s="83"/>
      <c r="R1248" s="83"/>
      <c r="S1248" s="83"/>
      <c r="T1248" s="83"/>
      <c r="U1248" s="83"/>
      <c r="V1248" s="83"/>
      <c r="W1248" s="83"/>
    </row>
    <row r="1249">
      <c r="A1249" s="91"/>
      <c r="B1249" s="91"/>
      <c r="C1249" s="91"/>
      <c r="D1249" s="91"/>
      <c r="E1249" s="91"/>
      <c r="F1249" s="92"/>
      <c r="G1249" s="83"/>
      <c r="H1249" s="83"/>
      <c r="I1249" s="83"/>
      <c r="J1249" s="83"/>
      <c r="K1249" s="83"/>
      <c r="L1249" s="83"/>
      <c r="M1249" s="83"/>
      <c r="N1249" s="83"/>
      <c r="O1249" s="83"/>
      <c r="P1249" s="83"/>
      <c r="Q1249" s="83"/>
      <c r="R1249" s="83"/>
      <c r="S1249" s="83"/>
      <c r="T1249" s="83"/>
      <c r="U1249" s="83"/>
      <c r="V1249" s="83"/>
      <c r="W1249" s="83"/>
    </row>
    <row r="1250">
      <c r="A1250" s="91"/>
      <c r="B1250" s="91"/>
      <c r="C1250" s="91"/>
      <c r="D1250" s="91"/>
      <c r="E1250" s="91"/>
      <c r="F1250" s="92"/>
      <c r="G1250" s="83"/>
      <c r="H1250" s="83"/>
      <c r="I1250" s="83"/>
      <c r="J1250" s="83"/>
      <c r="K1250" s="83"/>
      <c r="L1250" s="83"/>
      <c r="M1250" s="83"/>
      <c r="N1250" s="83"/>
      <c r="O1250" s="83"/>
      <c r="P1250" s="83"/>
      <c r="Q1250" s="83"/>
      <c r="R1250" s="83"/>
      <c r="S1250" s="83"/>
      <c r="T1250" s="83"/>
      <c r="U1250" s="83"/>
      <c r="V1250" s="83"/>
      <c r="W1250" s="83"/>
    </row>
    <row r="1251">
      <c r="A1251" s="91"/>
      <c r="B1251" s="91"/>
      <c r="C1251" s="91"/>
      <c r="D1251" s="91"/>
      <c r="E1251" s="91"/>
      <c r="F1251" s="92"/>
      <c r="G1251" s="83"/>
      <c r="H1251" s="83"/>
      <c r="I1251" s="83"/>
      <c r="J1251" s="83"/>
      <c r="K1251" s="83"/>
      <c r="L1251" s="83"/>
      <c r="M1251" s="83"/>
      <c r="N1251" s="83"/>
      <c r="O1251" s="83"/>
      <c r="P1251" s="83"/>
      <c r="Q1251" s="83"/>
      <c r="R1251" s="83"/>
      <c r="S1251" s="83"/>
      <c r="T1251" s="83"/>
      <c r="U1251" s="83"/>
      <c r="V1251" s="83"/>
      <c r="W1251" s="83"/>
    </row>
    <row r="1252">
      <c r="A1252" s="91"/>
      <c r="B1252" s="91"/>
      <c r="C1252" s="91"/>
      <c r="D1252" s="91"/>
      <c r="E1252" s="91"/>
      <c r="F1252" s="92"/>
      <c r="G1252" s="83"/>
      <c r="H1252" s="83"/>
      <c r="I1252" s="83"/>
      <c r="J1252" s="83"/>
      <c r="K1252" s="83"/>
      <c r="L1252" s="83"/>
      <c r="M1252" s="83"/>
      <c r="N1252" s="83"/>
      <c r="O1252" s="83"/>
      <c r="P1252" s="83"/>
      <c r="Q1252" s="83"/>
      <c r="R1252" s="83"/>
      <c r="S1252" s="83"/>
      <c r="T1252" s="83"/>
      <c r="U1252" s="83"/>
      <c r="V1252" s="83"/>
      <c r="W1252" s="83"/>
    </row>
    <row r="1253">
      <c r="A1253" s="91"/>
      <c r="B1253" s="91"/>
      <c r="C1253" s="91"/>
      <c r="D1253" s="91"/>
      <c r="E1253" s="91"/>
      <c r="F1253" s="92"/>
      <c r="G1253" s="83"/>
      <c r="H1253" s="83"/>
      <c r="I1253" s="83"/>
      <c r="J1253" s="83"/>
      <c r="K1253" s="83"/>
      <c r="L1253" s="83"/>
      <c r="M1253" s="83"/>
      <c r="N1253" s="83"/>
      <c r="O1253" s="83"/>
      <c r="P1253" s="83"/>
      <c r="Q1253" s="83"/>
      <c r="R1253" s="83"/>
      <c r="S1253" s="83"/>
      <c r="T1253" s="83"/>
      <c r="U1253" s="83"/>
      <c r="V1253" s="83"/>
      <c r="W1253" s="83"/>
    </row>
    <row r="1254">
      <c r="A1254" s="91"/>
      <c r="B1254" s="91"/>
      <c r="C1254" s="91"/>
      <c r="D1254" s="91"/>
      <c r="E1254" s="91"/>
      <c r="F1254" s="92"/>
      <c r="G1254" s="83"/>
      <c r="H1254" s="83"/>
      <c r="I1254" s="83"/>
      <c r="J1254" s="83"/>
      <c r="K1254" s="83"/>
      <c r="L1254" s="83"/>
      <c r="M1254" s="83"/>
      <c r="N1254" s="83"/>
      <c r="O1254" s="83"/>
      <c r="P1254" s="83"/>
      <c r="Q1254" s="83"/>
      <c r="R1254" s="83"/>
      <c r="S1254" s="83"/>
      <c r="T1254" s="83"/>
      <c r="U1254" s="83"/>
      <c r="V1254" s="83"/>
      <c r="W1254" s="83"/>
    </row>
    <row r="1255">
      <c r="A1255" s="91"/>
      <c r="B1255" s="91"/>
      <c r="C1255" s="91"/>
      <c r="D1255" s="91"/>
      <c r="E1255" s="91"/>
      <c r="F1255" s="92"/>
      <c r="G1255" s="83"/>
      <c r="H1255" s="83"/>
      <c r="I1255" s="83"/>
      <c r="J1255" s="83"/>
      <c r="K1255" s="83"/>
      <c r="L1255" s="83"/>
      <c r="M1255" s="83"/>
      <c r="N1255" s="83"/>
      <c r="O1255" s="83"/>
      <c r="P1255" s="83"/>
      <c r="Q1255" s="83"/>
      <c r="R1255" s="83"/>
      <c r="S1255" s="83"/>
      <c r="T1255" s="83"/>
      <c r="U1255" s="83"/>
      <c r="V1255" s="83"/>
      <c r="W1255" s="83"/>
    </row>
    <row r="1256">
      <c r="A1256" s="91"/>
      <c r="B1256" s="91"/>
      <c r="C1256" s="91"/>
      <c r="D1256" s="91"/>
      <c r="E1256" s="91"/>
      <c r="F1256" s="92"/>
      <c r="G1256" s="83"/>
      <c r="H1256" s="83"/>
      <c r="I1256" s="83"/>
      <c r="J1256" s="83"/>
      <c r="K1256" s="83"/>
      <c r="L1256" s="83"/>
      <c r="M1256" s="83"/>
      <c r="N1256" s="83"/>
      <c r="O1256" s="83"/>
      <c r="P1256" s="83"/>
      <c r="Q1256" s="83"/>
      <c r="R1256" s="83"/>
      <c r="S1256" s="83"/>
      <c r="T1256" s="83"/>
      <c r="U1256" s="83"/>
      <c r="V1256" s="83"/>
      <c r="W1256" s="83"/>
    </row>
    <row r="1257">
      <c r="A1257" s="91"/>
      <c r="B1257" s="91"/>
      <c r="C1257" s="91"/>
      <c r="D1257" s="91"/>
      <c r="E1257" s="91"/>
      <c r="F1257" s="92"/>
      <c r="G1257" s="83"/>
      <c r="H1257" s="83"/>
      <c r="I1257" s="83"/>
      <c r="J1257" s="83"/>
      <c r="K1257" s="83"/>
      <c r="L1257" s="83"/>
      <c r="M1257" s="83"/>
      <c r="N1257" s="83"/>
      <c r="O1257" s="83"/>
      <c r="P1257" s="83"/>
      <c r="Q1257" s="83"/>
      <c r="R1257" s="83"/>
      <c r="S1257" s="83"/>
      <c r="T1257" s="83"/>
      <c r="U1257" s="83"/>
      <c r="V1257" s="83"/>
      <c r="W1257" s="83"/>
    </row>
    <row r="1258">
      <c r="A1258" s="91"/>
      <c r="B1258" s="91"/>
      <c r="C1258" s="91"/>
      <c r="D1258" s="91"/>
      <c r="E1258" s="91"/>
      <c r="F1258" s="92"/>
      <c r="G1258" s="83"/>
      <c r="H1258" s="83"/>
      <c r="I1258" s="83"/>
      <c r="J1258" s="83"/>
      <c r="K1258" s="83"/>
      <c r="L1258" s="83"/>
      <c r="M1258" s="83"/>
      <c r="N1258" s="83"/>
      <c r="O1258" s="83"/>
      <c r="P1258" s="83"/>
      <c r="Q1258" s="83"/>
      <c r="R1258" s="83"/>
      <c r="S1258" s="83"/>
      <c r="T1258" s="83"/>
      <c r="U1258" s="83"/>
      <c r="V1258" s="83"/>
      <c r="W1258" s="83"/>
    </row>
    <row r="1259">
      <c r="A1259" s="91"/>
      <c r="B1259" s="91"/>
      <c r="C1259" s="91"/>
      <c r="D1259" s="91"/>
      <c r="E1259" s="91"/>
      <c r="F1259" s="92"/>
      <c r="G1259" s="83"/>
      <c r="H1259" s="83"/>
      <c r="I1259" s="83"/>
      <c r="J1259" s="83"/>
      <c r="K1259" s="83"/>
      <c r="L1259" s="83"/>
      <c r="M1259" s="83"/>
      <c r="N1259" s="83"/>
      <c r="O1259" s="83"/>
      <c r="P1259" s="83"/>
      <c r="Q1259" s="83"/>
      <c r="R1259" s="83"/>
      <c r="S1259" s="83"/>
      <c r="T1259" s="83"/>
      <c r="U1259" s="83"/>
      <c r="V1259" s="83"/>
      <c r="W1259" s="83"/>
    </row>
    <row r="1260">
      <c r="A1260" s="91"/>
      <c r="B1260" s="91"/>
      <c r="C1260" s="91"/>
      <c r="D1260" s="91"/>
      <c r="E1260" s="91"/>
      <c r="F1260" s="92"/>
      <c r="G1260" s="83"/>
      <c r="H1260" s="83"/>
      <c r="I1260" s="83"/>
      <c r="J1260" s="83"/>
      <c r="K1260" s="83"/>
      <c r="L1260" s="83"/>
      <c r="M1260" s="83"/>
      <c r="N1260" s="83"/>
      <c r="O1260" s="83"/>
      <c r="P1260" s="83"/>
      <c r="Q1260" s="83"/>
      <c r="R1260" s="83"/>
      <c r="S1260" s="83"/>
      <c r="T1260" s="83"/>
      <c r="U1260" s="83"/>
      <c r="V1260" s="83"/>
      <c r="W1260" s="83"/>
    </row>
    <row r="1261">
      <c r="A1261" s="91"/>
      <c r="B1261" s="91"/>
      <c r="C1261" s="91"/>
      <c r="D1261" s="91"/>
      <c r="E1261" s="91"/>
      <c r="F1261" s="92"/>
      <c r="G1261" s="83"/>
      <c r="H1261" s="83"/>
      <c r="I1261" s="83"/>
      <c r="J1261" s="83"/>
      <c r="K1261" s="83"/>
      <c r="L1261" s="83"/>
      <c r="M1261" s="83"/>
      <c r="N1261" s="83"/>
      <c r="O1261" s="83"/>
      <c r="P1261" s="83"/>
      <c r="Q1261" s="83"/>
      <c r="R1261" s="83"/>
      <c r="S1261" s="83"/>
      <c r="T1261" s="83"/>
      <c r="U1261" s="83"/>
      <c r="V1261" s="83"/>
      <c r="W1261" s="83"/>
    </row>
    <row r="1262">
      <c r="A1262" s="91"/>
      <c r="B1262" s="91"/>
      <c r="C1262" s="91"/>
      <c r="D1262" s="91"/>
      <c r="E1262" s="91"/>
      <c r="F1262" s="92"/>
      <c r="G1262" s="83"/>
      <c r="H1262" s="83"/>
      <c r="I1262" s="83"/>
      <c r="J1262" s="83"/>
      <c r="K1262" s="83"/>
      <c r="L1262" s="83"/>
      <c r="M1262" s="83"/>
      <c r="N1262" s="83"/>
      <c r="O1262" s="83"/>
      <c r="P1262" s="83"/>
      <c r="Q1262" s="83"/>
      <c r="R1262" s="83"/>
      <c r="S1262" s="83"/>
      <c r="T1262" s="83"/>
      <c r="U1262" s="83"/>
      <c r="V1262" s="83"/>
      <c r="W1262" s="83"/>
    </row>
    <row r="1263">
      <c r="A1263" s="91"/>
      <c r="B1263" s="91"/>
      <c r="C1263" s="91"/>
      <c r="D1263" s="91"/>
      <c r="E1263" s="91"/>
      <c r="F1263" s="92"/>
      <c r="G1263" s="83"/>
      <c r="H1263" s="83"/>
      <c r="I1263" s="83"/>
      <c r="J1263" s="83"/>
      <c r="K1263" s="83"/>
      <c r="L1263" s="83"/>
      <c r="M1263" s="83"/>
      <c r="N1263" s="83"/>
      <c r="O1263" s="83"/>
      <c r="P1263" s="83"/>
      <c r="Q1263" s="83"/>
      <c r="R1263" s="83"/>
      <c r="S1263" s="83"/>
      <c r="T1263" s="83"/>
      <c r="U1263" s="83"/>
      <c r="V1263" s="83"/>
      <c r="W1263" s="83"/>
    </row>
    <row r="1264">
      <c r="A1264" s="91"/>
      <c r="B1264" s="91"/>
      <c r="C1264" s="91"/>
      <c r="D1264" s="91"/>
      <c r="E1264" s="91"/>
      <c r="F1264" s="92"/>
      <c r="G1264" s="83"/>
      <c r="H1264" s="83"/>
      <c r="I1264" s="83"/>
      <c r="J1264" s="83"/>
      <c r="K1264" s="83"/>
      <c r="L1264" s="83"/>
      <c r="M1264" s="83"/>
      <c r="N1264" s="83"/>
      <c r="O1264" s="83"/>
      <c r="P1264" s="83"/>
      <c r="Q1264" s="83"/>
      <c r="R1264" s="83"/>
      <c r="S1264" s="83"/>
      <c r="T1264" s="83"/>
      <c r="U1264" s="83"/>
      <c r="V1264" s="83"/>
      <c r="W1264" s="83"/>
    </row>
    <row r="1265">
      <c r="A1265" s="91"/>
      <c r="B1265" s="91"/>
      <c r="C1265" s="91"/>
      <c r="D1265" s="91"/>
      <c r="E1265" s="91"/>
      <c r="F1265" s="92"/>
      <c r="G1265" s="83"/>
      <c r="H1265" s="83"/>
      <c r="I1265" s="83"/>
      <c r="J1265" s="83"/>
      <c r="K1265" s="83"/>
      <c r="L1265" s="83"/>
      <c r="M1265" s="83"/>
      <c r="N1265" s="83"/>
      <c r="O1265" s="83"/>
      <c r="P1265" s="83"/>
      <c r="Q1265" s="83"/>
      <c r="R1265" s="83"/>
      <c r="S1265" s="83"/>
      <c r="T1265" s="83"/>
      <c r="U1265" s="83"/>
      <c r="V1265" s="83"/>
      <c r="W1265" s="83"/>
    </row>
    <row r="1266">
      <c r="A1266" s="91"/>
      <c r="B1266" s="91"/>
      <c r="C1266" s="91"/>
      <c r="D1266" s="91"/>
      <c r="E1266" s="91"/>
      <c r="F1266" s="92"/>
      <c r="G1266" s="83"/>
      <c r="H1266" s="83"/>
      <c r="I1266" s="83"/>
      <c r="J1266" s="83"/>
      <c r="K1266" s="83"/>
      <c r="L1266" s="83"/>
      <c r="M1266" s="83"/>
      <c r="N1266" s="83"/>
      <c r="O1266" s="83"/>
      <c r="P1266" s="83"/>
      <c r="Q1266" s="83"/>
      <c r="R1266" s="83"/>
      <c r="S1266" s="83"/>
      <c r="T1266" s="83"/>
      <c r="U1266" s="83"/>
      <c r="V1266" s="83"/>
      <c r="W1266" s="83"/>
    </row>
    <row r="1267">
      <c r="A1267" s="91"/>
      <c r="B1267" s="91"/>
      <c r="C1267" s="91"/>
      <c r="D1267" s="91"/>
      <c r="E1267" s="91"/>
      <c r="F1267" s="92"/>
      <c r="G1267" s="83"/>
      <c r="H1267" s="83"/>
      <c r="I1267" s="83"/>
      <c r="J1267" s="83"/>
      <c r="K1267" s="83"/>
      <c r="L1267" s="83"/>
      <c r="M1267" s="83"/>
      <c r="N1267" s="83"/>
      <c r="O1267" s="83"/>
      <c r="P1267" s="83"/>
      <c r="Q1267" s="83"/>
      <c r="R1267" s="83"/>
      <c r="S1267" s="83"/>
      <c r="T1267" s="83"/>
      <c r="U1267" s="83"/>
      <c r="V1267" s="83"/>
      <c r="W1267" s="83"/>
    </row>
    <row r="1268">
      <c r="A1268" s="91"/>
      <c r="B1268" s="91"/>
      <c r="C1268" s="91"/>
      <c r="D1268" s="91"/>
      <c r="E1268" s="91"/>
      <c r="F1268" s="92"/>
      <c r="G1268" s="83"/>
      <c r="H1268" s="83"/>
      <c r="I1268" s="83"/>
      <c r="J1268" s="83"/>
      <c r="K1268" s="83"/>
      <c r="L1268" s="83"/>
      <c r="M1268" s="83"/>
      <c r="N1268" s="83"/>
      <c r="O1268" s="83"/>
      <c r="P1268" s="83"/>
      <c r="Q1268" s="83"/>
      <c r="R1268" s="83"/>
      <c r="S1268" s="83"/>
      <c r="T1268" s="83"/>
      <c r="U1268" s="83"/>
      <c r="V1268" s="83"/>
      <c r="W1268" s="83"/>
    </row>
    <row r="1269">
      <c r="A1269" s="91"/>
      <c r="B1269" s="91"/>
      <c r="C1269" s="91"/>
      <c r="D1269" s="91"/>
      <c r="E1269" s="91"/>
      <c r="F1269" s="92"/>
      <c r="G1269" s="83"/>
      <c r="H1269" s="83"/>
      <c r="I1269" s="83"/>
      <c r="J1269" s="83"/>
      <c r="K1269" s="83"/>
      <c r="L1269" s="83"/>
      <c r="M1269" s="83"/>
      <c r="N1269" s="83"/>
      <c r="O1269" s="83"/>
      <c r="P1269" s="83"/>
      <c r="Q1269" s="83"/>
      <c r="R1269" s="83"/>
      <c r="S1269" s="83"/>
      <c r="T1269" s="83"/>
      <c r="U1269" s="83"/>
      <c r="V1269" s="83"/>
      <c r="W1269" s="83"/>
    </row>
    <row r="1270">
      <c r="A1270" s="91"/>
      <c r="B1270" s="91"/>
      <c r="C1270" s="91"/>
      <c r="D1270" s="91"/>
      <c r="E1270" s="91"/>
      <c r="F1270" s="92"/>
      <c r="G1270" s="83"/>
      <c r="H1270" s="83"/>
      <c r="I1270" s="83"/>
      <c r="J1270" s="83"/>
      <c r="K1270" s="83"/>
      <c r="L1270" s="83"/>
      <c r="M1270" s="83"/>
      <c r="N1270" s="83"/>
      <c r="O1270" s="83"/>
      <c r="P1270" s="83"/>
      <c r="Q1270" s="83"/>
      <c r="R1270" s="83"/>
      <c r="S1270" s="83"/>
      <c r="T1270" s="83"/>
      <c r="U1270" s="83"/>
      <c r="V1270" s="83"/>
      <c r="W1270" s="83"/>
    </row>
    <row r="1271">
      <c r="A1271" s="91"/>
      <c r="B1271" s="91"/>
      <c r="C1271" s="91"/>
      <c r="D1271" s="91"/>
      <c r="E1271" s="91"/>
      <c r="F1271" s="92"/>
      <c r="G1271" s="83"/>
      <c r="H1271" s="83"/>
      <c r="I1271" s="83"/>
      <c r="J1271" s="83"/>
      <c r="K1271" s="83"/>
      <c r="L1271" s="83"/>
      <c r="M1271" s="83"/>
      <c r="N1271" s="83"/>
      <c r="O1271" s="83"/>
      <c r="P1271" s="83"/>
      <c r="Q1271" s="83"/>
      <c r="R1271" s="83"/>
      <c r="S1271" s="83"/>
      <c r="T1271" s="83"/>
      <c r="U1271" s="83"/>
      <c r="V1271" s="83"/>
      <c r="W1271" s="83"/>
    </row>
    <row r="1272">
      <c r="A1272" s="91"/>
      <c r="B1272" s="91"/>
      <c r="C1272" s="91"/>
      <c r="D1272" s="91"/>
      <c r="E1272" s="91"/>
      <c r="F1272" s="92"/>
      <c r="G1272" s="83"/>
      <c r="H1272" s="83"/>
      <c r="I1272" s="83"/>
      <c r="J1272" s="83"/>
      <c r="K1272" s="83"/>
      <c r="L1272" s="83"/>
      <c r="M1272" s="83"/>
      <c r="N1272" s="83"/>
      <c r="O1272" s="83"/>
      <c r="P1272" s="83"/>
      <c r="Q1272" s="83"/>
      <c r="R1272" s="83"/>
      <c r="S1272" s="83"/>
      <c r="T1272" s="83"/>
      <c r="U1272" s="83"/>
      <c r="V1272" s="83"/>
      <c r="W1272" s="83"/>
    </row>
    <row r="1273">
      <c r="A1273" s="91"/>
      <c r="B1273" s="91"/>
      <c r="C1273" s="91"/>
      <c r="D1273" s="91"/>
      <c r="E1273" s="91"/>
      <c r="F1273" s="92"/>
      <c r="G1273" s="83"/>
      <c r="H1273" s="83"/>
      <c r="I1273" s="83"/>
      <c r="J1273" s="83"/>
      <c r="K1273" s="83"/>
      <c r="L1273" s="83"/>
      <c r="M1273" s="83"/>
      <c r="N1273" s="83"/>
      <c r="O1273" s="83"/>
      <c r="P1273" s="83"/>
      <c r="Q1273" s="83"/>
      <c r="R1273" s="83"/>
      <c r="S1273" s="83"/>
      <c r="T1273" s="83"/>
      <c r="U1273" s="83"/>
      <c r="V1273" s="83"/>
      <c r="W1273" s="83"/>
    </row>
    <row r="1274">
      <c r="A1274" s="91"/>
      <c r="B1274" s="91"/>
      <c r="C1274" s="91"/>
      <c r="D1274" s="91"/>
      <c r="E1274" s="91"/>
      <c r="F1274" s="92"/>
      <c r="G1274" s="83"/>
      <c r="H1274" s="83"/>
      <c r="I1274" s="83"/>
      <c r="J1274" s="83"/>
      <c r="K1274" s="83"/>
      <c r="L1274" s="83"/>
      <c r="M1274" s="83"/>
      <c r="N1274" s="83"/>
      <c r="O1274" s="83"/>
      <c r="P1274" s="83"/>
      <c r="Q1274" s="83"/>
      <c r="R1274" s="83"/>
      <c r="S1274" s="83"/>
      <c r="T1274" s="83"/>
      <c r="U1274" s="83"/>
      <c r="V1274" s="83"/>
      <c r="W1274" s="83"/>
    </row>
    <row r="1275">
      <c r="A1275" s="91"/>
      <c r="B1275" s="91"/>
      <c r="C1275" s="91"/>
      <c r="D1275" s="91"/>
      <c r="E1275" s="91"/>
      <c r="F1275" s="92"/>
      <c r="G1275" s="83"/>
      <c r="H1275" s="83"/>
      <c r="I1275" s="83"/>
      <c r="J1275" s="83"/>
      <c r="K1275" s="83"/>
      <c r="L1275" s="83"/>
      <c r="M1275" s="83"/>
      <c r="N1275" s="83"/>
      <c r="O1275" s="83"/>
      <c r="P1275" s="83"/>
      <c r="Q1275" s="83"/>
      <c r="R1275" s="83"/>
      <c r="S1275" s="83"/>
      <c r="T1275" s="83"/>
      <c r="U1275" s="83"/>
      <c r="V1275" s="83"/>
      <c r="W1275" s="83"/>
    </row>
    <row r="1276">
      <c r="A1276" s="91"/>
      <c r="B1276" s="91"/>
      <c r="C1276" s="91"/>
      <c r="D1276" s="91"/>
      <c r="E1276" s="91"/>
      <c r="F1276" s="92"/>
      <c r="G1276" s="83"/>
      <c r="H1276" s="83"/>
      <c r="I1276" s="83"/>
      <c r="J1276" s="83"/>
      <c r="K1276" s="83"/>
      <c r="L1276" s="83"/>
      <c r="M1276" s="83"/>
      <c r="N1276" s="83"/>
      <c r="O1276" s="83"/>
      <c r="P1276" s="83"/>
      <c r="Q1276" s="83"/>
      <c r="R1276" s="83"/>
      <c r="S1276" s="83"/>
      <c r="T1276" s="83"/>
      <c r="U1276" s="83"/>
      <c r="V1276" s="83"/>
      <c r="W1276" s="83"/>
    </row>
    <row r="1277">
      <c r="A1277" s="91"/>
      <c r="B1277" s="91"/>
      <c r="C1277" s="91"/>
      <c r="D1277" s="91"/>
      <c r="E1277" s="91"/>
      <c r="F1277" s="92"/>
      <c r="G1277" s="83"/>
      <c r="H1277" s="83"/>
      <c r="I1277" s="83"/>
      <c r="J1277" s="83"/>
      <c r="K1277" s="83"/>
      <c r="L1277" s="83"/>
      <c r="M1277" s="83"/>
      <c r="N1277" s="83"/>
      <c r="O1277" s="83"/>
      <c r="P1277" s="83"/>
      <c r="Q1277" s="83"/>
      <c r="R1277" s="83"/>
      <c r="S1277" s="83"/>
      <c r="T1277" s="83"/>
      <c r="U1277" s="83"/>
      <c r="V1277" s="83"/>
      <c r="W1277" s="83"/>
    </row>
    <row r="1278">
      <c r="A1278" s="91"/>
      <c r="B1278" s="91"/>
      <c r="C1278" s="91"/>
      <c r="D1278" s="91"/>
      <c r="E1278" s="91"/>
      <c r="F1278" s="92"/>
      <c r="G1278" s="83"/>
      <c r="H1278" s="83"/>
      <c r="I1278" s="83"/>
      <c r="J1278" s="83"/>
      <c r="K1278" s="83"/>
      <c r="L1278" s="83"/>
      <c r="M1278" s="83"/>
      <c r="N1278" s="83"/>
      <c r="O1278" s="83"/>
      <c r="P1278" s="83"/>
      <c r="Q1278" s="83"/>
      <c r="R1278" s="83"/>
      <c r="S1278" s="83"/>
      <c r="T1278" s="83"/>
      <c r="U1278" s="83"/>
      <c r="V1278" s="83"/>
      <c r="W1278" s="83"/>
    </row>
    <row r="1279">
      <c r="A1279" s="91"/>
      <c r="B1279" s="91"/>
      <c r="C1279" s="91"/>
      <c r="D1279" s="91"/>
      <c r="E1279" s="91"/>
      <c r="F1279" s="92"/>
      <c r="G1279" s="83"/>
      <c r="H1279" s="83"/>
      <c r="I1279" s="83"/>
      <c r="J1279" s="83"/>
      <c r="K1279" s="83"/>
      <c r="L1279" s="83"/>
      <c r="M1279" s="83"/>
      <c r="N1279" s="83"/>
      <c r="O1279" s="83"/>
      <c r="P1279" s="83"/>
      <c r="Q1279" s="83"/>
      <c r="R1279" s="83"/>
      <c r="S1279" s="83"/>
      <c r="T1279" s="83"/>
      <c r="U1279" s="83"/>
      <c r="V1279" s="83"/>
      <c r="W1279" s="83"/>
    </row>
    <row r="1280">
      <c r="A1280" s="91"/>
      <c r="B1280" s="91"/>
      <c r="C1280" s="91"/>
      <c r="D1280" s="91"/>
      <c r="E1280" s="91"/>
      <c r="F1280" s="92"/>
      <c r="G1280" s="83"/>
      <c r="H1280" s="83"/>
      <c r="I1280" s="83"/>
      <c r="J1280" s="83"/>
      <c r="K1280" s="83"/>
      <c r="L1280" s="83"/>
      <c r="M1280" s="83"/>
      <c r="N1280" s="83"/>
      <c r="O1280" s="83"/>
      <c r="P1280" s="83"/>
      <c r="Q1280" s="83"/>
      <c r="R1280" s="83"/>
      <c r="S1280" s="83"/>
      <c r="T1280" s="83"/>
      <c r="U1280" s="83"/>
      <c r="V1280" s="83"/>
      <c r="W1280" s="83"/>
    </row>
    <row r="1281">
      <c r="A1281" s="91"/>
      <c r="B1281" s="91"/>
      <c r="C1281" s="91"/>
      <c r="D1281" s="91"/>
      <c r="E1281" s="91"/>
      <c r="F1281" s="92"/>
      <c r="G1281" s="83"/>
      <c r="H1281" s="83"/>
      <c r="I1281" s="83"/>
      <c r="J1281" s="83"/>
      <c r="K1281" s="83"/>
      <c r="L1281" s="83"/>
      <c r="M1281" s="83"/>
      <c r="N1281" s="83"/>
      <c r="O1281" s="83"/>
      <c r="P1281" s="83"/>
      <c r="Q1281" s="83"/>
      <c r="R1281" s="83"/>
      <c r="S1281" s="83"/>
      <c r="T1281" s="83"/>
      <c r="U1281" s="83"/>
      <c r="V1281" s="83"/>
      <c r="W1281" s="83"/>
    </row>
    <row r="1282">
      <c r="A1282" s="91"/>
      <c r="B1282" s="91"/>
      <c r="C1282" s="91"/>
      <c r="D1282" s="91"/>
      <c r="E1282" s="91"/>
      <c r="F1282" s="92"/>
      <c r="G1282" s="83"/>
      <c r="H1282" s="83"/>
      <c r="I1282" s="83"/>
      <c r="J1282" s="83"/>
      <c r="K1282" s="83"/>
      <c r="L1282" s="83"/>
      <c r="M1282" s="83"/>
      <c r="N1282" s="83"/>
      <c r="O1282" s="83"/>
      <c r="P1282" s="83"/>
      <c r="Q1282" s="83"/>
      <c r="R1282" s="83"/>
      <c r="S1282" s="83"/>
      <c r="T1282" s="83"/>
      <c r="U1282" s="83"/>
      <c r="V1282" s="83"/>
      <c r="W1282" s="83"/>
    </row>
    <row r="1283">
      <c r="A1283" s="91"/>
      <c r="B1283" s="91"/>
      <c r="C1283" s="91"/>
      <c r="D1283" s="91"/>
      <c r="E1283" s="91"/>
      <c r="F1283" s="92"/>
      <c r="G1283" s="83"/>
      <c r="H1283" s="83"/>
      <c r="I1283" s="83"/>
      <c r="J1283" s="83"/>
      <c r="K1283" s="83"/>
      <c r="L1283" s="83"/>
      <c r="M1283" s="83"/>
      <c r="N1283" s="83"/>
      <c r="O1283" s="83"/>
      <c r="P1283" s="83"/>
      <c r="Q1283" s="83"/>
      <c r="R1283" s="83"/>
      <c r="S1283" s="83"/>
      <c r="T1283" s="83"/>
      <c r="U1283" s="83"/>
      <c r="V1283" s="83"/>
      <c r="W1283" s="83"/>
    </row>
    <row r="1284">
      <c r="A1284" s="91"/>
      <c r="B1284" s="91"/>
      <c r="C1284" s="91"/>
      <c r="D1284" s="91"/>
      <c r="E1284" s="91"/>
      <c r="F1284" s="92"/>
      <c r="G1284" s="83"/>
      <c r="H1284" s="83"/>
      <c r="I1284" s="83"/>
      <c r="J1284" s="83"/>
      <c r="K1284" s="83"/>
      <c r="L1284" s="83"/>
      <c r="M1284" s="83"/>
      <c r="N1284" s="83"/>
      <c r="O1284" s="83"/>
      <c r="P1284" s="83"/>
      <c r="Q1284" s="83"/>
      <c r="R1284" s="83"/>
      <c r="S1284" s="83"/>
      <c r="T1284" s="83"/>
      <c r="U1284" s="83"/>
      <c r="V1284" s="83"/>
      <c r="W1284" s="83"/>
    </row>
    <row r="1285">
      <c r="A1285" s="91"/>
      <c r="B1285" s="91"/>
      <c r="C1285" s="91"/>
      <c r="D1285" s="91"/>
      <c r="E1285" s="91"/>
      <c r="F1285" s="92"/>
      <c r="G1285" s="83"/>
      <c r="H1285" s="83"/>
      <c r="I1285" s="83"/>
      <c r="J1285" s="83"/>
      <c r="K1285" s="83"/>
      <c r="L1285" s="83"/>
      <c r="M1285" s="83"/>
      <c r="N1285" s="83"/>
      <c r="O1285" s="83"/>
      <c r="P1285" s="83"/>
      <c r="Q1285" s="83"/>
      <c r="R1285" s="83"/>
      <c r="S1285" s="83"/>
      <c r="T1285" s="83"/>
      <c r="U1285" s="83"/>
      <c r="V1285" s="83"/>
      <c r="W1285" s="83"/>
    </row>
    <row r="1286">
      <c r="A1286" s="91"/>
      <c r="B1286" s="91"/>
      <c r="C1286" s="91"/>
      <c r="D1286" s="91"/>
      <c r="E1286" s="91"/>
      <c r="F1286" s="92"/>
      <c r="G1286" s="83"/>
      <c r="H1286" s="83"/>
      <c r="I1286" s="83"/>
      <c r="J1286" s="83"/>
      <c r="K1286" s="83"/>
      <c r="L1286" s="83"/>
      <c r="M1286" s="83"/>
      <c r="N1286" s="83"/>
      <c r="O1286" s="83"/>
      <c r="P1286" s="83"/>
      <c r="Q1286" s="83"/>
      <c r="R1286" s="83"/>
      <c r="S1286" s="83"/>
      <c r="T1286" s="83"/>
      <c r="U1286" s="83"/>
      <c r="V1286" s="83"/>
      <c r="W1286" s="83"/>
    </row>
    <row r="1287">
      <c r="A1287" s="91"/>
      <c r="B1287" s="91"/>
      <c r="C1287" s="91"/>
      <c r="D1287" s="91"/>
      <c r="E1287" s="91"/>
      <c r="F1287" s="92"/>
      <c r="G1287" s="83"/>
      <c r="H1287" s="83"/>
      <c r="I1287" s="83"/>
      <c r="J1287" s="83"/>
      <c r="K1287" s="83"/>
      <c r="L1287" s="83"/>
      <c r="M1287" s="83"/>
      <c r="N1287" s="83"/>
      <c r="O1287" s="83"/>
      <c r="P1287" s="83"/>
      <c r="Q1287" s="83"/>
      <c r="R1287" s="83"/>
      <c r="S1287" s="83"/>
      <c r="T1287" s="83"/>
      <c r="U1287" s="83"/>
      <c r="V1287" s="83"/>
      <c r="W1287" s="83"/>
    </row>
    <row r="1288">
      <c r="A1288" s="91"/>
      <c r="B1288" s="91"/>
      <c r="C1288" s="91"/>
      <c r="D1288" s="91"/>
      <c r="E1288" s="91"/>
      <c r="F1288" s="92"/>
      <c r="G1288" s="83"/>
      <c r="H1288" s="83"/>
      <c r="I1288" s="83"/>
      <c r="J1288" s="83"/>
      <c r="K1288" s="83"/>
      <c r="L1288" s="83"/>
      <c r="M1288" s="83"/>
      <c r="N1288" s="83"/>
      <c r="O1288" s="83"/>
      <c r="P1288" s="83"/>
      <c r="Q1288" s="83"/>
      <c r="R1288" s="83"/>
      <c r="S1288" s="83"/>
      <c r="T1288" s="83"/>
      <c r="U1288" s="83"/>
      <c r="V1288" s="83"/>
      <c r="W1288" s="83"/>
    </row>
    <row r="1289">
      <c r="A1289" s="91"/>
      <c r="B1289" s="91"/>
      <c r="C1289" s="91"/>
      <c r="D1289" s="91"/>
      <c r="E1289" s="91"/>
      <c r="F1289" s="92"/>
      <c r="G1289" s="83"/>
      <c r="H1289" s="83"/>
      <c r="I1289" s="83"/>
      <c r="J1289" s="83"/>
      <c r="K1289" s="83"/>
      <c r="L1289" s="83"/>
      <c r="M1289" s="83"/>
      <c r="N1289" s="83"/>
      <c r="O1289" s="83"/>
      <c r="P1289" s="83"/>
      <c r="Q1289" s="83"/>
      <c r="R1289" s="83"/>
      <c r="S1289" s="83"/>
      <c r="T1289" s="83"/>
      <c r="U1289" s="83"/>
      <c r="V1289" s="83"/>
      <c r="W1289" s="83"/>
    </row>
    <row r="1290">
      <c r="A1290" s="91"/>
      <c r="B1290" s="91"/>
      <c r="C1290" s="91"/>
      <c r="D1290" s="91"/>
      <c r="E1290" s="91"/>
      <c r="F1290" s="92"/>
      <c r="G1290" s="83"/>
      <c r="H1290" s="83"/>
      <c r="I1290" s="83"/>
      <c r="J1290" s="83"/>
      <c r="K1290" s="83"/>
      <c r="L1290" s="83"/>
      <c r="M1290" s="83"/>
      <c r="N1290" s="83"/>
      <c r="O1290" s="83"/>
      <c r="P1290" s="83"/>
      <c r="Q1290" s="83"/>
      <c r="R1290" s="83"/>
      <c r="S1290" s="83"/>
      <c r="T1290" s="83"/>
      <c r="U1290" s="83"/>
      <c r="V1290" s="83"/>
      <c r="W1290" s="83"/>
    </row>
    <row r="1291">
      <c r="A1291" s="91"/>
      <c r="B1291" s="91"/>
      <c r="C1291" s="91"/>
      <c r="D1291" s="91"/>
      <c r="E1291" s="91"/>
      <c r="F1291" s="92"/>
      <c r="G1291" s="83"/>
      <c r="H1291" s="83"/>
      <c r="I1291" s="83"/>
      <c r="J1291" s="83"/>
      <c r="K1291" s="83"/>
      <c r="L1291" s="83"/>
      <c r="M1291" s="83"/>
      <c r="N1291" s="83"/>
      <c r="O1291" s="83"/>
      <c r="P1291" s="83"/>
      <c r="Q1291" s="83"/>
      <c r="R1291" s="83"/>
      <c r="S1291" s="83"/>
      <c r="T1291" s="83"/>
      <c r="U1291" s="83"/>
      <c r="V1291" s="83"/>
      <c r="W1291" s="83"/>
    </row>
    <row r="1292">
      <c r="A1292" s="91"/>
      <c r="B1292" s="91"/>
      <c r="C1292" s="91"/>
      <c r="D1292" s="91"/>
      <c r="E1292" s="91"/>
      <c r="F1292" s="92"/>
      <c r="G1292" s="83"/>
      <c r="H1292" s="83"/>
      <c r="I1292" s="83"/>
      <c r="J1292" s="83"/>
      <c r="K1292" s="83"/>
      <c r="L1292" s="83"/>
      <c r="M1292" s="83"/>
      <c r="N1292" s="83"/>
      <c r="O1292" s="83"/>
      <c r="P1292" s="83"/>
      <c r="Q1292" s="83"/>
      <c r="R1292" s="83"/>
      <c r="S1292" s="83"/>
      <c r="T1292" s="83"/>
      <c r="U1292" s="83"/>
      <c r="V1292" s="83"/>
      <c r="W1292" s="83"/>
    </row>
    <row r="1293">
      <c r="A1293" s="91"/>
      <c r="B1293" s="91"/>
      <c r="C1293" s="91"/>
      <c r="D1293" s="91"/>
      <c r="E1293" s="91"/>
      <c r="F1293" s="92"/>
      <c r="G1293" s="83"/>
      <c r="H1293" s="83"/>
      <c r="I1293" s="83"/>
      <c r="J1293" s="83"/>
      <c r="K1293" s="83"/>
      <c r="L1293" s="83"/>
      <c r="M1293" s="83"/>
      <c r="N1293" s="83"/>
      <c r="O1293" s="83"/>
      <c r="P1293" s="83"/>
      <c r="Q1293" s="83"/>
      <c r="R1293" s="83"/>
      <c r="S1293" s="83"/>
      <c r="T1293" s="83"/>
      <c r="U1293" s="83"/>
      <c r="V1293" s="83"/>
      <c r="W1293" s="83"/>
    </row>
    <row r="1294">
      <c r="A1294" s="91"/>
      <c r="B1294" s="91"/>
      <c r="C1294" s="91"/>
      <c r="D1294" s="91"/>
      <c r="E1294" s="91"/>
      <c r="F1294" s="92"/>
      <c r="G1294" s="83"/>
      <c r="H1294" s="83"/>
      <c r="I1294" s="83"/>
      <c r="J1294" s="83"/>
      <c r="K1294" s="83"/>
      <c r="L1294" s="83"/>
      <c r="M1294" s="83"/>
      <c r="N1294" s="83"/>
      <c r="O1294" s="83"/>
      <c r="P1294" s="83"/>
      <c r="Q1294" s="83"/>
      <c r="R1294" s="83"/>
      <c r="S1294" s="83"/>
      <c r="T1294" s="83"/>
      <c r="U1294" s="83"/>
      <c r="V1294" s="83"/>
      <c r="W1294" s="83"/>
    </row>
    <row r="1295">
      <c r="A1295" s="91"/>
      <c r="B1295" s="91"/>
      <c r="C1295" s="91"/>
      <c r="D1295" s="91"/>
      <c r="E1295" s="91"/>
      <c r="F1295" s="92"/>
      <c r="G1295" s="83"/>
      <c r="H1295" s="83"/>
      <c r="I1295" s="83"/>
      <c r="J1295" s="83"/>
      <c r="K1295" s="83"/>
      <c r="L1295" s="83"/>
      <c r="M1295" s="83"/>
      <c r="N1295" s="83"/>
      <c r="O1295" s="83"/>
      <c r="P1295" s="83"/>
      <c r="Q1295" s="83"/>
      <c r="R1295" s="83"/>
      <c r="S1295" s="83"/>
      <c r="T1295" s="83"/>
      <c r="U1295" s="83"/>
      <c r="V1295" s="83"/>
      <c r="W1295" s="83"/>
    </row>
    <row r="1296">
      <c r="A1296" s="91"/>
      <c r="B1296" s="91"/>
      <c r="C1296" s="91"/>
      <c r="D1296" s="91"/>
      <c r="E1296" s="91"/>
      <c r="F1296" s="92"/>
      <c r="G1296" s="83"/>
      <c r="H1296" s="83"/>
      <c r="I1296" s="83"/>
      <c r="J1296" s="83"/>
      <c r="K1296" s="83"/>
      <c r="L1296" s="83"/>
      <c r="M1296" s="83"/>
      <c r="N1296" s="83"/>
      <c r="O1296" s="83"/>
      <c r="P1296" s="83"/>
      <c r="Q1296" s="83"/>
      <c r="R1296" s="83"/>
      <c r="S1296" s="83"/>
      <c r="T1296" s="83"/>
      <c r="U1296" s="83"/>
      <c r="V1296" s="83"/>
      <c r="W1296" s="83"/>
    </row>
    <row r="1297">
      <c r="A1297" s="91"/>
      <c r="B1297" s="91"/>
      <c r="C1297" s="91"/>
      <c r="D1297" s="91"/>
      <c r="E1297" s="91"/>
      <c r="F1297" s="92"/>
      <c r="G1297" s="83"/>
      <c r="H1297" s="83"/>
      <c r="I1297" s="83"/>
      <c r="J1297" s="83"/>
      <c r="K1297" s="83"/>
      <c r="L1297" s="83"/>
      <c r="M1297" s="83"/>
      <c r="N1297" s="83"/>
      <c r="O1297" s="83"/>
      <c r="P1297" s="83"/>
      <c r="Q1297" s="83"/>
      <c r="R1297" s="83"/>
      <c r="S1297" s="83"/>
      <c r="T1297" s="83"/>
      <c r="U1297" s="83"/>
      <c r="V1297" s="83"/>
      <c r="W1297" s="83"/>
    </row>
    <row r="1298">
      <c r="A1298" s="91"/>
      <c r="B1298" s="91"/>
      <c r="C1298" s="91"/>
      <c r="D1298" s="91"/>
      <c r="E1298" s="91"/>
      <c r="F1298" s="92"/>
      <c r="G1298" s="83"/>
      <c r="H1298" s="83"/>
      <c r="I1298" s="83"/>
      <c r="J1298" s="83"/>
      <c r="K1298" s="83"/>
      <c r="L1298" s="83"/>
      <c r="M1298" s="83"/>
      <c r="N1298" s="83"/>
      <c r="O1298" s="83"/>
      <c r="P1298" s="83"/>
      <c r="Q1298" s="83"/>
      <c r="R1298" s="83"/>
      <c r="S1298" s="83"/>
      <c r="T1298" s="83"/>
      <c r="U1298" s="83"/>
      <c r="V1298" s="83"/>
      <c r="W1298" s="83"/>
    </row>
    <row r="1299">
      <c r="A1299" s="91"/>
      <c r="B1299" s="91"/>
      <c r="C1299" s="91"/>
      <c r="D1299" s="91"/>
      <c r="E1299" s="91"/>
      <c r="F1299" s="92"/>
      <c r="G1299" s="83"/>
      <c r="H1299" s="83"/>
      <c r="I1299" s="83"/>
      <c r="J1299" s="83"/>
      <c r="K1299" s="83"/>
      <c r="L1299" s="83"/>
      <c r="M1299" s="83"/>
      <c r="N1299" s="83"/>
      <c r="O1299" s="83"/>
      <c r="P1299" s="83"/>
      <c r="Q1299" s="83"/>
      <c r="R1299" s="83"/>
      <c r="S1299" s="83"/>
      <c r="T1299" s="83"/>
      <c r="U1299" s="83"/>
      <c r="V1299" s="83"/>
      <c r="W1299" s="83"/>
    </row>
    <row r="1300">
      <c r="A1300" s="91"/>
      <c r="B1300" s="91"/>
      <c r="C1300" s="91"/>
      <c r="D1300" s="91"/>
      <c r="E1300" s="91"/>
      <c r="F1300" s="92"/>
      <c r="G1300" s="83"/>
      <c r="H1300" s="83"/>
      <c r="I1300" s="83"/>
      <c r="J1300" s="83"/>
      <c r="K1300" s="83"/>
      <c r="L1300" s="83"/>
      <c r="M1300" s="83"/>
      <c r="N1300" s="83"/>
      <c r="O1300" s="83"/>
      <c r="P1300" s="83"/>
      <c r="Q1300" s="83"/>
      <c r="R1300" s="83"/>
      <c r="S1300" s="83"/>
      <c r="T1300" s="83"/>
      <c r="U1300" s="83"/>
      <c r="V1300" s="83"/>
      <c r="W1300" s="83"/>
    </row>
    <row r="1301">
      <c r="A1301" s="91"/>
      <c r="B1301" s="91"/>
      <c r="C1301" s="91"/>
      <c r="D1301" s="91"/>
      <c r="E1301" s="91"/>
      <c r="F1301" s="92"/>
      <c r="G1301" s="83"/>
      <c r="H1301" s="83"/>
      <c r="I1301" s="83"/>
      <c r="J1301" s="83"/>
      <c r="K1301" s="83"/>
      <c r="L1301" s="83"/>
      <c r="M1301" s="83"/>
      <c r="N1301" s="83"/>
      <c r="O1301" s="83"/>
      <c r="P1301" s="83"/>
      <c r="Q1301" s="83"/>
      <c r="R1301" s="83"/>
      <c r="S1301" s="83"/>
      <c r="T1301" s="83"/>
      <c r="U1301" s="83"/>
      <c r="V1301" s="83"/>
      <c r="W1301" s="83"/>
    </row>
    <row r="1302">
      <c r="A1302" s="91"/>
      <c r="B1302" s="91"/>
      <c r="C1302" s="91"/>
      <c r="D1302" s="91"/>
      <c r="E1302" s="91"/>
      <c r="F1302" s="92"/>
      <c r="G1302" s="83"/>
      <c r="H1302" s="83"/>
      <c r="I1302" s="83"/>
      <c r="J1302" s="83"/>
      <c r="K1302" s="83"/>
      <c r="L1302" s="83"/>
      <c r="M1302" s="83"/>
      <c r="N1302" s="83"/>
      <c r="O1302" s="83"/>
      <c r="P1302" s="83"/>
      <c r="Q1302" s="83"/>
      <c r="R1302" s="83"/>
      <c r="S1302" s="83"/>
      <c r="T1302" s="83"/>
      <c r="U1302" s="83"/>
      <c r="V1302" s="83"/>
      <c r="W1302" s="83"/>
    </row>
    <row r="1303">
      <c r="A1303" s="91"/>
      <c r="B1303" s="91"/>
      <c r="C1303" s="91"/>
      <c r="D1303" s="91"/>
      <c r="E1303" s="91"/>
      <c r="F1303" s="92"/>
      <c r="G1303" s="83"/>
      <c r="H1303" s="83"/>
      <c r="I1303" s="83"/>
      <c r="J1303" s="83"/>
      <c r="K1303" s="83"/>
      <c r="L1303" s="83"/>
      <c r="M1303" s="83"/>
      <c r="N1303" s="83"/>
      <c r="O1303" s="83"/>
      <c r="P1303" s="83"/>
      <c r="Q1303" s="83"/>
      <c r="R1303" s="83"/>
      <c r="S1303" s="83"/>
      <c r="T1303" s="83"/>
      <c r="U1303" s="83"/>
      <c r="V1303" s="83"/>
      <c r="W1303" s="83"/>
    </row>
    <row r="1304">
      <c r="A1304" s="91"/>
      <c r="B1304" s="91"/>
      <c r="C1304" s="91"/>
      <c r="D1304" s="91"/>
      <c r="E1304" s="91"/>
      <c r="F1304" s="92"/>
      <c r="G1304" s="83"/>
      <c r="H1304" s="83"/>
      <c r="I1304" s="83"/>
      <c r="J1304" s="83"/>
      <c r="K1304" s="83"/>
      <c r="L1304" s="83"/>
      <c r="M1304" s="83"/>
      <c r="N1304" s="83"/>
      <c r="O1304" s="83"/>
      <c r="P1304" s="83"/>
      <c r="Q1304" s="83"/>
      <c r="R1304" s="83"/>
      <c r="S1304" s="83"/>
      <c r="T1304" s="83"/>
      <c r="U1304" s="83"/>
      <c r="V1304" s="83"/>
      <c r="W1304" s="83"/>
    </row>
    <row r="1305">
      <c r="A1305" s="91"/>
      <c r="B1305" s="91"/>
      <c r="C1305" s="91"/>
      <c r="D1305" s="91"/>
      <c r="E1305" s="91"/>
      <c r="F1305" s="92"/>
      <c r="G1305" s="83"/>
      <c r="H1305" s="83"/>
      <c r="I1305" s="83"/>
      <c r="J1305" s="83"/>
      <c r="K1305" s="83"/>
      <c r="L1305" s="83"/>
      <c r="M1305" s="83"/>
      <c r="N1305" s="83"/>
      <c r="O1305" s="83"/>
      <c r="P1305" s="83"/>
      <c r="Q1305" s="83"/>
      <c r="R1305" s="83"/>
      <c r="S1305" s="83"/>
      <c r="T1305" s="83"/>
      <c r="U1305" s="83"/>
      <c r="V1305" s="83"/>
      <c r="W1305" s="83"/>
    </row>
    <row r="1306">
      <c r="A1306" s="91"/>
      <c r="B1306" s="91"/>
      <c r="C1306" s="91"/>
      <c r="D1306" s="91"/>
      <c r="E1306" s="91"/>
      <c r="F1306" s="92"/>
      <c r="G1306" s="83"/>
      <c r="H1306" s="83"/>
      <c r="I1306" s="83"/>
      <c r="J1306" s="83"/>
      <c r="K1306" s="83"/>
      <c r="L1306" s="83"/>
      <c r="M1306" s="83"/>
      <c r="N1306" s="83"/>
      <c r="O1306" s="83"/>
      <c r="P1306" s="83"/>
      <c r="Q1306" s="83"/>
      <c r="R1306" s="83"/>
      <c r="S1306" s="83"/>
      <c r="T1306" s="83"/>
      <c r="U1306" s="83"/>
      <c r="V1306" s="83"/>
      <c r="W1306" s="83"/>
    </row>
    <row r="1307">
      <c r="A1307" s="91"/>
      <c r="B1307" s="91"/>
      <c r="C1307" s="91"/>
      <c r="D1307" s="91"/>
      <c r="E1307" s="91"/>
      <c r="F1307" s="92"/>
      <c r="G1307" s="83"/>
      <c r="H1307" s="83"/>
      <c r="I1307" s="83"/>
      <c r="J1307" s="83"/>
      <c r="K1307" s="83"/>
      <c r="L1307" s="83"/>
      <c r="M1307" s="83"/>
      <c r="N1307" s="83"/>
      <c r="O1307" s="83"/>
      <c r="P1307" s="83"/>
      <c r="Q1307" s="83"/>
      <c r="R1307" s="83"/>
      <c r="S1307" s="83"/>
      <c r="T1307" s="83"/>
      <c r="U1307" s="83"/>
      <c r="V1307" s="83"/>
      <c r="W1307" s="83"/>
    </row>
    <row r="1308">
      <c r="A1308" s="91"/>
      <c r="B1308" s="91"/>
      <c r="C1308" s="91"/>
      <c r="D1308" s="91"/>
      <c r="E1308" s="91"/>
      <c r="F1308" s="92"/>
      <c r="G1308" s="83"/>
      <c r="H1308" s="83"/>
      <c r="I1308" s="83"/>
      <c r="J1308" s="83"/>
      <c r="K1308" s="83"/>
      <c r="L1308" s="83"/>
      <c r="M1308" s="83"/>
      <c r="N1308" s="83"/>
      <c r="O1308" s="83"/>
      <c r="P1308" s="83"/>
      <c r="Q1308" s="83"/>
      <c r="R1308" s="83"/>
      <c r="S1308" s="83"/>
      <c r="T1308" s="83"/>
      <c r="U1308" s="83"/>
      <c r="V1308" s="83"/>
      <c r="W1308" s="83"/>
    </row>
    <row r="1309">
      <c r="A1309" s="91"/>
      <c r="B1309" s="91"/>
      <c r="C1309" s="91"/>
      <c r="D1309" s="91"/>
      <c r="E1309" s="91"/>
      <c r="F1309" s="92"/>
      <c r="G1309" s="83"/>
      <c r="H1309" s="83"/>
      <c r="I1309" s="83"/>
      <c r="J1309" s="83"/>
      <c r="K1309" s="83"/>
      <c r="L1309" s="83"/>
      <c r="M1309" s="83"/>
      <c r="N1309" s="83"/>
      <c r="O1309" s="83"/>
      <c r="P1309" s="83"/>
      <c r="Q1309" s="83"/>
      <c r="R1309" s="83"/>
      <c r="S1309" s="83"/>
      <c r="T1309" s="83"/>
      <c r="U1309" s="83"/>
      <c r="V1309" s="83"/>
      <c r="W1309" s="83"/>
    </row>
    <row r="1310">
      <c r="A1310" s="91"/>
      <c r="B1310" s="91"/>
      <c r="C1310" s="91"/>
      <c r="D1310" s="91"/>
      <c r="E1310" s="91"/>
      <c r="F1310" s="92"/>
      <c r="G1310" s="83"/>
      <c r="H1310" s="83"/>
      <c r="I1310" s="83"/>
      <c r="J1310" s="83"/>
      <c r="K1310" s="83"/>
      <c r="L1310" s="83"/>
      <c r="M1310" s="83"/>
      <c r="N1310" s="83"/>
      <c r="O1310" s="83"/>
      <c r="P1310" s="83"/>
      <c r="Q1310" s="83"/>
      <c r="R1310" s="83"/>
      <c r="S1310" s="83"/>
      <c r="T1310" s="83"/>
      <c r="U1310" s="83"/>
      <c r="V1310" s="83"/>
      <c r="W1310" s="83"/>
    </row>
    <row r="1311">
      <c r="A1311" s="91"/>
      <c r="B1311" s="91"/>
      <c r="C1311" s="91"/>
      <c r="D1311" s="91"/>
      <c r="E1311" s="91"/>
      <c r="F1311" s="92"/>
      <c r="G1311" s="83"/>
      <c r="H1311" s="83"/>
      <c r="I1311" s="83"/>
      <c r="J1311" s="83"/>
      <c r="K1311" s="83"/>
      <c r="L1311" s="83"/>
      <c r="M1311" s="83"/>
      <c r="N1311" s="83"/>
      <c r="O1311" s="83"/>
      <c r="P1311" s="83"/>
      <c r="Q1311" s="83"/>
      <c r="R1311" s="83"/>
      <c r="S1311" s="83"/>
      <c r="T1311" s="83"/>
      <c r="U1311" s="83"/>
      <c r="V1311" s="83"/>
      <c r="W1311" s="83"/>
    </row>
    <row r="1312">
      <c r="A1312" s="91"/>
      <c r="B1312" s="91"/>
      <c r="C1312" s="91"/>
      <c r="D1312" s="91"/>
      <c r="E1312" s="91"/>
      <c r="F1312" s="92"/>
      <c r="G1312" s="83"/>
      <c r="H1312" s="83"/>
      <c r="I1312" s="83"/>
      <c r="J1312" s="83"/>
      <c r="K1312" s="83"/>
      <c r="L1312" s="83"/>
      <c r="M1312" s="83"/>
      <c r="N1312" s="83"/>
      <c r="O1312" s="83"/>
      <c r="P1312" s="83"/>
      <c r="Q1312" s="83"/>
      <c r="R1312" s="83"/>
      <c r="S1312" s="83"/>
      <c r="T1312" s="83"/>
      <c r="U1312" s="83"/>
      <c r="V1312" s="83"/>
      <c r="W1312" s="83"/>
    </row>
    <row r="1313">
      <c r="A1313" s="91"/>
      <c r="B1313" s="91"/>
      <c r="C1313" s="91"/>
      <c r="D1313" s="91"/>
      <c r="E1313" s="91"/>
      <c r="F1313" s="92"/>
      <c r="G1313" s="83"/>
      <c r="H1313" s="83"/>
      <c r="I1313" s="83"/>
      <c r="J1313" s="83"/>
      <c r="K1313" s="83"/>
      <c r="L1313" s="83"/>
      <c r="M1313" s="83"/>
      <c r="N1313" s="83"/>
      <c r="O1313" s="83"/>
      <c r="P1313" s="83"/>
      <c r="Q1313" s="83"/>
      <c r="R1313" s="83"/>
      <c r="S1313" s="83"/>
      <c r="T1313" s="83"/>
      <c r="U1313" s="83"/>
      <c r="V1313" s="83"/>
      <c r="W1313" s="83"/>
    </row>
    <row r="1314">
      <c r="A1314" s="91"/>
      <c r="B1314" s="91"/>
      <c r="C1314" s="91"/>
      <c r="D1314" s="91"/>
      <c r="E1314" s="91"/>
      <c r="F1314" s="92"/>
      <c r="G1314" s="83"/>
      <c r="H1314" s="83"/>
      <c r="I1314" s="83"/>
      <c r="J1314" s="83"/>
      <c r="K1314" s="83"/>
      <c r="L1314" s="83"/>
      <c r="M1314" s="83"/>
      <c r="N1314" s="83"/>
      <c r="O1314" s="83"/>
      <c r="P1314" s="83"/>
      <c r="Q1314" s="83"/>
      <c r="R1314" s="83"/>
      <c r="S1314" s="83"/>
      <c r="T1314" s="83"/>
      <c r="U1314" s="83"/>
      <c r="V1314" s="83"/>
      <c r="W1314" s="83"/>
    </row>
    <row r="1315">
      <c r="A1315" s="91"/>
      <c r="B1315" s="91"/>
      <c r="C1315" s="91"/>
      <c r="D1315" s="91"/>
      <c r="E1315" s="91"/>
      <c r="F1315" s="92"/>
      <c r="G1315" s="83"/>
      <c r="H1315" s="83"/>
      <c r="I1315" s="83"/>
      <c r="J1315" s="83"/>
      <c r="K1315" s="83"/>
      <c r="L1315" s="83"/>
      <c r="M1315" s="83"/>
      <c r="N1315" s="83"/>
      <c r="O1315" s="83"/>
      <c r="P1315" s="83"/>
      <c r="Q1315" s="83"/>
      <c r="R1315" s="83"/>
      <c r="S1315" s="83"/>
      <c r="T1315" s="83"/>
      <c r="U1315" s="83"/>
      <c r="V1315" s="83"/>
      <c r="W1315" s="83"/>
    </row>
    <row r="1316">
      <c r="A1316" s="91"/>
      <c r="B1316" s="91"/>
      <c r="C1316" s="91"/>
      <c r="D1316" s="91"/>
      <c r="E1316" s="91"/>
      <c r="F1316" s="92"/>
      <c r="G1316" s="83"/>
      <c r="H1316" s="83"/>
      <c r="I1316" s="83"/>
      <c r="J1316" s="83"/>
      <c r="K1316" s="83"/>
      <c r="L1316" s="83"/>
      <c r="M1316" s="83"/>
      <c r="N1316" s="83"/>
      <c r="O1316" s="83"/>
      <c r="P1316" s="83"/>
      <c r="Q1316" s="83"/>
      <c r="R1316" s="83"/>
      <c r="S1316" s="83"/>
      <c r="T1316" s="83"/>
      <c r="U1316" s="83"/>
      <c r="V1316" s="83"/>
      <c r="W1316" s="83"/>
    </row>
    <row r="1317">
      <c r="A1317" s="91"/>
      <c r="B1317" s="91"/>
      <c r="C1317" s="91"/>
      <c r="D1317" s="91"/>
      <c r="E1317" s="91"/>
      <c r="F1317" s="92"/>
      <c r="G1317" s="83"/>
      <c r="H1317" s="83"/>
      <c r="I1317" s="83"/>
      <c r="J1317" s="83"/>
      <c r="K1317" s="83"/>
      <c r="L1317" s="83"/>
      <c r="M1317" s="83"/>
      <c r="N1317" s="83"/>
      <c r="O1317" s="83"/>
      <c r="P1317" s="83"/>
      <c r="Q1317" s="83"/>
      <c r="R1317" s="83"/>
      <c r="S1317" s="83"/>
      <c r="T1317" s="83"/>
      <c r="U1317" s="83"/>
      <c r="V1317" s="83"/>
      <c r="W1317" s="83"/>
    </row>
    <row r="1318">
      <c r="A1318" s="91"/>
      <c r="B1318" s="91"/>
      <c r="C1318" s="91"/>
      <c r="D1318" s="91"/>
      <c r="E1318" s="91"/>
      <c r="F1318" s="92"/>
      <c r="G1318" s="83"/>
      <c r="H1318" s="83"/>
      <c r="I1318" s="83"/>
      <c r="J1318" s="83"/>
      <c r="K1318" s="83"/>
      <c r="L1318" s="83"/>
      <c r="M1318" s="83"/>
      <c r="N1318" s="83"/>
      <c r="O1318" s="83"/>
      <c r="P1318" s="83"/>
      <c r="Q1318" s="83"/>
      <c r="R1318" s="83"/>
      <c r="S1318" s="83"/>
      <c r="T1318" s="83"/>
      <c r="U1318" s="83"/>
      <c r="V1318" s="83"/>
      <c r="W1318" s="83"/>
    </row>
    <row r="1319">
      <c r="A1319" s="91"/>
      <c r="B1319" s="91"/>
      <c r="C1319" s="91"/>
      <c r="D1319" s="91"/>
      <c r="E1319" s="91"/>
      <c r="F1319" s="92"/>
      <c r="G1319" s="83"/>
      <c r="H1319" s="83"/>
      <c r="I1319" s="83"/>
      <c r="J1319" s="83"/>
      <c r="K1319" s="83"/>
      <c r="L1319" s="83"/>
      <c r="M1319" s="83"/>
      <c r="N1319" s="83"/>
      <c r="O1319" s="83"/>
      <c r="P1319" s="83"/>
      <c r="Q1319" s="83"/>
      <c r="R1319" s="83"/>
      <c r="S1319" s="83"/>
      <c r="T1319" s="83"/>
      <c r="U1319" s="83"/>
      <c r="V1319" s="83"/>
      <c r="W1319" s="83"/>
    </row>
    <row r="1320">
      <c r="A1320" s="91"/>
      <c r="B1320" s="91"/>
      <c r="C1320" s="91"/>
      <c r="D1320" s="91"/>
      <c r="E1320" s="91"/>
      <c r="F1320" s="92"/>
      <c r="G1320" s="83"/>
      <c r="H1320" s="83"/>
      <c r="I1320" s="83"/>
      <c r="J1320" s="83"/>
      <c r="K1320" s="83"/>
      <c r="L1320" s="83"/>
      <c r="M1320" s="83"/>
      <c r="N1320" s="83"/>
      <c r="O1320" s="83"/>
      <c r="P1320" s="83"/>
      <c r="Q1320" s="83"/>
      <c r="R1320" s="83"/>
      <c r="S1320" s="83"/>
      <c r="T1320" s="83"/>
      <c r="U1320" s="83"/>
      <c r="V1320" s="83"/>
      <c r="W1320" s="83"/>
    </row>
    <row r="1321">
      <c r="A1321" s="91"/>
      <c r="B1321" s="91"/>
      <c r="C1321" s="91"/>
      <c r="D1321" s="91"/>
      <c r="E1321" s="91"/>
      <c r="F1321" s="92"/>
      <c r="G1321" s="83"/>
      <c r="H1321" s="83"/>
      <c r="I1321" s="83"/>
      <c r="J1321" s="83"/>
      <c r="K1321" s="83"/>
      <c r="L1321" s="83"/>
      <c r="M1321" s="83"/>
      <c r="N1321" s="83"/>
      <c r="O1321" s="83"/>
      <c r="P1321" s="83"/>
      <c r="Q1321" s="83"/>
      <c r="R1321" s="83"/>
      <c r="S1321" s="83"/>
      <c r="T1321" s="83"/>
      <c r="U1321" s="83"/>
      <c r="V1321" s="83"/>
      <c r="W1321" s="83"/>
    </row>
    <row r="1322">
      <c r="A1322" s="91"/>
      <c r="B1322" s="91"/>
      <c r="C1322" s="91"/>
      <c r="D1322" s="91"/>
      <c r="E1322" s="91"/>
      <c r="F1322" s="92"/>
      <c r="G1322" s="83"/>
      <c r="H1322" s="83"/>
      <c r="I1322" s="83"/>
      <c r="J1322" s="83"/>
      <c r="K1322" s="83"/>
      <c r="L1322" s="83"/>
      <c r="M1322" s="83"/>
      <c r="N1322" s="83"/>
      <c r="O1322" s="83"/>
      <c r="P1322" s="83"/>
      <c r="Q1322" s="83"/>
      <c r="R1322" s="83"/>
      <c r="S1322" s="83"/>
      <c r="T1322" s="83"/>
      <c r="U1322" s="83"/>
      <c r="V1322" s="83"/>
      <c r="W1322" s="83"/>
    </row>
    <row r="1323">
      <c r="A1323" s="91"/>
      <c r="B1323" s="91"/>
      <c r="C1323" s="91"/>
      <c r="D1323" s="91"/>
      <c r="E1323" s="91"/>
      <c r="F1323" s="92"/>
      <c r="G1323" s="83"/>
      <c r="H1323" s="83"/>
      <c r="I1323" s="83"/>
      <c r="J1323" s="83"/>
      <c r="K1323" s="83"/>
      <c r="L1323" s="83"/>
      <c r="M1323" s="83"/>
      <c r="N1323" s="83"/>
      <c r="O1323" s="83"/>
      <c r="P1323" s="83"/>
      <c r="Q1323" s="83"/>
      <c r="R1323" s="83"/>
      <c r="S1323" s="83"/>
      <c r="T1323" s="83"/>
      <c r="U1323" s="83"/>
      <c r="V1323" s="83"/>
      <c r="W1323" s="83"/>
    </row>
    <row r="1324">
      <c r="A1324" s="91"/>
      <c r="B1324" s="91"/>
      <c r="C1324" s="91"/>
      <c r="D1324" s="91"/>
      <c r="E1324" s="91"/>
      <c r="F1324" s="92"/>
      <c r="G1324" s="83"/>
      <c r="H1324" s="83"/>
      <c r="I1324" s="83"/>
      <c r="J1324" s="83"/>
      <c r="K1324" s="83"/>
      <c r="L1324" s="83"/>
      <c r="M1324" s="83"/>
      <c r="N1324" s="83"/>
      <c r="O1324" s="83"/>
      <c r="P1324" s="83"/>
      <c r="Q1324" s="83"/>
      <c r="R1324" s="83"/>
      <c r="S1324" s="83"/>
      <c r="T1324" s="83"/>
      <c r="U1324" s="83"/>
      <c r="V1324" s="83"/>
      <c r="W1324" s="83"/>
    </row>
    <row r="1325">
      <c r="A1325" s="91"/>
      <c r="B1325" s="91"/>
      <c r="C1325" s="91"/>
      <c r="D1325" s="91"/>
      <c r="E1325" s="91"/>
      <c r="F1325" s="92"/>
      <c r="G1325" s="83"/>
      <c r="H1325" s="83"/>
      <c r="I1325" s="83"/>
      <c r="J1325" s="83"/>
      <c r="K1325" s="83"/>
      <c r="L1325" s="83"/>
      <c r="M1325" s="83"/>
      <c r="N1325" s="83"/>
      <c r="O1325" s="83"/>
      <c r="P1325" s="83"/>
      <c r="Q1325" s="83"/>
      <c r="R1325" s="83"/>
      <c r="S1325" s="83"/>
      <c r="T1325" s="83"/>
      <c r="U1325" s="83"/>
      <c r="V1325" s="83"/>
      <c r="W1325" s="83"/>
    </row>
    <row r="1326">
      <c r="A1326" s="91"/>
      <c r="B1326" s="91"/>
      <c r="C1326" s="91"/>
      <c r="D1326" s="91"/>
      <c r="E1326" s="91"/>
      <c r="F1326" s="92"/>
      <c r="G1326" s="83"/>
      <c r="H1326" s="83"/>
      <c r="I1326" s="83"/>
      <c r="J1326" s="83"/>
      <c r="K1326" s="83"/>
      <c r="L1326" s="83"/>
      <c r="M1326" s="83"/>
      <c r="N1326" s="83"/>
      <c r="O1326" s="83"/>
      <c r="P1326" s="83"/>
      <c r="Q1326" s="83"/>
      <c r="R1326" s="83"/>
      <c r="S1326" s="83"/>
      <c r="T1326" s="83"/>
      <c r="U1326" s="83"/>
      <c r="V1326" s="83"/>
      <c r="W1326" s="83"/>
    </row>
    <row r="1327">
      <c r="A1327" s="91"/>
      <c r="B1327" s="91"/>
      <c r="C1327" s="91"/>
      <c r="D1327" s="91"/>
      <c r="E1327" s="91"/>
      <c r="F1327" s="92"/>
      <c r="G1327" s="83"/>
      <c r="H1327" s="83"/>
      <c r="I1327" s="83"/>
      <c r="J1327" s="83"/>
      <c r="K1327" s="83"/>
      <c r="L1327" s="83"/>
      <c r="M1327" s="83"/>
      <c r="N1327" s="83"/>
      <c r="O1327" s="83"/>
      <c r="P1327" s="83"/>
      <c r="Q1327" s="83"/>
      <c r="R1327" s="83"/>
      <c r="S1327" s="83"/>
      <c r="T1327" s="83"/>
      <c r="U1327" s="83"/>
      <c r="V1327" s="83"/>
      <c r="W1327" s="83"/>
    </row>
    <row r="1328">
      <c r="A1328" s="91"/>
      <c r="B1328" s="91"/>
      <c r="C1328" s="91"/>
      <c r="D1328" s="91"/>
      <c r="E1328" s="91"/>
      <c r="F1328" s="92"/>
      <c r="G1328" s="83"/>
      <c r="H1328" s="83"/>
      <c r="I1328" s="83"/>
      <c r="J1328" s="83"/>
      <c r="K1328" s="83"/>
      <c r="L1328" s="83"/>
      <c r="M1328" s="83"/>
      <c r="N1328" s="83"/>
      <c r="O1328" s="83"/>
      <c r="P1328" s="83"/>
      <c r="Q1328" s="83"/>
      <c r="R1328" s="83"/>
      <c r="S1328" s="83"/>
      <c r="T1328" s="83"/>
      <c r="U1328" s="83"/>
      <c r="V1328" s="83"/>
      <c r="W1328" s="83"/>
    </row>
    <row r="1329">
      <c r="A1329" s="91"/>
      <c r="B1329" s="91"/>
      <c r="C1329" s="91"/>
      <c r="D1329" s="91"/>
      <c r="E1329" s="91"/>
      <c r="F1329" s="92"/>
      <c r="G1329" s="83"/>
      <c r="H1329" s="83"/>
      <c r="I1329" s="83"/>
      <c r="J1329" s="83"/>
      <c r="K1329" s="83"/>
      <c r="L1329" s="83"/>
      <c r="M1329" s="83"/>
      <c r="N1329" s="83"/>
      <c r="O1329" s="83"/>
      <c r="P1329" s="83"/>
      <c r="Q1329" s="83"/>
      <c r="R1329" s="83"/>
      <c r="S1329" s="83"/>
      <c r="T1329" s="83"/>
      <c r="U1329" s="83"/>
      <c r="V1329" s="83"/>
      <c r="W1329" s="83"/>
    </row>
    <row r="1330">
      <c r="A1330" s="91"/>
      <c r="B1330" s="91"/>
      <c r="C1330" s="91"/>
      <c r="D1330" s="91"/>
      <c r="E1330" s="91"/>
      <c r="F1330" s="92"/>
      <c r="G1330" s="83"/>
      <c r="H1330" s="83"/>
      <c r="I1330" s="83"/>
      <c r="J1330" s="83"/>
      <c r="K1330" s="83"/>
      <c r="L1330" s="83"/>
      <c r="M1330" s="83"/>
      <c r="N1330" s="83"/>
      <c r="O1330" s="83"/>
      <c r="P1330" s="83"/>
      <c r="Q1330" s="83"/>
      <c r="R1330" s="83"/>
      <c r="S1330" s="83"/>
      <c r="T1330" s="83"/>
      <c r="U1330" s="83"/>
      <c r="V1330" s="83"/>
      <c r="W1330" s="83"/>
    </row>
    <row r="1331">
      <c r="A1331" s="91"/>
      <c r="B1331" s="91"/>
      <c r="C1331" s="91"/>
      <c r="D1331" s="91"/>
      <c r="E1331" s="91"/>
      <c r="F1331" s="92"/>
      <c r="G1331" s="83"/>
      <c r="H1331" s="83"/>
      <c r="I1331" s="83"/>
      <c r="J1331" s="83"/>
      <c r="K1331" s="83"/>
      <c r="L1331" s="83"/>
      <c r="M1331" s="83"/>
      <c r="N1331" s="83"/>
      <c r="O1331" s="83"/>
      <c r="P1331" s="83"/>
      <c r="Q1331" s="83"/>
      <c r="R1331" s="83"/>
      <c r="S1331" s="83"/>
      <c r="T1331" s="83"/>
      <c r="U1331" s="83"/>
      <c r="V1331" s="83"/>
      <c r="W1331" s="83"/>
    </row>
    <row r="1332">
      <c r="A1332" s="91"/>
      <c r="B1332" s="91"/>
      <c r="C1332" s="91"/>
      <c r="D1332" s="91"/>
      <c r="E1332" s="91"/>
      <c r="F1332" s="92"/>
      <c r="G1332" s="83"/>
      <c r="H1332" s="83"/>
      <c r="I1332" s="83"/>
      <c r="J1332" s="83"/>
      <c r="K1332" s="83"/>
      <c r="L1332" s="83"/>
      <c r="M1332" s="83"/>
      <c r="N1332" s="83"/>
      <c r="O1332" s="83"/>
      <c r="P1332" s="83"/>
      <c r="Q1332" s="83"/>
      <c r="R1332" s="83"/>
      <c r="S1332" s="83"/>
      <c r="T1332" s="83"/>
      <c r="U1332" s="83"/>
      <c r="V1332" s="83"/>
      <c r="W1332" s="83"/>
    </row>
    <row r="1333">
      <c r="A1333" s="91"/>
      <c r="B1333" s="91"/>
      <c r="C1333" s="91"/>
      <c r="D1333" s="91"/>
      <c r="E1333" s="91"/>
      <c r="F1333" s="92"/>
      <c r="G1333" s="83"/>
      <c r="H1333" s="83"/>
      <c r="I1333" s="83"/>
      <c r="J1333" s="83"/>
      <c r="K1333" s="83"/>
      <c r="L1333" s="83"/>
      <c r="M1333" s="83"/>
      <c r="N1333" s="83"/>
      <c r="O1333" s="83"/>
      <c r="P1333" s="83"/>
      <c r="Q1333" s="83"/>
      <c r="R1333" s="83"/>
      <c r="S1333" s="83"/>
      <c r="T1333" s="83"/>
      <c r="U1333" s="83"/>
      <c r="V1333" s="83"/>
      <c r="W1333" s="83"/>
    </row>
    <row r="1334">
      <c r="A1334" s="91"/>
      <c r="B1334" s="91"/>
      <c r="C1334" s="91"/>
      <c r="D1334" s="91"/>
      <c r="E1334" s="91"/>
      <c r="F1334" s="92"/>
      <c r="G1334" s="83"/>
      <c r="H1334" s="83"/>
      <c r="I1334" s="83"/>
      <c r="J1334" s="83"/>
      <c r="K1334" s="83"/>
      <c r="L1334" s="83"/>
      <c r="M1334" s="83"/>
      <c r="N1334" s="83"/>
      <c r="O1334" s="83"/>
      <c r="P1334" s="83"/>
      <c r="Q1334" s="83"/>
      <c r="R1334" s="83"/>
      <c r="S1334" s="83"/>
      <c r="T1334" s="83"/>
      <c r="U1334" s="83"/>
      <c r="V1334" s="83"/>
      <c r="W1334" s="83"/>
    </row>
    <row r="1335">
      <c r="A1335" s="91"/>
      <c r="B1335" s="91"/>
      <c r="C1335" s="91"/>
      <c r="D1335" s="91"/>
      <c r="E1335" s="91"/>
      <c r="F1335" s="92"/>
      <c r="G1335" s="83"/>
      <c r="H1335" s="83"/>
      <c r="I1335" s="83"/>
      <c r="J1335" s="83"/>
      <c r="K1335" s="83"/>
      <c r="L1335" s="83"/>
      <c r="M1335" s="83"/>
      <c r="N1335" s="83"/>
      <c r="O1335" s="83"/>
      <c r="P1335" s="83"/>
      <c r="Q1335" s="83"/>
      <c r="R1335" s="83"/>
      <c r="S1335" s="83"/>
      <c r="T1335" s="83"/>
      <c r="U1335" s="83"/>
      <c r="V1335" s="83"/>
      <c r="W1335" s="83"/>
    </row>
    <row r="1336">
      <c r="A1336" s="91"/>
      <c r="B1336" s="91"/>
      <c r="C1336" s="91"/>
      <c r="D1336" s="91"/>
      <c r="E1336" s="91"/>
      <c r="F1336" s="92"/>
      <c r="G1336" s="83"/>
      <c r="H1336" s="83"/>
      <c r="I1336" s="83"/>
      <c r="J1336" s="83"/>
      <c r="K1336" s="83"/>
      <c r="L1336" s="83"/>
      <c r="M1336" s="83"/>
      <c r="N1336" s="83"/>
      <c r="O1336" s="83"/>
      <c r="P1336" s="83"/>
      <c r="Q1336" s="83"/>
      <c r="R1336" s="83"/>
      <c r="S1336" s="83"/>
      <c r="T1336" s="83"/>
      <c r="U1336" s="83"/>
      <c r="V1336" s="83"/>
      <c r="W1336" s="83"/>
    </row>
    <row r="1337">
      <c r="A1337" s="91"/>
      <c r="B1337" s="91"/>
      <c r="C1337" s="91"/>
      <c r="D1337" s="91"/>
      <c r="E1337" s="91"/>
      <c r="F1337" s="92"/>
      <c r="G1337" s="83"/>
      <c r="H1337" s="83"/>
      <c r="I1337" s="83"/>
      <c r="J1337" s="83"/>
      <c r="K1337" s="83"/>
      <c r="L1337" s="83"/>
      <c r="M1337" s="83"/>
      <c r="N1337" s="83"/>
      <c r="O1337" s="83"/>
      <c r="P1337" s="83"/>
      <c r="Q1337" s="83"/>
      <c r="R1337" s="83"/>
      <c r="S1337" s="83"/>
      <c r="T1337" s="83"/>
      <c r="U1337" s="83"/>
      <c r="V1337" s="83"/>
      <c r="W1337" s="83"/>
    </row>
    <row r="1338">
      <c r="A1338" s="91"/>
      <c r="B1338" s="91"/>
      <c r="C1338" s="91"/>
      <c r="D1338" s="91"/>
      <c r="E1338" s="91"/>
      <c r="F1338" s="92"/>
      <c r="G1338" s="83"/>
      <c r="H1338" s="83"/>
      <c r="I1338" s="83"/>
      <c r="J1338" s="83"/>
      <c r="K1338" s="83"/>
      <c r="L1338" s="83"/>
      <c r="M1338" s="83"/>
      <c r="N1338" s="83"/>
      <c r="O1338" s="83"/>
      <c r="P1338" s="83"/>
      <c r="Q1338" s="83"/>
      <c r="R1338" s="83"/>
      <c r="S1338" s="83"/>
      <c r="T1338" s="83"/>
      <c r="U1338" s="83"/>
      <c r="V1338" s="83"/>
      <c r="W1338" s="83"/>
    </row>
    <row r="1339">
      <c r="A1339" s="91"/>
      <c r="B1339" s="91"/>
      <c r="C1339" s="91"/>
      <c r="D1339" s="91"/>
      <c r="E1339" s="91"/>
      <c r="F1339" s="92"/>
      <c r="G1339" s="83"/>
      <c r="H1339" s="83"/>
      <c r="I1339" s="83"/>
      <c r="J1339" s="83"/>
      <c r="K1339" s="83"/>
      <c r="L1339" s="83"/>
      <c r="M1339" s="83"/>
      <c r="N1339" s="83"/>
      <c r="O1339" s="83"/>
      <c r="P1339" s="83"/>
      <c r="Q1339" s="83"/>
      <c r="R1339" s="83"/>
      <c r="S1339" s="83"/>
      <c r="T1339" s="83"/>
      <c r="U1339" s="83"/>
      <c r="V1339" s="83"/>
      <c r="W1339" s="83"/>
    </row>
    <row r="1340">
      <c r="A1340" s="91"/>
      <c r="B1340" s="91"/>
      <c r="C1340" s="91"/>
      <c r="D1340" s="91"/>
      <c r="E1340" s="91"/>
      <c r="F1340" s="92"/>
      <c r="G1340" s="83"/>
      <c r="H1340" s="83"/>
      <c r="I1340" s="83"/>
      <c r="J1340" s="83"/>
      <c r="K1340" s="83"/>
      <c r="L1340" s="83"/>
      <c r="M1340" s="83"/>
      <c r="N1340" s="83"/>
      <c r="O1340" s="83"/>
      <c r="P1340" s="83"/>
      <c r="Q1340" s="83"/>
      <c r="R1340" s="83"/>
      <c r="S1340" s="83"/>
      <c r="T1340" s="83"/>
      <c r="U1340" s="83"/>
      <c r="V1340" s="83"/>
      <c r="W1340" s="83"/>
    </row>
    <row r="1341">
      <c r="A1341" s="91"/>
      <c r="B1341" s="91"/>
      <c r="C1341" s="91"/>
      <c r="D1341" s="91"/>
      <c r="E1341" s="91"/>
      <c r="F1341" s="92"/>
      <c r="G1341" s="83"/>
      <c r="H1341" s="83"/>
      <c r="I1341" s="83"/>
      <c r="J1341" s="83"/>
      <c r="K1341" s="83"/>
      <c r="L1341" s="83"/>
      <c r="M1341" s="83"/>
      <c r="N1341" s="83"/>
      <c r="O1341" s="83"/>
      <c r="P1341" s="83"/>
      <c r="Q1341" s="83"/>
      <c r="R1341" s="83"/>
      <c r="S1341" s="83"/>
      <c r="T1341" s="83"/>
      <c r="U1341" s="83"/>
      <c r="V1341" s="83"/>
      <c r="W1341" s="83"/>
    </row>
    <row r="1342">
      <c r="A1342" s="91"/>
      <c r="B1342" s="91"/>
      <c r="C1342" s="91"/>
      <c r="D1342" s="91"/>
      <c r="E1342" s="91"/>
      <c r="F1342" s="92"/>
      <c r="G1342" s="83"/>
      <c r="H1342" s="83"/>
      <c r="I1342" s="83"/>
      <c r="J1342" s="83"/>
      <c r="K1342" s="83"/>
      <c r="L1342" s="83"/>
      <c r="M1342" s="83"/>
      <c r="N1342" s="83"/>
      <c r="O1342" s="83"/>
      <c r="P1342" s="83"/>
      <c r="Q1342" s="83"/>
      <c r="R1342" s="83"/>
      <c r="S1342" s="83"/>
      <c r="T1342" s="83"/>
      <c r="U1342" s="83"/>
      <c r="V1342" s="83"/>
      <c r="W1342" s="83"/>
    </row>
    <row r="1343">
      <c r="A1343" s="91"/>
      <c r="B1343" s="91"/>
      <c r="C1343" s="91"/>
      <c r="D1343" s="91"/>
      <c r="E1343" s="91"/>
      <c r="F1343" s="92"/>
      <c r="G1343" s="83"/>
      <c r="H1343" s="83"/>
      <c r="I1343" s="83"/>
      <c r="J1343" s="83"/>
      <c r="K1343" s="83"/>
      <c r="L1343" s="83"/>
      <c r="M1343" s="83"/>
      <c r="N1343" s="83"/>
      <c r="O1343" s="83"/>
      <c r="P1343" s="83"/>
      <c r="Q1343" s="83"/>
      <c r="R1343" s="83"/>
      <c r="S1343" s="83"/>
      <c r="T1343" s="83"/>
      <c r="U1343" s="83"/>
      <c r="V1343" s="83"/>
      <c r="W1343" s="83"/>
    </row>
    <row r="1344">
      <c r="A1344" s="91"/>
      <c r="B1344" s="91"/>
      <c r="C1344" s="91"/>
      <c r="D1344" s="91"/>
      <c r="E1344" s="91"/>
      <c r="F1344" s="92"/>
      <c r="G1344" s="83"/>
      <c r="H1344" s="83"/>
      <c r="I1344" s="83"/>
      <c r="J1344" s="83"/>
      <c r="K1344" s="83"/>
      <c r="L1344" s="83"/>
      <c r="M1344" s="83"/>
      <c r="N1344" s="83"/>
      <c r="O1344" s="83"/>
      <c r="P1344" s="83"/>
      <c r="Q1344" s="83"/>
      <c r="R1344" s="83"/>
      <c r="S1344" s="83"/>
      <c r="T1344" s="83"/>
      <c r="U1344" s="83"/>
      <c r="V1344" s="83"/>
      <c r="W1344" s="83"/>
    </row>
    <row r="1345">
      <c r="A1345" s="91"/>
      <c r="B1345" s="91"/>
      <c r="C1345" s="91"/>
      <c r="D1345" s="91"/>
      <c r="E1345" s="91"/>
      <c r="F1345" s="92"/>
      <c r="G1345" s="83"/>
      <c r="H1345" s="83"/>
      <c r="I1345" s="83"/>
      <c r="J1345" s="83"/>
      <c r="K1345" s="83"/>
      <c r="L1345" s="83"/>
      <c r="M1345" s="83"/>
      <c r="N1345" s="83"/>
      <c r="O1345" s="83"/>
      <c r="P1345" s="83"/>
      <c r="Q1345" s="83"/>
      <c r="R1345" s="83"/>
      <c r="S1345" s="83"/>
      <c r="T1345" s="83"/>
      <c r="U1345" s="83"/>
      <c r="V1345" s="83"/>
      <c r="W1345" s="83"/>
    </row>
    <row r="1346">
      <c r="A1346" s="91"/>
      <c r="B1346" s="91"/>
      <c r="C1346" s="91"/>
      <c r="D1346" s="91"/>
      <c r="E1346" s="91"/>
      <c r="F1346" s="92"/>
      <c r="G1346" s="83"/>
      <c r="H1346" s="83"/>
      <c r="I1346" s="83"/>
      <c r="J1346" s="83"/>
      <c r="K1346" s="83"/>
      <c r="L1346" s="83"/>
      <c r="M1346" s="83"/>
      <c r="N1346" s="83"/>
      <c r="O1346" s="83"/>
      <c r="P1346" s="83"/>
      <c r="Q1346" s="83"/>
      <c r="R1346" s="83"/>
      <c r="S1346" s="83"/>
      <c r="T1346" s="83"/>
      <c r="U1346" s="83"/>
      <c r="V1346" s="83"/>
      <c r="W1346" s="83"/>
    </row>
    <row r="1347">
      <c r="A1347" s="91"/>
      <c r="B1347" s="91"/>
      <c r="C1347" s="91"/>
      <c r="D1347" s="91"/>
      <c r="E1347" s="91"/>
      <c r="F1347" s="92"/>
      <c r="G1347" s="83"/>
      <c r="H1347" s="83"/>
      <c r="I1347" s="83"/>
      <c r="J1347" s="83"/>
      <c r="K1347" s="83"/>
      <c r="L1347" s="83"/>
      <c r="M1347" s="83"/>
      <c r="N1347" s="83"/>
      <c r="O1347" s="83"/>
      <c r="P1347" s="83"/>
      <c r="Q1347" s="83"/>
      <c r="R1347" s="83"/>
      <c r="S1347" s="83"/>
      <c r="T1347" s="83"/>
      <c r="U1347" s="83"/>
      <c r="V1347" s="83"/>
      <c r="W1347" s="83"/>
    </row>
    <row r="1348">
      <c r="A1348" s="91"/>
      <c r="B1348" s="91"/>
      <c r="C1348" s="91"/>
      <c r="D1348" s="91"/>
      <c r="E1348" s="91"/>
      <c r="F1348" s="92"/>
      <c r="G1348" s="83"/>
      <c r="H1348" s="83"/>
      <c r="I1348" s="83"/>
      <c r="J1348" s="83"/>
      <c r="K1348" s="83"/>
      <c r="L1348" s="83"/>
      <c r="M1348" s="83"/>
      <c r="N1348" s="83"/>
      <c r="O1348" s="83"/>
      <c r="P1348" s="83"/>
      <c r="Q1348" s="83"/>
      <c r="R1348" s="83"/>
      <c r="S1348" s="83"/>
      <c r="T1348" s="83"/>
      <c r="U1348" s="83"/>
      <c r="V1348" s="83"/>
      <c r="W1348" s="83"/>
    </row>
    <row r="1349">
      <c r="A1349" s="91"/>
      <c r="B1349" s="91"/>
      <c r="C1349" s="91"/>
      <c r="D1349" s="91"/>
      <c r="E1349" s="91"/>
      <c r="F1349" s="92"/>
      <c r="G1349" s="83"/>
      <c r="H1349" s="83"/>
      <c r="I1349" s="83"/>
      <c r="J1349" s="83"/>
      <c r="K1349" s="83"/>
      <c r="L1349" s="83"/>
      <c r="M1349" s="83"/>
      <c r="N1349" s="83"/>
      <c r="O1349" s="83"/>
      <c r="P1349" s="83"/>
      <c r="Q1349" s="83"/>
      <c r="R1349" s="83"/>
      <c r="S1349" s="83"/>
      <c r="T1349" s="83"/>
      <c r="U1349" s="83"/>
      <c r="V1349" s="83"/>
      <c r="W1349" s="83"/>
    </row>
    <row r="1350">
      <c r="A1350" s="91"/>
      <c r="B1350" s="91"/>
      <c r="C1350" s="91"/>
      <c r="D1350" s="91"/>
      <c r="E1350" s="91"/>
      <c r="F1350" s="92"/>
      <c r="G1350" s="83"/>
      <c r="H1350" s="83"/>
      <c r="I1350" s="83"/>
      <c r="J1350" s="83"/>
      <c r="K1350" s="83"/>
      <c r="L1350" s="83"/>
      <c r="M1350" s="83"/>
      <c r="N1350" s="83"/>
      <c r="O1350" s="83"/>
      <c r="P1350" s="83"/>
      <c r="Q1350" s="83"/>
      <c r="R1350" s="83"/>
      <c r="S1350" s="83"/>
      <c r="T1350" s="83"/>
      <c r="U1350" s="83"/>
      <c r="V1350" s="83"/>
      <c r="W1350" s="83"/>
    </row>
    <row r="1351">
      <c r="A1351" s="91"/>
      <c r="B1351" s="91"/>
      <c r="C1351" s="91"/>
      <c r="D1351" s="91"/>
      <c r="E1351" s="91"/>
      <c r="F1351" s="92"/>
      <c r="G1351" s="83"/>
      <c r="H1351" s="83"/>
      <c r="I1351" s="83"/>
      <c r="J1351" s="83"/>
      <c r="K1351" s="83"/>
      <c r="L1351" s="83"/>
      <c r="M1351" s="83"/>
      <c r="N1351" s="83"/>
      <c r="O1351" s="83"/>
      <c r="P1351" s="83"/>
      <c r="Q1351" s="83"/>
      <c r="R1351" s="83"/>
      <c r="S1351" s="83"/>
      <c r="T1351" s="83"/>
      <c r="U1351" s="83"/>
      <c r="V1351" s="83"/>
      <c r="W1351" s="83"/>
    </row>
    <row r="1352">
      <c r="A1352" s="91"/>
      <c r="B1352" s="91"/>
      <c r="C1352" s="91"/>
      <c r="D1352" s="91"/>
      <c r="E1352" s="91"/>
      <c r="F1352" s="92"/>
      <c r="G1352" s="83"/>
      <c r="H1352" s="83"/>
      <c r="I1352" s="83"/>
      <c r="J1352" s="83"/>
      <c r="K1352" s="83"/>
      <c r="L1352" s="83"/>
      <c r="M1352" s="83"/>
      <c r="N1352" s="83"/>
      <c r="O1352" s="83"/>
      <c r="P1352" s="83"/>
      <c r="Q1352" s="83"/>
      <c r="R1352" s="83"/>
      <c r="S1352" s="83"/>
      <c r="T1352" s="83"/>
      <c r="U1352" s="83"/>
      <c r="V1352" s="83"/>
      <c r="W1352" s="83"/>
    </row>
    <row r="1353">
      <c r="A1353" s="91"/>
      <c r="B1353" s="91"/>
      <c r="C1353" s="91"/>
      <c r="D1353" s="91"/>
      <c r="E1353" s="91"/>
      <c r="F1353" s="92"/>
      <c r="G1353" s="83"/>
      <c r="H1353" s="83"/>
      <c r="I1353" s="83"/>
      <c r="J1353" s="83"/>
      <c r="K1353" s="83"/>
      <c r="L1353" s="83"/>
      <c r="M1353" s="83"/>
      <c r="N1353" s="83"/>
      <c r="O1353" s="83"/>
      <c r="P1353" s="83"/>
      <c r="Q1353" s="83"/>
      <c r="R1353" s="83"/>
      <c r="S1353" s="83"/>
      <c r="T1353" s="83"/>
      <c r="U1353" s="83"/>
      <c r="V1353" s="83"/>
      <c r="W1353" s="83"/>
    </row>
    <row r="1354">
      <c r="A1354" s="91"/>
      <c r="B1354" s="91"/>
      <c r="C1354" s="91"/>
      <c r="D1354" s="91"/>
      <c r="E1354" s="91"/>
      <c r="F1354" s="92"/>
      <c r="G1354" s="83"/>
      <c r="H1354" s="83"/>
      <c r="I1354" s="83"/>
      <c r="J1354" s="83"/>
      <c r="K1354" s="83"/>
      <c r="L1354" s="83"/>
      <c r="M1354" s="83"/>
      <c r="N1354" s="83"/>
      <c r="O1354" s="83"/>
      <c r="P1354" s="83"/>
      <c r="Q1354" s="83"/>
      <c r="R1354" s="83"/>
      <c r="S1354" s="83"/>
      <c r="T1354" s="83"/>
      <c r="U1354" s="83"/>
      <c r="V1354" s="83"/>
      <c r="W1354" s="83"/>
    </row>
    <row r="1355">
      <c r="A1355" s="91"/>
      <c r="B1355" s="91"/>
      <c r="C1355" s="91"/>
      <c r="D1355" s="91"/>
      <c r="E1355" s="91"/>
      <c r="F1355" s="92"/>
      <c r="G1355" s="83"/>
      <c r="H1355" s="83"/>
      <c r="I1355" s="83"/>
      <c r="J1355" s="83"/>
      <c r="K1355" s="83"/>
      <c r="L1355" s="83"/>
      <c r="M1355" s="83"/>
      <c r="N1355" s="83"/>
      <c r="O1355" s="83"/>
      <c r="P1355" s="83"/>
      <c r="Q1355" s="83"/>
      <c r="R1355" s="83"/>
      <c r="S1355" s="83"/>
      <c r="T1355" s="83"/>
      <c r="U1355" s="83"/>
      <c r="V1355" s="83"/>
      <c r="W1355" s="83"/>
    </row>
    <row r="1356">
      <c r="A1356" s="91"/>
      <c r="B1356" s="91"/>
      <c r="C1356" s="91"/>
      <c r="D1356" s="91"/>
      <c r="E1356" s="91"/>
      <c r="F1356" s="92"/>
      <c r="G1356" s="83"/>
      <c r="H1356" s="83"/>
      <c r="I1356" s="83"/>
      <c r="J1356" s="83"/>
      <c r="K1356" s="83"/>
      <c r="L1356" s="83"/>
      <c r="M1356" s="83"/>
      <c r="N1356" s="83"/>
      <c r="O1356" s="83"/>
      <c r="P1356" s="83"/>
      <c r="Q1356" s="83"/>
      <c r="R1356" s="83"/>
      <c r="S1356" s="83"/>
      <c r="T1356" s="83"/>
      <c r="U1356" s="83"/>
      <c r="V1356" s="83"/>
      <c r="W1356" s="83"/>
    </row>
    <row r="1357">
      <c r="A1357" s="91"/>
      <c r="B1357" s="91"/>
      <c r="C1357" s="91"/>
      <c r="D1357" s="91"/>
      <c r="E1357" s="91"/>
      <c r="F1357" s="92"/>
      <c r="G1357" s="83"/>
      <c r="H1357" s="83"/>
      <c r="I1357" s="83"/>
      <c r="J1357" s="83"/>
      <c r="K1357" s="83"/>
      <c r="L1357" s="83"/>
      <c r="M1357" s="83"/>
      <c r="N1357" s="83"/>
      <c r="O1357" s="83"/>
      <c r="P1357" s="83"/>
      <c r="Q1357" s="83"/>
      <c r="R1357" s="83"/>
      <c r="S1357" s="83"/>
      <c r="T1357" s="83"/>
      <c r="U1357" s="83"/>
      <c r="V1357" s="83"/>
      <c r="W1357" s="83"/>
    </row>
    <row r="1358">
      <c r="A1358" s="91"/>
      <c r="B1358" s="91"/>
      <c r="C1358" s="91"/>
      <c r="D1358" s="91"/>
      <c r="E1358" s="91"/>
      <c r="F1358" s="92"/>
      <c r="G1358" s="83"/>
      <c r="H1358" s="83"/>
      <c r="I1358" s="83"/>
      <c r="J1358" s="83"/>
      <c r="K1358" s="83"/>
      <c r="L1358" s="83"/>
      <c r="M1358" s="83"/>
      <c r="N1358" s="83"/>
      <c r="O1358" s="83"/>
      <c r="P1358" s="83"/>
      <c r="Q1358" s="83"/>
      <c r="R1358" s="83"/>
      <c r="S1358" s="83"/>
      <c r="T1358" s="83"/>
      <c r="U1358" s="83"/>
      <c r="V1358" s="83"/>
      <c r="W1358" s="83"/>
    </row>
    <row r="1359">
      <c r="A1359" s="91"/>
      <c r="B1359" s="91"/>
      <c r="C1359" s="91"/>
      <c r="D1359" s="91"/>
      <c r="E1359" s="91"/>
      <c r="F1359" s="92"/>
      <c r="G1359" s="83"/>
      <c r="H1359" s="83"/>
      <c r="I1359" s="83"/>
      <c r="J1359" s="83"/>
      <c r="K1359" s="83"/>
      <c r="L1359" s="83"/>
      <c r="M1359" s="83"/>
      <c r="N1359" s="83"/>
      <c r="O1359" s="83"/>
      <c r="P1359" s="83"/>
      <c r="Q1359" s="83"/>
      <c r="R1359" s="83"/>
      <c r="S1359" s="83"/>
      <c r="T1359" s="83"/>
      <c r="U1359" s="83"/>
      <c r="V1359" s="83"/>
      <c r="W1359" s="83"/>
    </row>
    <row r="1360">
      <c r="A1360" s="91"/>
      <c r="B1360" s="91"/>
      <c r="C1360" s="91"/>
      <c r="D1360" s="91"/>
      <c r="E1360" s="91"/>
      <c r="F1360" s="92"/>
      <c r="G1360" s="83"/>
      <c r="H1360" s="83"/>
      <c r="I1360" s="83"/>
      <c r="J1360" s="83"/>
      <c r="K1360" s="83"/>
      <c r="L1360" s="83"/>
      <c r="M1360" s="83"/>
      <c r="N1360" s="83"/>
      <c r="O1360" s="83"/>
      <c r="P1360" s="83"/>
      <c r="Q1360" s="83"/>
      <c r="R1360" s="83"/>
      <c r="S1360" s="83"/>
      <c r="T1360" s="83"/>
      <c r="U1360" s="83"/>
      <c r="V1360" s="83"/>
      <c r="W1360" s="83"/>
    </row>
    <row r="1361">
      <c r="A1361" s="91"/>
      <c r="B1361" s="91"/>
      <c r="C1361" s="91"/>
      <c r="D1361" s="91"/>
      <c r="E1361" s="91"/>
      <c r="F1361" s="92"/>
      <c r="G1361" s="83"/>
      <c r="H1361" s="83"/>
      <c r="I1361" s="83"/>
      <c r="J1361" s="83"/>
      <c r="K1361" s="83"/>
      <c r="L1361" s="83"/>
      <c r="M1361" s="83"/>
      <c r="N1361" s="83"/>
      <c r="O1361" s="83"/>
      <c r="P1361" s="83"/>
      <c r="Q1361" s="83"/>
      <c r="R1361" s="83"/>
      <c r="S1361" s="83"/>
      <c r="T1361" s="83"/>
      <c r="U1361" s="83"/>
      <c r="V1361" s="83"/>
      <c r="W1361" s="83"/>
    </row>
    <row r="1362">
      <c r="A1362" s="91"/>
      <c r="B1362" s="91"/>
      <c r="C1362" s="91"/>
      <c r="D1362" s="91"/>
      <c r="E1362" s="91"/>
      <c r="F1362" s="92"/>
      <c r="G1362" s="83"/>
      <c r="H1362" s="83"/>
      <c r="I1362" s="83"/>
      <c r="J1362" s="83"/>
      <c r="K1362" s="83"/>
      <c r="L1362" s="83"/>
      <c r="M1362" s="83"/>
      <c r="N1362" s="83"/>
      <c r="O1362" s="83"/>
      <c r="P1362" s="83"/>
      <c r="Q1362" s="83"/>
      <c r="R1362" s="83"/>
      <c r="S1362" s="83"/>
      <c r="T1362" s="83"/>
      <c r="U1362" s="83"/>
      <c r="V1362" s="83"/>
      <c r="W1362" s="83"/>
    </row>
    <row r="1363">
      <c r="A1363" s="91"/>
      <c r="B1363" s="91"/>
      <c r="C1363" s="91"/>
      <c r="D1363" s="91"/>
      <c r="E1363" s="91"/>
      <c r="F1363" s="92"/>
      <c r="G1363" s="83"/>
      <c r="H1363" s="83"/>
      <c r="I1363" s="83"/>
      <c r="J1363" s="83"/>
      <c r="K1363" s="83"/>
      <c r="L1363" s="83"/>
      <c r="M1363" s="83"/>
      <c r="N1363" s="83"/>
      <c r="O1363" s="83"/>
      <c r="P1363" s="83"/>
      <c r="Q1363" s="83"/>
      <c r="R1363" s="83"/>
      <c r="S1363" s="83"/>
      <c r="T1363" s="83"/>
      <c r="U1363" s="83"/>
      <c r="V1363" s="83"/>
      <c r="W1363" s="83"/>
    </row>
    <row r="1364">
      <c r="A1364" s="91"/>
      <c r="B1364" s="91"/>
      <c r="C1364" s="91"/>
      <c r="D1364" s="91"/>
      <c r="E1364" s="91"/>
      <c r="F1364" s="92"/>
      <c r="G1364" s="83"/>
      <c r="H1364" s="83"/>
      <c r="I1364" s="83"/>
      <c r="J1364" s="83"/>
      <c r="K1364" s="83"/>
      <c r="L1364" s="83"/>
      <c r="M1364" s="83"/>
      <c r="N1364" s="83"/>
      <c r="O1364" s="83"/>
      <c r="P1364" s="83"/>
      <c r="Q1364" s="83"/>
      <c r="R1364" s="83"/>
      <c r="S1364" s="83"/>
      <c r="T1364" s="83"/>
      <c r="U1364" s="83"/>
      <c r="V1364" s="83"/>
      <c r="W1364" s="83"/>
    </row>
    <row r="1365">
      <c r="A1365" s="91"/>
      <c r="B1365" s="91"/>
      <c r="C1365" s="91"/>
      <c r="D1365" s="91"/>
      <c r="E1365" s="91"/>
      <c r="F1365" s="92"/>
      <c r="G1365" s="83"/>
      <c r="H1365" s="83"/>
      <c r="I1365" s="83"/>
      <c r="J1365" s="83"/>
      <c r="K1365" s="83"/>
      <c r="L1365" s="83"/>
      <c r="M1365" s="83"/>
      <c r="N1365" s="83"/>
      <c r="O1365" s="83"/>
      <c r="P1365" s="83"/>
      <c r="Q1365" s="83"/>
      <c r="R1365" s="83"/>
      <c r="S1365" s="83"/>
      <c r="T1365" s="83"/>
      <c r="U1365" s="83"/>
      <c r="V1365" s="83"/>
      <c r="W1365" s="83"/>
    </row>
    <row r="1366">
      <c r="A1366" s="91"/>
      <c r="B1366" s="91"/>
      <c r="C1366" s="91"/>
      <c r="D1366" s="91"/>
      <c r="E1366" s="91"/>
      <c r="F1366" s="92"/>
      <c r="G1366" s="83"/>
      <c r="H1366" s="83"/>
      <c r="I1366" s="83"/>
      <c r="J1366" s="83"/>
      <c r="K1366" s="83"/>
      <c r="L1366" s="83"/>
      <c r="M1366" s="83"/>
      <c r="N1366" s="83"/>
      <c r="O1366" s="83"/>
      <c r="P1366" s="83"/>
      <c r="Q1366" s="83"/>
      <c r="R1366" s="83"/>
      <c r="S1366" s="83"/>
      <c r="T1366" s="83"/>
      <c r="U1366" s="83"/>
      <c r="V1366" s="83"/>
      <c r="W1366" s="83"/>
    </row>
    <row r="1367">
      <c r="A1367" s="91"/>
      <c r="B1367" s="91"/>
      <c r="C1367" s="91"/>
      <c r="D1367" s="91"/>
      <c r="E1367" s="91"/>
      <c r="F1367" s="92"/>
      <c r="G1367" s="83"/>
      <c r="H1367" s="83"/>
      <c r="I1367" s="83"/>
      <c r="J1367" s="83"/>
      <c r="K1367" s="83"/>
      <c r="L1367" s="83"/>
      <c r="M1367" s="83"/>
      <c r="N1367" s="83"/>
      <c r="O1367" s="83"/>
      <c r="P1367" s="83"/>
      <c r="Q1367" s="83"/>
      <c r="R1367" s="83"/>
      <c r="S1367" s="83"/>
      <c r="T1367" s="83"/>
      <c r="U1367" s="83"/>
      <c r="V1367" s="83"/>
      <c r="W1367" s="83"/>
    </row>
    <row r="1368">
      <c r="A1368" s="91"/>
      <c r="B1368" s="91"/>
      <c r="C1368" s="91"/>
      <c r="D1368" s="91"/>
      <c r="E1368" s="91"/>
      <c r="F1368" s="92"/>
      <c r="G1368" s="83"/>
      <c r="H1368" s="83"/>
      <c r="I1368" s="83"/>
      <c r="J1368" s="83"/>
      <c r="K1368" s="83"/>
      <c r="L1368" s="83"/>
      <c r="M1368" s="83"/>
      <c r="N1368" s="83"/>
      <c r="O1368" s="83"/>
      <c r="P1368" s="83"/>
      <c r="Q1368" s="83"/>
      <c r="R1368" s="83"/>
      <c r="S1368" s="83"/>
      <c r="T1368" s="83"/>
      <c r="U1368" s="83"/>
      <c r="V1368" s="83"/>
      <c r="W1368" s="83"/>
    </row>
    <row r="1369">
      <c r="A1369" s="91"/>
      <c r="B1369" s="91"/>
      <c r="C1369" s="91"/>
      <c r="D1369" s="91"/>
      <c r="E1369" s="91"/>
      <c r="F1369" s="92"/>
      <c r="G1369" s="83"/>
      <c r="H1369" s="83"/>
      <c r="I1369" s="83"/>
      <c r="J1369" s="83"/>
      <c r="K1369" s="83"/>
      <c r="L1369" s="83"/>
      <c r="M1369" s="83"/>
      <c r="N1369" s="83"/>
      <c r="O1369" s="83"/>
      <c r="P1369" s="83"/>
      <c r="Q1369" s="83"/>
      <c r="R1369" s="83"/>
      <c r="S1369" s="83"/>
      <c r="T1369" s="83"/>
      <c r="U1369" s="83"/>
      <c r="V1369" s="83"/>
      <c r="W1369" s="83"/>
    </row>
    <row r="1370">
      <c r="A1370" s="91"/>
      <c r="B1370" s="91"/>
      <c r="C1370" s="91"/>
      <c r="D1370" s="91"/>
      <c r="E1370" s="91"/>
      <c r="F1370" s="92"/>
      <c r="G1370" s="83"/>
      <c r="H1370" s="83"/>
      <c r="I1370" s="83"/>
      <c r="J1370" s="83"/>
      <c r="K1370" s="83"/>
      <c r="L1370" s="83"/>
      <c r="M1370" s="83"/>
      <c r="N1370" s="83"/>
      <c r="O1370" s="83"/>
      <c r="P1370" s="83"/>
      <c r="Q1370" s="83"/>
      <c r="R1370" s="83"/>
      <c r="S1370" s="83"/>
      <c r="T1370" s="83"/>
      <c r="U1370" s="83"/>
      <c r="V1370" s="83"/>
      <c r="W1370" s="83"/>
    </row>
    <row r="1371">
      <c r="A1371" s="91"/>
      <c r="B1371" s="91"/>
      <c r="C1371" s="91"/>
      <c r="D1371" s="91"/>
      <c r="E1371" s="91"/>
      <c r="F1371" s="92"/>
      <c r="G1371" s="83"/>
      <c r="H1371" s="83"/>
      <c r="I1371" s="83"/>
      <c r="J1371" s="83"/>
      <c r="K1371" s="83"/>
      <c r="L1371" s="83"/>
      <c r="M1371" s="83"/>
      <c r="N1371" s="83"/>
      <c r="O1371" s="83"/>
      <c r="P1371" s="83"/>
      <c r="Q1371" s="83"/>
      <c r="R1371" s="83"/>
      <c r="S1371" s="83"/>
      <c r="T1371" s="83"/>
      <c r="U1371" s="83"/>
      <c r="V1371" s="83"/>
      <c r="W1371" s="83"/>
    </row>
    <row r="1372">
      <c r="A1372" s="91"/>
      <c r="B1372" s="91"/>
      <c r="C1372" s="91"/>
      <c r="D1372" s="91"/>
      <c r="E1372" s="91"/>
      <c r="F1372" s="92"/>
      <c r="G1372" s="83"/>
      <c r="H1372" s="83"/>
      <c r="I1372" s="83"/>
      <c r="J1372" s="83"/>
      <c r="K1372" s="83"/>
      <c r="L1372" s="83"/>
      <c r="M1372" s="83"/>
      <c r="N1372" s="83"/>
      <c r="O1372" s="83"/>
      <c r="P1372" s="83"/>
      <c r="Q1372" s="83"/>
      <c r="R1372" s="83"/>
      <c r="S1372" s="83"/>
      <c r="T1372" s="83"/>
      <c r="U1372" s="83"/>
      <c r="V1372" s="83"/>
      <c r="W1372" s="83"/>
    </row>
    <row r="1373">
      <c r="A1373" s="91"/>
      <c r="B1373" s="91"/>
      <c r="C1373" s="91"/>
      <c r="D1373" s="91"/>
      <c r="E1373" s="91"/>
      <c r="F1373" s="92"/>
      <c r="G1373" s="83"/>
      <c r="H1373" s="83"/>
      <c r="I1373" s="83"/>
      <c r="J1373" s="83"/>
      <c r="K1373" s="83"/>
      <c r="L1373" s="83"/>
      <c r="M1373" s="83"/>
      <c r="N1373" s="83"/>
      <c r="O1373" s="83"/>
      <c r="P1373" s="83"/>
      <c r="Q1373" s="83"/>
      <c r="R1373" s="83"/>
      <c r="S1373" s="83"/>
      <c r="T1373" s="83"/>
      <c r="U1373" s="83"/>
      <c r="V1373" s="83"/>
      <c r="W1373" s="83"/>
    </row>
    <row r="1374">
      <c r="A1374" s="91"/>
      <c r="B1374" s="91"/>
      <c r="C1374" s="91"/>
      <c r="D1374" s="91"/>
      <c r="E1374" s="91"/>
      <c r="F1374" s="92"/>
      <c r="G1374" s="83"/>
      <c r="H1374" s="83"/>
      <c r="I1374" s="83"/>
      <c r="J1374" s="83"/>
      <c r="K1374" s="83"/>
      <c r="L1374" s="83"/>
      <c r="M1374" s="83"/>
      <c r="N1374" s="83"/>
      <c r="O1374" s="83"/>
      <c r="P1374" s="83"/>
      <c r="Q1374" s="83"/>
      <c r="R1374" s="83"/>
      <c r="S1374" s="83"/>
      <c r="T1374" s="83"/>
      <c r="U1374" s="83"/>
      <c r="V1374" s="83"/>
      <c r="W1374" s="83"/>
    </row>
    <row r="1375">
      <c r="A1375" s="91"/>
      <c r="B1375" s="91"/>
      <c r="C1375" s="91"/>
      <c r="D1375" s="91"/>
      <c r="E1375" s="91"/>
      <c r="F1375" s="92"/>
      <c r="G1375" s="83"/>
      <c r="H1375" s="83"/>
      <c r="I1375" s="83"/>
      <c r="J1375" s="83"/>
      <c r="K1375" s="83"/>
      <c r="L1375" s="83"/>
      <c r="M1375" s="83"/>
      <c r="N1375" s="83"/>
      <c r="O1375" s="83"/>
      <c r="P1375" s="83"/>
      <c r="Q1375" s="83"/>
      <c r="R1375" s="83"/>
      <c r="S1375" s="83"/>
      <c r="T1375" s="83"/>
      <c r="U1375" s="83"/>
      <c r="V1375" s="83"/>
      <c r="W1375" s="83"/>
    </row>
    <row r="1376">
      <c r="A1376" s="91"/>
      <c r="B1376" s="91"/>
      <c r="C1376" s="91"/>
      <c r="D1376" s="91"/>
      <c r="E1376" s="91"/>
      <c r="F1376" s="92"/>
      <c r="G1376" s="83"/>
      <c r="H1376" s="83"/>
      <c r="I1376" s="83"/>
      <c r="J1376" s="83"/>
      <c r="K1376" s="83"/>
      <c r="L1376" s="83"/>
      <c r="M1376" s="83"/>
      <c r="N1376" s="83"/>
      <c r="O1376" s="83"/>
      <c r="P1376" s="83"/>
      <c r="Q1376" s="83"/>
      <c r="R1376" s="83"/>
      <c r="S1376" s="83"/>
      <c r="T1376" s="83"/>
      <c r="U1376" s="83"/>
      <c r="V1376" s="83"/>
      <c r="W1376" s="83"/>
    </row>
    <row r="1377">
      <c r="A1377" s="91"/>
      <c r="B1377" s="91"/>
      <c r="C1377" s="91"/>
      <c r="D1377" s="91"/>
      <c r="E1377" s="91"/>
      <c r="F1377" s="92"/>
      <c r="G1377" s="83"/>
      <c r="H1377" s="83"/>
      <c r="I1377" s="83"/>
      <c r="J1377" s="83"/>
      <c r="K1377" s="83"/>
      <c r="L1377" s="83"/>
      <c r="M1377" s="83"/>
      <c r="N1377" s="83"/>
      <c r="O1377" s="83"/>
      <c r="P1377" s="83"/>
      <c r="Q1377" s="83"/>
      <c r="R1377" s="83"/>
      <c r="S1377" s="83"/>
      <c r="T1377" s="83"/>
      <c r="U1377" s="83"/>
      <c r="V1377" s="83"/>
      <c r="W1377" s="83"/>
    </row>
    <row r="1378">
      <c r="A1378" s="91"/>
      <c r="B1378" s="91"/>
      <c r="C1378" s="91"/>
      <c r="D1378" s="91"/>
      <c r="E1378" s="91"/>
      <c r="F1378" s="92"/>
      <c r="G1378" s="83"/>
      <c r="H1378" s="83"/>
      <c r="I1378" s="83"/>
      <c r="J1378" s="83"/>
      <c r="K1378" s="83"/>
      <c r="L1378" s="83"/>
      <c r="M1378" s="83"/>
      <c r="N1378" s="83"/>
      <c r="O1378" s="83"/>
      <c r="P1378" s="83"/>
      <c r="Q1378" s="83"/>
      <c r="R1378" s="83"/>
      <c r="S1378" s="83"/>
      <c r="T1378" s="83"/>
      <c r="U1378" s="83"/>
      <c r="V1378" s="83"/>
      <c r="W1378" s="83"/>
    </row>
    <row r="1379">
      <c r="A1379" s="91"/>
      <c r="B1379" s="91"/>
      <c r="C1379" s="91"/>
      <c r="D1379" s="91"/>
      <c r="E1379" s="91"/>
      <c r="F1379" s="92"/>
      <c r="G1379" s="83"/>
      <c r="H1379" s="83"/>
      <c r="I1379" s="83"/>
      <c r="J1379" s="83"/>
      <c r="K1379" s="83"/>
      <c r="L1379" s="83"/>
      <c r="M1379" s="83"/>
      <c r="N1379" s="83"/>
      <c r="O1379" s="83"/>
      <c r="P1379" s="83"/>
      <c r="Q1379" s="83"/>
      <c r="R1379" s="83"/>
      <c r="S1379" s="83"/>
      <c r="T1379" s="83"/>
      <c r="U1379" s="83"/>
      <c r="V1379" s="83"/>
      <c r="W1379" s="83"/>
    </row>
    <row r="1380">
      <c r="A1380" s="91"/>
      <c r="B1380" s="91"/>
      <c r="C1380" s="91"/>
      <c r="D1380" s="91"/>
      <c r="E1380" s="91"/>
      <c r="F1380" s="92"/>
      <c r="G1380" s="83"/>
      <c r="H1380" s="83"/>
      <c r="I1380" s="83"/>
      <c r="J1380" s="83"/>
      <c r="K1380" s="83"/>
      <c r="L1380" s="83"/>
      <c r="M1380" s="83"/>
      <c r="N1380" s="83"/>
      <c r="O1380" s="83"/>
      <c r="P1380" s="83"/>
      <c r="Q1380" s="83"/>
      <c r="R1380" s="83"/>
      <c r="S1380" s="83"/>
      <c r="T1380" s="83"/>
      <c r="U1380" s="83"/>
      <c r="V1380" s="83"/>
      <c r="W1380" s="83"/>
    </row>
    <row r="1381">
      <c r="A1381" s="91"/>
      <c r="B1381" s="91"/>
      <c r="C1381" s="91"/>
      <c r="D1381" s="91"/>
      <c r="E1381" s="91"/>
      <c r="F1381" s="92"/>
      <c r="G1381" s="83"/>
      <c r="H1381" s="83"/>
      <c r="I1381" s="83"/>
      <c r="J1381" s="83"/>
      <c r="K1381" s="83"/>
      <c r="L1381" s="83"/>
      <c r="M1381" s="83"/>
      <c r="N1381" s="83"/>
      <c r="O1381" s="83"/>
      <c r="P1381" s="83"/>
      <c r="Q1381" s="83"/>
      <c r="R1381" s="83"/>
      <c r="S1381" s="83"/>
      <c r="T1381" s="83"/>
      <c r="U1381" s="83"/>
      <c r="V1381" s="83"/>
      <c r="W1381" s="83"/>
    </row>
    <row r="1382">
      <c r="A1382" s="91"/>
      <c r="B1382" s="91"/>
      <c r="C1382" s="91"/>
      <c r="D1382" s="91"/>
      <c r="E1382" s="91"/>
      <c r="F1382" s="92"/>
      <c r="G1382" s="83"/>
      <c r="H1382" s="83"/>
      <c r="I1382" s="83"/>
      <c r="J1382" s="83"/>
      <c r="K1382" s="83"/>
      <c r="L1382" s="83"/>
      <c r="M1382" s="83"/>
      <c r="N1382" s="83"/>
      <c r="O1382" s="83"/>
      <c r="P1382" s="83"/>
      <c r="Q1382" s="83"/>
      <c r="R1382" s="83"/>
      <c r="S1382" s="83"/>
      <c r="T1382" s="83"/>
      <c r="U1382" s="83"/>
      <c r="V1382" s="83"/>
      <c r="W1382" s="83"/>
    </row>
    <row r="1383">
      <c r="A1383" s="91"/>
      <c r="B1383" s="91"/>
      <c r="C1383" s="91"/>
      <c r="D1383" s="91"/>
      <c r="E1383" s="91"/>
      <c r="F1383" s="92"/>
      <c r="G1383" s="83"/>
      <c r="H1383" s="83"/>
      <c r="I1383" s="83"/>
      <c r="J1383" s="83"/>
      <c r="K1383" s="83"/>
      <c r="L1383" s="83"/>
      <c r="M1383" s="83"/>
      <c r="N1383" s="83"/>
      <c r="O1383" s="83"/>
      <c r="P1383" s="83"/>
      <c r="Q1383" s="83"/>
      <c r="R1383" s="83"/>
      <c r="S1383" s="83"/>
      <c r="T1383" s="83"/>
      <c r="U1383" s="83"/>
      <c r="V1383" s="83"/>
      <c r="W1383" s="83"/>
    </row>
    <row r="1384">
      <c r="A1384" s="91"/>
      <c r="B1384" s="91"/>
      <c r="C1384" s="91"/>
      <c r="D1384" s="91"/>
      <c r="E1384" s="91"/>
      <c r="F1384" s="92"/>
      <c r="G1384" s="83"/>
      <c r="H1384" s="83"/>
      <c r="I1384" s="83"/>
      <c r="J1384" s="83"/>
      <c r="K1384" s="83"/>
      <c r="L1384" s="83"/>
      <c r="M1384" s="83"/>
      <c r="N1384" s="83"/>
      <c r="O1384" s="83"/>
      <c r="P1384" s="83"/>
      <c r="Q1384" s="83"/>
      <c r="R1384" s="83"/>
      <c r="S1384" s="83"/>
      <c r="T1384" s="83"/>
      <c r="U1384" s="83"/>
      <c r="V1384" s="83"/>
      <c r="W1384" s="83"/>
    </row>
    <row r="1385">
      <c r="A1385" s="91"/>
      <c r="B1385" s="91"/>
      <c r="C1385" s="91"/>
      <c r="D1385" s="91"/>
      <c r="E1385" s="91"/>
      <c r="F1385" s="92"/>
      <c r="G1385" s="83"/>
      <c r="H1385" s="83"/>
      <c r="I1385" s="83"/>
      <c r="J1385" s="83"/>
      <c r="K1385" s="83"/>
      <c r="L1385" s="83"/>
      <c r="M1385" s="83"/>
      <c r="N1385" s="83"/>
      <c r="O1385" s="83"/>
      <c r="P1385" s="83"/>
      <c r="Q1385" s="83"/>
      <c r="R1385" s="83"/>
      <c r="S1385" s="83"/>
      <c r="T1385" s="83"/>
      <c r="U1385" s="83"/>
      <c r="V1385" s="83"/>
      <c r="W1385" s="83"/>
    </row>
    <row r="1386">
      <c r="A1386" s="91"/>
      <c r="B1386" s="91"/>
      <c r="C1386" s="91"/>
      <c r="D1386" s="91"/>
      <c r="E1386" s="91"/>
      <c r="F1386" s="92"/>
      <c r="G1386" s="83"/>
      <c r="H1386" s="83"/>
      <c r="I1386" s="83"/>
      <c r="J1386" s="83"/>
      <c r="K1386" s="83"/>
      <c r="L1386" s="83"/>
      <c r="M1386" s="83"/>
      <c r="N1386" s="83"/>
      <c r="O1386" s="83"/>
      <c r="P1386" s="83"/>
      <c r="Q1386" s="83"/>
      <c r="R1386" s="83"/>
      <c r="S1386" s="83"/>
      <c r="T1386" s="83"/>
      <c r="U1386" s="83"/>
      <c r="V1386" s="83"/>
      <c r="W1386" s="83"/>
    </row>
    <row r="1387">
      <c r="A1387" s="91"/>
      <c r="B1387" s="91"/>
      <c r="C1387" s="91"/>
      <c r="D1387" s="91"/>
      <c r="E1387" s="91"/>
      <c r="F1387" s="92"/>
      <c r="G1387" s="83"/>
      <c r="H1387" s="83"/>
      <c r="I1387" s="83"/>
      <c r="J1387" s="83"/>
      <c r="K1387" s="83"/>
      <c r="L1387" s="83"/>
      <c r="M1387" s="83"/>
      <c r="N1387" s="83"/>
      <c r="O1387" s="83"/>
      <c r="P1387" s="83"/>
      <c r="Q1387" s="83"/>
      <c r="R1387" s="83"/>
      <c r="S1387" s="83"/>
      <c r="T1387" s="83"/>
      <c r="U1387" s="83"/>
      <c r="V1387" s="83"/>
      <c r="W1387" s="83"/>
    </row>
    <row r="1388">
      <c r="A1388" s="91"/>
      <c r="B1388" s="91"/>
      <c r="C1388" s="91"/>
      <c r="D1388" s="91"/>
      <c r="E1388" s="91"/>
      <c r="F1388" s="92"/>
      <c r="G1388" s="83"/>
      <c r="H1388" s="83"/>
      <c r="I1388" s="83"/>
      <c r="J1388" s="83"/>
      <c r="K1388" s="83"/>
      <c r="L1388" s="83"/>
      <c r="M1388" s="83"/>
      <c r="N1388" s="83"/>
      <c r="O1388" s="83"/>
      <c r="P1388" s="83"/>
      <c r="Q1388" s="83"/>
      <c r="R1388" s="83"/>
      <c r="S1388" s="83"/>
      <c r="T1388" s="83"/>
      <c r="U1388" s="83"/>
      <c r="V1388" s="83"/>
      <c r="W1388" s="83"/>
    </row>
    <row r="1389">
      <c r="A1389" s="91"/>
      <c r="B1389" s="91"/>
      <c r="C1389" s="91"/>
      <c r="D1389" s="91"/>
      <c r="E1389" s="91"/>
      <c r="F1389" s="92"/>
      <c r="G1389" s="83"/>
      <c r="H1389" s="83"/>
      <c r="I1389" s="83"/>
      <c r="J1389" s="83"/>
      <c r="K1389" s="83"/>
      <c r="L1389" s="83"/>
      <c r="M1389" s="83"/>
      <c r="N1389" s="83"/>
      <c r="O1389" s="83"/>
      <c r="P1389" s="83"/>
      <c r="Q1389" s="83"/>
      <c r="R1389" s="83"/>
      <c r="S1389" s="83"/>
      <c r="T1389" s="83"/>
      <c r="U1389" s="83"/>
      <c r="V1389" s="83"/>
      <c r="W1389" s="83"/>
    </row>
    <row r="1390">
      <c r="A1390" s="91"/>
      <c r="B1390" s="91"/>
      <c r="C1390" s="91"/>
      <c r="D1390" s="91"/>
      <c r="E1390" s="91"/>
      <c r="F1390" s="92"/>
      <c r="G1390" s="83"/>
      <c r="H1390" s="83"/>
      <c r="I1390" s="83"/>
      <c r="J1390" s="83"/>
      <c r="K1390" s="83"/>
      <c r="L1390" s="83"/>
      <c r="M1390" s="83"/>
      <c r="N1390" s="83"/>
      <c r="O1390" s="83"/>
      <c r="P1390" s="83"/>
      <c r="Q1390" s="83"/>
      <c r="R1390" s="83"/>
      <c r="S1390" s="83"/>
      <c r="T1390" s="83"/>
      <c r="U1390" s="83"/>
      <c r="V1390" s="83"/>
      <c r="W1390" s="83"/>
    </row>
    <row r="1391">
      <c r="A1391" s="91"/>
      <c r="B1391" s="91"/>
      <c r="C1391" s="91"/>
      <c r="D1391" s="91"/>
      <c r="E1391" s="91"/>
      <c r="F1391" s="92"/>
      <c r="G1391" s="83"/>
      <c r="H1391" s="83"/>
      <c r="I1391" s="83"/>
      <c r="J1391" s="83"/>
      <c r="K1391" s="83"/>
      <c r="L1391" s="83"/>
      <c r="M1391" s="83"/>
      <c r="N1391" s="83"/>
      <c r="O1391" s="83"/>
      <c r="P1391" s="83"/>
      <c r="Q1391" s="83"/>
      <c r="R1391" s="83"/>
      <c r="S1391" s="83"/>
      <c r="T1391" s="83"/>
      <c r="U1391" s="83"/>
      <c r="V1391" s="83"/>
      <c r="W1391" s="83"/>
    </row>
    <row r="1392">
      <c r="A1392" s="91"/>
      <c r="B1392" s="91"/>
      <c r="C1392" s="91"/>
      <c r="D1392" s="91"/>
      <c r="E1392" s="91"/>
      <c r="F1392" s="92"/>
      <c r="G1392" s="83"/>
      <c r="H1392" s="83"/>
      <c r="I1392" s="83"/>
      <c r="J1392" s="83"/>
      <c r="K1392" s="83"/>
      <c r="L1392" s="83"/>
      <c r="M1392" s="83"/>
      <c r="N1392" s="83"/>
      <c r="O1392" s="83"/>
      <c r="P1392" s="83"/>
      <c r="Q1392" s="83"/>
      <c r="R1392" s="83"/>
      <c r="S1392" s="83"/>
      <c r="T1392" s="83"/>
      <c r="U1392" s="83"/>
      <c r="V1392" s="83"/>
      <c r="W1392" s="83"/>
    </row>
    <row r="1393">
      <c r="A1393" s="91"/>
      <c r="B1393" s="91"/>
      <c r="C1393" s="91"/>
      <c r="D1393" s="91"/>
      <c r="E1393" s="91"/>
      <c r="F1393" s="92"/>
      <c r="G1393" s="83"/>
      <c r="H1393" s="83"/>
      <c r="I1393" s="83"/>
      <c r="J1393" s="83"/>
      <c r="K1393" s="83"/>
      <c r="L1393" s="83"/>
      <c r="M1393" s="83"/>
      <c r="N1393" s="83"/>
      <c r="O1393" s="83"/>
      <c r="P1393" s="83"/>
      <c r="Q1393" s="83"/>
      <c r="R1393" s="83"/>
      <c r="S1393" s="83"/>
      <c r="T1393" s="83"/>
      <c r="U1393" s="83"/>
      <c r="V1393" s="83"/>
      <c r="W1393" s="83"/>
    </row>
    <row r="1394">
      <c r="A1394" s="91"/>
      <c r="B1394" s="91"/>
      <c r="C1394" s="91"/>
      <c r="D1394" s="91"/>
      <c r="E1394" s="91"/>
      <c r="F1394" s="92"/>
      <c r="G1394" s="83"/>
      <c r="H1394" s="83"/>
      <c r="I1394" s="83"/>
      <c r="J1394" s="83"/>
      <c r="K1394" s="83"/>
      <c r="L1394" s="83"/>
      <c r="M1394" s="83"/>
      <c r="N1394" s="83"/>
      <c r="O1394" s="83"/>
      <c r="P1394" s="83"/>
      <c r="Q1394" s="83"/>
      <c r="R1394" s="83"/>
      <c r="S1394" s="83"/>
      <c r="T1394" s="83"/>
      <c r="U1394" s="83"/>
      <c r="V1394" s="83"/>
      <c r="W1394" s="83"/>
    </row>
    <row r="1395">
      <c r="A1395" s="91"/>
      <c r="B1395" s="91"/>
      <c r="C1395" s="91"/>
      <c r="D1395" s="91"/>
      <c r="E1395" s="91"/>
      <c r="F1395" s="92"/>
      <c r="G1395" s="83"/>
      <c r="H1395" s="83"/>
      <c r="I1395" s="83"/>
      <c r="J1395" s="83"/>
      <c r="K1395" s="83"/>
      <c r="L1395" s="83"/>
      <c r="M1395" s="83"/>
      <c r="N1395" s="83"/>
      <c r="O1395" s="83"/>
      <c r="P1395" s="83"/>
      <c r="Q1395" s="83"/>
      <c r="R1395" s="83"/>
      <c r="S1395" s="83"/>
      <c r="T1395" s="83"/>
      <c r="U1395" s="83"/>
      <c r="V1395" s="83"/>
      <c r="W1395" s="83"/>
    </row>
    <row r="1396">
      <c r="A1396" s="91"/>
      <c r="B1396" s="91"/>
      <c r="C1396" s="91"/>
      <c r="D1396" s="91"/>
      <c r="E1396" s="91"/>
      <c r="F1396" s="92"/>
      <c r="G1396" s="83"/>
      <c r="H1396" s="83"/>
      <c r="I1396" s="83"/>
      <c r="J1396" s="83"/>
      <c r="K1396" s="83"/>
      <c r="L1396" s="83"/>
      <c r="M1396" s="83"/>
      <c r="N1396" s="83"/>
      <c r="O1396" s="83"/>
      <c r="P1396" s="83"/>
      <c r="Q1396" s="83"/>
      <c r="R1396" s="83"/>
      <c r="S1396" s="83"/>
      <c r="T1396" s="83"/>
      <c r="U1396" s="83"/>
      <c r="V1396" s="83"/>
      <c r="W1396" s="83"/>
    </row>
    <row r="1397">
      <c r="A1397" s="91"/>
      <c r="B1397" s="91"/>
      <c r="C1397" s="91"/>
      <c r="D1397" s="91"/>
      <c r="E1397" s="91"/>
      <c r="F1397" s="92"/>
      <c r="G1397" s="83"/>
      <c r="H1397" s="83"/>
      <c r="I1397" s="83"/>
      <c r="J1397" s="83"/>
      <c r="K1397" s="83"/>
      <c r="L1397" s="83"/>
      <c r="M1397" s="83"/>
      <c r="N1397" s="83"/>
      <c r="O1397" s="83"/>
      <c r="P1397" s="83"/>
      <c r="Q1397" s="83"/>
      <c r="R1397" s="83"/>
      <c r="S1397" s="83"/>
      <c r="T1397" s="83"/>
      <c r="U1397" s="83"/>
      <c r="V1397" s="83"/>
      <c r="W1397" s="83"/>
    </row>
    <row r="1398">
      <c r="A1398" s="91"/>
      <c r="B1398" s="91"/>
      <c r="C1398" s="91"/>
      <c r="D1398" s="91"/>
      <c r="E1398" s="91"/>
      <c r="F1398" s="92"/>
      <c r="G1398" s="83"/>
      <c r="H1398" s="83"/>
      <c r="I1398" s="83"/>
      <c r="J1398" s="83"/>
      <c r="K1398" s="83"/>
      <c r="L1398" s="83"/>
      <c r="M1398" s="83"/>
      <c r="N1398" s="83"/>
      <c r="O1398" s="83"/>
      <c r="P1398" s="83"/>
      <c r="Q1398" s="83"/>
      <c r="R1398" s="83"/>
      <c r="S1398" s="83"/>
      <c r="T1398" s="83"/>
      <c r="U1398" s="83"/>
      <c r="V1398" s="83"/>
      <c r="W1398" s="83"/>
    </row>
    <row r="1399">
      <c r="A1399" s="91"/>
      <c r="B1399" s="91"/>
      <c r="C1399" s="91"/>
      <c r="D1399" s="91"/>
      <c r="E1399" s="91"/>
      <c r="F1399" s="92"/>
      <c r="G1399" s="83"/>
      <c r="H1399" s="83"/>
      <c r="I1399" s="83"/>
      <c r="J1399" s="83"/>
      <c r="K1399" s="83"/>
      <c r="L1399" s="83"/>
      <c r="M1399" s="83"/>
      <c r="N1399" s="83"/>
      <c r="O1399" s="83"/>
      <c r="P1399" s="83"/>
      <c r="Q1399" s="83"/>
      <c r="R1399" s="83"/>
      <c r="S1399" s="83"/>
      <c r="T1399" s="83"/>
      <c r="U1399" s="83"/>
      <c r="V1399" s="83"/>
      <c r="W1399" s="83"/>
    </row>
    <row r="1400">
      <c r="A1400" s="91"/>
      <c r="B1400" s="91"/>
      <c r="C1400" s="91"/>
      <c r="D1400" s="91"/>
      <c r="E1400" s="91"/>
      <c r="F1400" s="92"/>
      <c r="G1400" s="83"/>
      <c r="H1400" s="83"/>
      <c r="I1400" s="83"/>
      <c r="J1400" s="83"/>
      <c r="K1400" s="83"/>
      <c r="L1400" s="83"/>
      <c r="M1400" s="83"/>
      <c r="N1400" s="83"/>
      <c r="O1400" s="83"/>
      <c r="P1400" s="83"/>
      <c r="Q1400" s="83"/>
      <c r="R1400" s="83"/>
      <c r="S1400" s="83"/>
      <c r="T1400" s="83"/>
      <c r="U1400" s="83"/>
      <c r="V1400" s="83"/>
      <c r="W1400" s="83"/>
    </row>
    <row r="1401">
      <c r="A1401" s="91"/>
      <c r="B1401" s="91"/>
      <c r="C1401" s="91"/>
      <c r="D1401" s="91"/>
      <c r="E1401" s="91"/>
      <c r="F1401" s="92"/>
      <c r="G1401" s="83"/>
      <c r="H1401" s="83"/>
      <c r="I1401" s="83"/>
      <c r="J1401" s="83"/>
      <c r="K1401" s="83"/>
      <c r="L1401" s="83"/>
      <c r="M1401" s="83"/>
      <c r="N1401" s="83"/>
      <c r="O1401" s="83"/>
      <c r="P1401" s="83"/>
      <c r="Q1401" s="83"/>
      <c r="R1401" s="83"/>
      <c r="S1401" s="83"/>
      <c r="T1401" s="83"/>
      <c r="U1401" s="83"/>
      <c r="V1401" s="83"/>
      <c r="W1401" s="83"/>
    </row>
    <row r="1402">
      <c r="A1402" s="91"/>
      <c r="B1402" s="91"/>
      <c r="C1402" s="91"/>
      <c r="D1402" s="91"/>
      <c r="E1402" s="91"/>
      <c r="F1402" s="92"/>
      <c r="G1402" s="83"/>
      <c r="H1402" s="83"/>
      <c r="I1402" s="83"/>
      <c r="J1402" s="83"/>
      <c r="K1402" s="83"/>
      <c r="L1402" s="83"/>
      <c r="M1402" s="83"/>
      <c r="N1402" s="83"/>
      <c r="O1402" s="83"/>
      <c r="P1402" s="83"/>
      <c r="Q1402" s="83"/>
      <c r="R1402" s="83"/>
      <c r="S1402" s="83"/>
      <c r="T1402" s="83"/>
      <c r="U1402" s="83"/>
      <c r="V1402" s="83"/>
      <c r="W1402" s="83"/>
    </row>
    <row r="1403">
      <c r="A1403" s="91"/>
      <c r="B1403" s="91"/>
      <c r="C1403" s="91"/>
      <c r="D1403" s="91"/>
      <c r="E1403" s="91"/>
      <c r="F1403" s="92"/>
      <c r="G1403" s="83"/>
      <c r="H1403" s="83"/>
      <c r="I1403" s="83"/>
      <c r="J1403" s="83"/>
      <c r="K1403" s="83"/>
      <c r="L1403" s="83"/>
      <c r="M1403" s="83"/>
      <c r="N1403" s="83"/>
      <c r="O1403" s="83"/>
      <c r="P1403" s="83"/>
      <c r="Q1403" s="83"/>
      <c r="R1403" s="83"/>
      <c r="S1403" s="83"/>
      <c r="T1403" s="83"/>
      <c r="U1403" s="83"/>
      <c r="V1403" s="83"/>
      <c r="W1403" s="83"/>
    </row>
    <row r="1404">
      <c r="A1404" s="91"/>
      <c r="B1404" s="91"/>
      <c r="C1404" s="91"/>
      <c r="D1404" s="91"/>
      <c r="E1404" s="91"/>
      <c r="F1404" s="92"/>
      <c r="G1404" s="83"/>
      <c r="H1404" s="83"/>
      <c r="I1404" s="83"/>
      <c r="J1404" s="83"/>
      <c r="K1404" s="83"/>
      <c r="L1404" s="83"/>
      <c r="M1404" s="83"/>
      <c r="N1404" s="83"/>
      <c r="O1404" s="83"/>
      <c r="P1404" s="83"/>
      <c r="Q1404" s="83"/>
      <c r="R1404" s="83"/>
      <c r="S1404" s="83"/>
      <c r="T1404" s="83"/>
      <c r="U1404" s="83"/>
      <c r="V1404" s="83"/>
      <c r="W1404" s="83"/>
    </row>
    <row r="1405">
      <c r="A1405" s="91"/>
      <c r="B1405" s="91"/>
      <c r="C1405" s="91"/>
      <c r="D1405" s="91"/>
      <c r="E1405" s="91"/>
      <c r="F1405" s="92"/>
      <c r="G1405" s="83"/>
      <c r="H1405" s="83"/>
      <c r="I1405" s="83"/>
      <c r="J1405" s="83"/>
      <c r="K1405" s="83"/>
      <c r="L1405" s="83"/>
      <c r="M1405" s="83"/>
      <c r="N1405" s="83"/>
      <c r="O1405" s="83"/>
      <c r="P1405" s="83"/>
      <c r="Q1405" s="83"/>
      <c r="R1405" s="83"/>
      <c r="S1405" s="83"/>
      <c r="T1405" s="83"/>
      <c r="U1405" s="83"/>
      <c r="V1405" s="83"/>
      <c r="W1405" s="83"/>
    </row>
    <row r="1406">
      <c r="A1406" s="91"/>
      <c r="B1406" s="91"/>
      <c r="C1406" s="91"/>
      <c r="D1406" s="91"/>
      <c r="E1406" s="91"/>
      <c r="F1406" s="92"/>
      <c r="G1406" s="83"/>
      <c r="H1406" s="83"/>
      <c r="I1406" s="83"/>
      <c r="J1406" s="83"/>
      <c r="K1406" s="83"/>
      <c r="L1406" s="83"/>
      <c r="M1406" s="83"/>
      <c r="N1406" s="83"/>
      <c r="O1406" s="83"/>
      <c r="P1406" s="83"/>
      <c r="Q1406" s="83"/>
      <c r="R1406" s="83"/>
      <c r="S1406" s="83"/>
      <c r="T1406" s="83"/>
      <c r="U1406" s="83"/>
      <c r="V1406" s="83"/>
      <c r="W1406" s="83"/>
    </row>
    <row r="1407">
      <c r="A1407" s="91"/>
      <c r="B1407" s="91"/>
      <c r="C1407" s="91"/>
      <c r="D1407" s="91"/>
      <c r="E1407" s="91"/>
      <c r="F1407" s="92"/>
      <c r="G1407" s="83"/>
      <c r="H1407" s="83"/>
      <c r="I1407" s="83"/>
      <c r="J1407" s="83"/>
      <c r="K1407" s="83"/>
      <c r="L1407" s="83"/>
      <c r="M1407" s="83"/>
      <c r="N1407" s="83"/>
      <c r="O1407" s="83"/>
      <c r="P1407" s="83"/>
      <c r="Q1407" s="83"/>
      <c r="R1407" s="83"/>
      <c r="S1407" s="83"/>
      <c r="T1407" s="83"/>
      <c r="U1407" s="83"/>
      <c r="V1407" s="83"/>
      <c r="W1407" s="83"/>
    </row>
    <row r="1408">
      <c r="A1408" s="91"/>
      <c r="B1408" s="91"/>
      <c r="C1408" s="91"/>
      <c r="D1408" s="91"/>
      <c r="E1408" s="91"/>
      <c r="F1408" s="92"/>
      <c r="G1408" s="83"/>
      <c r="H1408" s="83"/>
      <c r="I1408" s="83"/>
      <c r="J1408" s="83"/>
      <c r="K1408" s="83"/>
      <c r="L1408" s="83"/>
      <c r="M1408" s="83"/>
      <c r="N1408" s="83"/>
      <c r="O1408" s="83"/>
      <c r="P1408" s="83"/>
      <c r="Q1408" s="83"/>
      <c r="R1408" s="83"/>
      <c r="S1408" s="83"/>
      <c r="T1408" s="83"/>
      <c r="U1408" s="83"/>
      <c r="V1408" s="83"/>
      <c r="W1408" s="83"/>
    </row>
    <row r="1409">
      <c r="A1409" s="91"/>
      <c r="B1409" s="91"/>
      <c r="C1409" s="91"/>
      <c r="D1409" s="91"/>
      <c r="E1409" s="91"/>
      <c r="F1409" s="92"/>
      <c r="G1409" s="83"/>
      <c r="H1409" s="83"/>
      <c r="I1409" s="83"/>
      <c r="J1409" s="83"/>
      <c r="K1409" s="83"/>
      <c r="L1409" s="83"/>
      <c r="M1409" s="83"/>
      <c r="N1409" s="83"/>
      <c r="O1409" s="83"/>
      <c r="P1409" s="83"/>
      <c r="Q1409" s="83"/>
      <c r="R1409" s="83"/>
      <c r="S1409" s="83"/>
      <c r="T1409" s="83"/>
      <c r="U1409" s="83"/>
      <c r="V1409" s="83"/>
      <c r="W1409" s="83"/>
    </row>
    <row r="1410">
      <c r="A1410" s="91"/>
      <c r="B1410" s="91"/>
      <c r="C1410" s="91"/>
      <c r="D1410" s="91"/>
      <c r="E1410" s="91"/>
      <c r="F1410" s="92"/>
      <c r="G1410" s="83"/>
      <c r="H1410" s="83"/>
      <c r="I1410" s="83"/>
      <c r="J1410" s="83"/>
      <c r="K1410" s="83"/>
      <c r="L1410" s="83"/>
      <c r="M1410" s="83"/>
      <c r="N1410" s="83"/>
      <c r="O1410" s="83"/>
      <c r="P1410" s="83"/>
      <c r="Q1410" s="83"/>
      <c r="R1410" s="83"/>
      <c r="S1410" s="83"/>
      <c r="T1410" s="83"/>
      <c r="U1410" s="83"/>
      <c r="V1410" s="83"/>
      <c r="W1410" s="83"/>
    </row>
    <row r="1411">
      <c r="A1411" s="91"/>
      <c r="B1411" s="91"/>
      <c r="C1411" s="91"/>
      <c r="D1411" s="91"/>
      <c r="E1411" s="91"/>
      <c r="F1411" s="92"/>
      <c r="G1411" s="83"/>
      <c r="H1411" s="83"/>
      <c r="I1411" s="83"/>
      <c r="J1411" s="83"/>
      <c r="K1411" s="83"/>
      <c r="L1411" s="83"/>
      <c r="M1411" s="83"/>
      <c r="N1411" s="83"/>
      <c r="O1411" s="83"/>
      <c r="P1411" s="83"/>
      <c r="Q1411" s="83"/>
      <c r="R1411" s="83"/>
      <c r="S1411" s="83"/>
      <c r="T1411" s="83"/>
      <c r="U1411" s="83"/>
      <c r="V1411" s="83"/>
      <c r="W1411" s="83"/>
    </row>
    <row r="1412">
      <c r="A1412" s="91"/>
      <c r="B1412" s="91"/>
      <c r="C1412" s="91"/>
      <c r="D1412" s="91"/>
      <c r="E1412" s="91"/>
      <c r="F1412" s="92"/>
      <c r="G1412" s="83"/>
      <c r="H1412" s="83"/>
      <c r="I1412" s="83"/>
      <c r="J1412" s="83"/>
      <c r="K1412" s="83"/>
      <c r="L1412" s="83"/>
      <c r="M1412" s="83"/>
      <c r="N1412" s="83"/>
      <c r="O1412" s="83"/>
      <c r="P1412" s="83"/>
      <c r="Q1412" s="83"/>
      <c r="R1412" s="83"/>
      <c r="S1412" s="83"/>
      <c r="T1412" s="83"/>
      <c r="U1412" s="83"/>
      <c r="V1412" s="83"/>
      <c r="W1412" s="83"/>
    </row>
    <row r="1413">
      <c r="A1413" s="91"/>
      <c r="B1413" s="91"/>
      <c r="C1413" s="91"/>
      <c r="D1413" s="91"/>
      <c r="E1413" s="91"/>
      <c r="F1413" s="92"/>
      <c r="G1413" s="83"/>
      <c r="H1413" s="83"/>
      <c r="I1413" s="83"/>
      <c r="J1413" s="83"/>
      <c r="K1413" s="83"/>
      <c r="L1413" s="83"/>
      <c r="M1413" s="83"/>
      <c r="N1413" s="83"/>
      <c r="O1413" s="83"/>
      <c r="P1413" s="83"/>
      <c r="Q1413" s="83"/>
      <c r="R1413" s="83"/>
      <c r="S1413" s="83"/>
      <c r="T1413" s="83"/>
      <c r="U1413" s="83"/>
      <c r="V1413" s="83"/>
      <c r="W1413" s="83"/>
    </row>
    <row r="1414">
      <c r="A1414" s="91"/>
      <c r="B1414" s="91"/>
      <c r="C1414" s="91"/>
      <c r="D1414" s="91"/>
      <c r="E1414" s="91"/>
      <c r="F1414" s="92"/>
      <c r="G1414" s="83"/>
      <c r="H1414" s="83"/>
      <c r="I1414" s="83"/>
      <c r="J1414" s="83"/>
      <c r="K1414" s="83"/>
      <c r="L1414" s="83"/>
      <c r="M1414" s="83"/>
      <c r="N1414" s="83"/>
      <c r="O1414" s="83"/>
      <c r="P1414" s="83"/>
      <c r="Q1414" s="83"/>
      <c r="R1414" s="83"/>
      <c r="S1414" s="83"/>
      <c r="T1414" s="83"/>
      <c r="U1414" s="83"/>
      <c r="V1414" s="83"/>
      <c r="W1414" s="83"/>
    </row>
    <row r="1415">
      <c r="A1415" s="91"/>
      <c r="B1415" s="91"/>
      <c r="C1415" s="91"/>
      <c r="D1415" s="91"/>
      <c r="E1415" s="91"/>
      <c r="F1415" s="92"/>
      <c r="G1415" s="83"/>
      <c r="H1415" s="83"/>
      <c r="I1415" s="83"/>
      <c r="J1415" s="83"/>
      <c r="K1415" s="83"/>
      <c r="L1415" s="83"/>
      <c r="M1415" s="83"/>
      <c r="N1415" s="83"/>
      <c r="O1415" s="83"/>
      <c r="P1415" s="83"/>
      <c r="Q1415" s="83"/>
      <c r="R1415" s="83"/>
      <c r="S1415" s="83"/>
      <c r="T1415" s="83"/>
      <c r="U1415" s="83"/>
      <c r="V1415" s="83"/>
      <c r="W1415" s="83"/>
    </row>
    <row r="1416">
      <c r="A1416" s="91"/>
      <c r="B1416" s="91"/>
      <c r="C1416" s="91"/>
      <c r="D1416" s="91"/>
      <c r="E1416" s="91"/>
      <c r="F1416" s="92"/>
      <c r="G1416" s="83"/>
      <c r="H1416" s="83"/>
      <c r="I1416" s="83"/>
      <c r="J1416" s="83"/>
      <c r="K1416" s="83"/>
      <c r="L1416" s="83"/>
      <c r="M1416" s="83"/>
      <c r="N1416" s="83"/>
      <c r="O1416" s="83"/>
      <c r="P1416" s="83"/>
      <c r="Q1416" s="83"/>
      <c r="R1416" s="83"/>
      <c r="S1416" s="83"/>
      <c r="T1416" s="83"/>
      <c r="U1416" s="83"/>
      <c r="V1416" s="83"/>
      <c r="W1416" s="83"/>
    </row>
    <row r="1417">
      <c r="A1417" s="91"/>
      <c r="B1417" s="91"/>
      <c r="C1417" s="91"/>
      <c r="D1417" s="91"/>
      <c r="E1417" s="91"/>
      <c r="F1417" s="92"/>
      <c r="G1417" s="83"/>
      <c r="H1417" s="83"/>
      <c r="I1417" s="83"/>
      <c r="J1417" s="83"/>
      <c r="K1417" s="83"/>
      <c r="L1417" s="83"/>
      <c r="M1417" s="83"/>
      <c r="N1417" s="83"/>
      <c r="O1417" s="83"/>
      <c r="P1417" s="83"/>
      <c r="Q1417" s="83"/>
      <c r="R1417" s="83"/>
      <c r="S1417" s="83"/>
      <c r="T1417" s="83"/>
      <c r="U1417" s="83"/>
      <c r="V1417" s="83"/>
      <c r="W1417" s="83"/>
    </row>
    <row r="1418">
      <c r="A1418" s="91"/>
      <c r="B1418" s="91"/>
      <c r="C1418" s="91"/>
      <c r="D1418" s="91"/>
      <c r="E1418" s="91"/>
      <c r="F1418" s="92"/>
      <c r="G1418" s="83"/>
      <c r="H1418" s="83"/>
      <c r="I1418" s="83"/>
      <c r="J1418" s="83"/>
      <c r="K1418" s="83"/>
      <c r="L1418" s="83"/>
      <c r="M1418" s="83"/>
      <c r="N1418" s="83"/>
      <c r="O1418" s="83"/>
      <c r="P1418" s="83"/>
      <c r="Q1418" s="83"/>
      <c r="R1418" s="83"/>
      <c r="S1418" s="83"/>
      <c r="T1418" s="83"/>
      <c r="U1418" s="83"/>
      <c r="V1418" s="83"/>
      <c r="W1418" s="83"/>
    </row>
    <row r="1419">
      <c r="A1419" s="91"/>
      <c r="B1419" s="91"/>
      <c r="C1419" s="91"/>
      <c r="D1419" s="91"/>
      <c r="E1419" s="91"/>
      <c r="F1419" s="92"/>
      <c r="G1419" s="83"/>
      <c r="H1419" s="83"/>
      <c r="I1419" s="83"/>
      <c r="J1419" s="83"/>
      <c r="K1419" s="83"/>
      <c r="L1419" s="83"/>
      <c r="M1419" s="83"/>
      <c r="N1419" s="83"/>
      <c r="O1419" s="83"/>
      <c r="P1419" s="83"/>
      <c r="Q1419" s="83"/>
      <c r="R1419" s="83"/>
      <c r="S1419" s="83"/>
      <c r="T1419" s="83"/>
      <c r="U1419" s="83"/>
      <c r="V1419" s="83"/>
      <c r="W1419" s="83"/>
    </row>
    <row r="1420">
      <c r="A1420" s="91"/>
      <c r="B1420" s="91"/>
      <c r="C1420" s="91"/>
      <c r="D1420" s="91"/>
      <c r="E1420" s="91"/>
      <c r="F1420" s="92"/>
      <c r="G1420" s="83"/>
      <c r="H1420" s="83"/>
      <c r="I1420" s="83"/>
      <c r="J1420" s="83"/>
      <c r="K1420" s="83"/>
      <c r="L1420" s="83"/>
      <c r="M1420" s="83"/>
      <c r="N1420" s="83"/>
      <c r="O1420" s="83"/>
      <c r="P1420" s="83"/>
      <c r="Q1420" s="83"/>
      <c r="R1420" s="83"/>
      <c r="S1420" s="83"/>
      <c r="T1420" s="83"/>
      <c r="U1420" s="83"/>
      <c r="V1420" s="83"/>
      <c r="W1420" s="83"/>
    </row>
    <row r="1421">
      <c r="A1421" s="91"/>
      <c r="B1421" s="91"/>
      <c r="C1421" s="91"/>
      <c r="D1421" s="91"/>
      <c r="E1421" s="91"/>
      <c r="F1421" s="92"/>
      <c r="G1421" s="83"/>
      <c r="H1421" s="83"/>
      <c r="I1421" s="83"/>
      <c r="J1421" s="83"/>
      <c r="K1421" s="83"/>
      <c r="L1421" s="83"/>
      <c r="M1421" s="83"/>
      <c r="N1421" s="83"/>
      <c r="O1421" s="83"/>
      <c r="P1421" s="83"/>
      <c r="Q1421" s="83"/>
      <c r="R1421" s="83"/>
      <c r="S1421" s="83"/>
      <c r="T1421" s="83"/>
      <c r="U1421" s="83"/>
      <c r="V1421" s="83"/>
      <c r="W1421" s="83"/>
    </row>
    <row r="1422">
      <c r="A1422" s="91"/>
      <c r="B1422" s="91"/>
      <c r="C1422" s="91"/>
      <c r="D1422" s="91"/>
      <c r="E1422" s="91"/>
      <c r="F1422" s="92"/>
      <c r="G1422" s="83"/>
      <c r="H1422" s="83"/>
      <c r="I1422" s="83"/>
      <c r="J1422" s="83"/>
      <c r="K1422" s="83"/>
      <c r="L1422" s="83"/>
      <c r="M1422" s="83"/>
      <c r="N1422" s="83"/>
      <c r="O1422" s="83"/>
      <c r="P1422" s="83"/>
      <c r="Q1422" s="83"/>
      <c r="R1422" s="83"/>
      <c r="S1422" s="83"/>
      <c r="T1422" s="83"/>
      <c r="U1422" s="83"/>
      <c r="V1422" s="83"/>
      <c r="W1422" s="83"/>
    </row>
    <row r="1423">
      <c r="A1423" s="91"/>
      <c r="B1423" s="91"/>
      <c r="C1423" s="91"/>
      <c r="D1423" s="91"/>
      <c r="E1423" s="91"/>
      <c r="F1423" s="92"/>
      <c r="G1423" s="83"/>
      <c r="H1423" s="83"/>
      <c r="I1423" s="83"/>
      <c r="J1423" s="83"/>
      <c r="K1423" s="83"/>
      <c r="L1423" s="83"/>
      <c r="M1423" s="83"/>
      <c r="N1423" s="83"/>
      <c r="O1423" s="83"/>
      <c r="P1423" s="83"/>
      <c r="Q1423" s="83"/>
      <c r="R1423" s="83"/>
      <c r="S1423" s="83"/>
      <c r="T1423" s="83"/>
      <c r="U1423" s="83"/>
      <c r="V1423" s="83"/>
      <c r="W1423" s="83"/>
    </row>
    <row r="1424">
      <c r="A1424" s="91"/>
      <c r="B1424" s="91"/>
      <c r="C1424" s="91"/>
      <c r="D1424" s="91"/>
      <c r="E1424" s="91"/>
      <c r="F1424" s="92"/>
      <c r="G1424" s="83"/>
      <c r="H1424" s="83"/>
      <c r="I1424" s="83"/>
      <c r="J1424" s="83"/>
      <c r="K1424" s="83"/>
      <c r="L1424" s="83"/>
      <c r="M1424" s="83"/>
      <c r="N1424" s="83"/>
      <c r="O1424" s="83"/>
      <c r="P1424" s="83"/>
      <c r="Q1424" s="83"/>
      <c r="R1424" s="83"/>
      <c r="S1424" s="83"/>
      <c r="T1424" s="83"/>
      <c r="U1424" s="83"/>
      <c r="V1424" s="83"/>
      <c r="W1424" s="83"/>
    </row>
    <row r="1425">
      <c r="A1425" s="91"/>
      <c r="B1425" s="91"/>
      <c r="C1425" s="91"/>
      <c r="D1425" s="91"/>
      <c r="E1425" s="91"/>
      <c r="F1425" s="92"/>
      <c r="G1425" s="83"/>
      <c r="H1425" s="83"/>
      <c r="I1425" s="83"/>
      <c r="J1425" s="83"/>
      <c r="K1425" s="83"/>
      <c r="L1425" s="83"/>
      <c r="M1425" s="83"/>
      <c r="N1425" s="83"/>
      <c r="O1425" s="83"/>
      <c r="P1425" s="83"/>
      <c r="Q1425" s="83"/>
      <c r="R1425" s="83"/>
      <c r="S1425" s="83"/>
      <c r="T1425" s="83"/>
      <c r="U1425" s="83"/>
      <c r="V1425" s="83"/>
      <c r="W1425" s="83"/>
    </row>
    <row r="1426">
      <c r="A1426" s="91"/>
      <c r="B1426" s="91"/>
      <c r="C1426" s="91"/>
      <c r="D1426" s="91"/>
      <c r="E1426" s="91"/>
      <c r="F1426" s="92"/>
      <c r="G1426" s="83"/>
      <c r="H1426" s="83"/>
      <c r="I1426" s="83"/>
      <c r="J1426" s="83"/>
      <c r="K1426" s="83"/>
      <c r="L1426" s="83"/>
      <c r="M1426" s="83"/>
      <c r="N1426" s="83"/>
      <c r="O1426" s="83"/>
      <c r="P1426" s="83"/>
      <c r="Q1426" s="83"/>
      <c r="R1426" s="83"/>
      <c r="S1426" s="83"/>
      <c r="T1426" s="83"/>
      <c r="U1426" s="83"/>
      <c r="V1426" s="83"/>
      <c r="W1426" s="83"/>
    </row>
    <row r="1427">
      <c r="A1427" s="91"/>
      <c r="B1427" s="91"/>
      <c r="C1427" s="91"/>
      <c r="D1427" s="91"/>
      <c r="E1427" s="91"/>
      <c r="F1427" s="92"/>
      <c r="G1427" s="83"/>
      <c r="H1427" s="83"/>
      <c r="I1427" s="83"/>
      <c r="J1427" s="83"/>
      <c r="K1427" s="83"/>
      <c r="L1427" s="83"/>
      <c r="M1427" s="83"/>
      <c r="N1427" s="83"/>
      <c r="O1427" s="83"/>
      <c r="P1427" s="83"/>
      <c r="Q1427" s="83"/>
      <c r="R1427" s="83"/>
      <c r="S1427" s="83"/>
      <c r="T1427" s="83"/>
      <c r="U1427" s="83"/>
      <c r="V1427" s="83"/>
      <c r="W1427" s="83"/>
    </row>
    <row r="1428">
      <c r="A1428" s="91"/>
      <c r="B1428" s="91"/>
      <c r="C1428" s="91"/>
      <c r="D1428" s="91"/>
      <c r="E1428" s="91"/>
      <c r="F1428" s="92"/>
      <c r="G1428" s="83"/>
      <c r="H1428" s="83"/>
      <c r="I1428" s="83"/>
      <c r="J1428" s="83"/>
      <c r="K1428" s="83"/>
      <c r="L1428" s="83"/>
      <c r="M1428" s="83"/>
      <c r="N1428" s="83"/>
      <c r="O1428" s="83"/>
      <c r="P1428" s="83"/>
      <c r="Q1428" s="83"/>
      <c r="R1428" s="83"/>
      <c r="S1428" s="83"/>
      <c r="T1428" s="83"/>
      <c r="U1428" s="83"/>
      <c r="V1428" s="83"/>
      <c r="W1428" s="83"/>
    </row>
    <row r="1429">
      <c r="A1429" s="91"/>
      <c r="B1429" s="91"/>
      <c r="C1429" s="91"/>
      <c r="D1429" s="91"/>
      <c r="E1429" s="91"/>
      <c r="F1429" s="92"/>
      <c r="G1429" s="83"/>
      <c r="H1429" s="83"/>
      <c r="I1429" s="83"/>
      <c r="J1429" s="83"/>
      <c r="K1429" s="83"/>
      <c r="L1429" s="83"/>
      <c r="M1429" s="83"/>
      <c r="N1429" s="83"/>
      <c r="O1429" s="83"/>
      <c r="P1429" s="83"/>
      <c r="Q1429" s="83"/>
      <c r="R1429" s="83"/>
      <c r="S1429" s="83"/>
      <c r="T1429" s="83"/>
      <c r="U1429" s="83"/>
      <c r="V1429" s="83"/>
      <c r="W1429" s="83"/>
    </row>
    <row r="1430">
      <c r="A1430" s="91"/>
      <c r="B1430" s="91"/>
      <c r="C1430" s="91"/>
      <c r="D1430" s="91"/>
      <c r="E1430" s="91"/>
      <c r="F1430" s="92"/>
      <c r="G1430" s="83"/>
      <c r="H1430" s="83"/>
      <c r="I1430" s="83"/>
      <c r="J1430" s="83"/>
      <c r="K1430" s="83"/>
      <c r="L1430" s="83"/>
      <c r="M1430" s="83"/>
      <c r="N1430" s="83"/>
      <c r="O1430" s="83"/>
      <c r="P1430" s="83"/>
      <c r="Q1430" s="83"/>
      <c r="R1430" s="83"/>
      <c r="S1430" s="83"/>
      <c r="T1430" s="83"/>
      <c r="U1430" s="83"/>
      <c r="V1430" s="83"/>
      <c r="W1430" s="83"/>
    </row>
    <row r="1431">
      <c r="A1431" s="91"/>
      <c r="B1431" s="91"/>
      <c r="C1431" s="91"/>
      <c r="D1431" s="91"/>
      <c r="E1431" s="91"/>
      <c r="F1431" s="92"/>
      <c r="G1431" s="83"/>
      <c r="H1431" s="83"/>
      <c r="I1431" s="83"/>
      <c r="J1431" s="83"/>
      <c r="K1431" s="83"/>
      <c r="L1431" s="83"/>
      <c r="M1431" s="83"/>
      <c r="N1431" s="83"/>
      <c r="O1431" s="83"/>
      <c r="P1431" s="83"/>
      <c r="Q1431" s="83"/>
      <c r="R1431" s="83"/>
      <c r="S1431" s="83"/>
      <c r="T1431" s="83"/>
      <c r="U1431" s="83"/>
      <c r="V1431" s="83"/>
      <c r="W1431" s="83"/>
    </row>
    <row r="1432">
      <c r="A1432" s="91"/>
      <c r="B1432" s="91"/>
      <c r="C1432" s="91"/>
      <c r="D1432" s="91"/>
      <c r="E1432" s="91"/>
      <c r="F1432" s="92"/>
      <c r="G1432" s="83"/>
      <c r="H1432" s="83"/>
      <c r="I1432" s="83"/>
      <c r="J1432" s="83"/>
      <c r="K1432" s="83"/>
      <c r="L1432" s="83"/>
      <c r="M1432" s="83"/>
      <c r="N1432" s="83"/>
      <c r="O1432" s="83"/>
      <c r="P1432" s="83"/>
      <c r="Q1432" s="83"/>
      <c r="R1432" s="83"/>
      <c r="S1432" s="83"/>
      <c r="T1432" s="83"/>
      <c r="U1432" s="83"/>
      <c r="V1432" s="83"/>
      <c r="W1432" s="83"/>
    </row>
    <row r="1433">
      <c r="A1433" s="91"/>
      <c r="B1433" s="91"/>
      <c r="C1433" s="91"/>
      <c r="D1433" s="91"/>
      <c r="E1433" s="91"/>
      <c r="F1433" s="92"/>
      <c r="G1433" s="83"/>
      <c r="H1433" s="83"/>
      <c r="I1433" s="83"/>
      <c r="J1433" s="83"/>
      <c r="K1433" s="83"/>
      <c r="L1433" s="83"/>
      <c r="M1433" s="83"/>
      <c r="N1433" s="83"/>
      <c r="O1433" s="83"/>
      <c r="P1433" s="83"/>
      <c r="Q1433" s="83"/>
      <c r="R1433" s="83"/>
      <c r="S1433" s="83"/>
      <c r="T1433" s="83"/>
      <c r="U1433" s="83"/>
      <c r="V1433" s="83"/>
      <c r="W1433" s="83"/>
    </row>
    <row r="1434">
      <c r="A1434" s="91"/>
      <c r="B1434" s="91"/>
      <c r="C1434" s="91"/>
      <c r="D1434" s="91"/>
      <c r="E1434" s="91"/>
      <c r="F1434" s="92"/>
      <c r="G1434" s="83"/>
      <c r="H1434" s="83"/>
      <c r="I1434" s="83"/>
      <c r="J1434" s="83"/>
      <c r="K1434" s="83"/>
      <c r="L1434" s="83"/>
      <c r="M1434" s="83"/>
      <c r="N1434" s="83"/>
      <c r="O1434" s="83"/>
      <c r="P1434" s="83"/>
      <c r="Q1434" s="83"/>
      <c r="R1434" s="83"/>
      <c r="S1434" s="83"/>
      <c r="T1434" s="83"/>
      <c r="U1434" s="83"/>
      <c r="V1434" s="83"/>
      <c r="W1434" s="83"/>
    </row>
    <row r="1435">
      <c r="A1435" s="91"/>
      <c r="B1435" s="91"/>
      <c r="C1435" s="91"/>
      <c r="D1435" s="91"/>
      <c r="E1435" s="91"/>
      <c r="F1435" s="92"/>
      <c r="G1435" s="83"/>
      <c r="H1435" s="83"/>
      <c r="I1435" s="83"/>
      <c r="J1435" s="83"/>
      <c r="K1435" s="83"/>
      <c r="L1435" s="83"/>
      <c r="M1435" s="83"/>
      <c r="N1435" s="83"/>
      <c r="O1435" s="83"/>
      <c r="P1435" s="83"/>
      <c r="Q1435" s="83"/>
      <c r="R1435" s="83"/>
      <c r="S1435" s="83"/>
      <c r="T1435" s="83"/>
      <c r="U1435" s="83"/>
      <c r="V1435" s="83"/>
      <c r="W1435" s="83"/>
    </row>
    <row r="1436">
      <c r="A1436" s="91"/>
      <c r="B1436" s="91"/>
      <c r="C1436" s="91"/>
      <c r="D1436" s="91"/>
      <c r="E1436" s="91"/>
      <c r="F1436" s="92"/>
      <c r="G1436" s="83"/>
      <c r="H1436" s="83"/>
      <c r="I1436" s="83"/>
      <c r="J1436" s="83"/>
      <c r="K1436" s="83"/>
      <c r="L1436" s="83"/>
      <c r="M1436" s="83"/>
      <c r="N1436" s="83"/>
      <c r="O1436" s="83"/>
      <c r="P1436" s="83"/>
      <c r="Q1436" s="83"/>
      <c r="R1436" s="83"/>
      <c r="S1436" s="83"/>
      <c r="T1436" s="83"/>
      <c r="U1436" s="83"/>
      <c r="V1436" s="83"/>
      <c r="W1436" s="83"/>
    </row>
    <row r="1437">
      <c r="A1437" s="91"/>
      <c r="B1437" s="91"/>
      <c r="C1437" s="91"/>
      <c r="D1437" s="91"/>
      <c r="E1437" s="91"/>
      <c r="F1437" s="92"/>
      <c r="G1437" s="83"/>
      <c r="H1437" s="83"/>
      <c r="I1437" s="83"/>
      <c r="J1437" s="83"/>
      <c r="K1437" s="83"/>
      <c r="L1437" s="83"/>
      <c r="M1437" s="83"/>
      <c r="N1437" s="83"/>
      <c r="O1437" s="83"/>
      <c r="P1437" s="83"/>
      <c r="Q1437" s="83"/>
      <c r="R1437" s="83"/>
      <c r="S1437" s="83"/>
      <c r="T1437" s="83"/>
      <c r="U1437" s="83"/>
      <c r="V1437" s="83"/>
      <c r="W1437" s="83"/>
    </row>
    <row r="1438">
      <c r="A1438" s="91"/>
      <c r="B1438" s="91"/>
      <c r="C1438" s="91"/>
      <c r="D1438" s="91"/>
      <c r="E1438" s="91"/>
      <c r="F1438" s="92"/>
      <c r="G1438" s="83"/>
      <c r="H1438" s="83"/>
      <c r="I1438" s="83"/>
      <c r="J1438" s="83"/>
      <c r="K1438" s="83"/>
      <c r="L1438" s="83"/>
      <c r="M1438" s="83"/>
      <c r="N1438" s="83"/>
      <c r="O1438" s="83"/>
      <c r="P1438" s="83"/>
      <c r="Q1438" s="83"/>
      <c r="R1438" s="83"/>
      <c r="S1438" s="83"/>
      <c r="T1438" s="83"/>
      <c r="U1438" s="83"/>
      <c r="V1438" s="83"/>
      <c r="W1438" s="83"/>
    </row>
    <row r="1439">
      <c r="A1439" s="91"/>
      <c r="B1439" s="91"/>
      <c r="C1439" s="91"/>
      <c r="D1439" s="91"/>
      <c r="E1439" s="91"/>
      <c r="F1439" s="92"/>
      <c r="G1439" s="83"/>
      <c r="H1439" s="83"/>
      <c r="I1439" s="83"/>
      <c r="J1439" s="83"/>
      <c r="K1439" s="83"/>
      <c r="L1439" s="83"/>
      <c r="M1439" s="83"/>
      <c r="N1439" s="83"/>
      <c r="O1439" s="83"/>
      <c r="P1439" s="83"/>
      <c r="Q1439" s="83"/>
      <c r="R1439" s="83"/>
      <c r="S1439" s="83"/>
      <c r="T1439" s="83"/>
      <c r="U1439" s="83"/>
      <c r="V1439" s="83"/>
      <c r="W1439" s="83"/>
    </row>
    <row r="1440">
      <c r="A1440" s="91"/>
      <c r="B1440" s="91"/>
      <c r="C1440" s="91"/>
      <c r="D1440" s="91"/>
      <c r="E1440" s="91"/>
      <c r="F1440" s="92"/>
      <c r="G1440" s="83"/>
      <c r="H1440" s="83"/>
      <c r="I1440" s="83"/>
      <c r="J1440" s="83"/>
      <c r="K1440" s="83"/>
      <c r="L1440" s="83"/>
      <c r="M1440" s="83"/>
      <c r="N1440" s="83"/>
      <c r="O1440" s="83"/>
      <c r="P1440" s="83"/>
      <c r="Q1440" s="83"/>
      <c r="R1440" s="83"/>
      <c r="S1440" s="83"/>
      <c r="T1440" s="83"/>
      <c r="U1440" s="83"/>
      <c r="V1440" s="83"/>
      <c r="W1440" s="83"/>
    </row>
    <row r="1441">
      <c r="A1441" s="91"/>
      <c r="B1441" s="91"/>
      <c r="C1441" s="91"/>
      <c r="D1441" s="91"/>
      <c r="E1441" s="91"/>
      <c r="F1441" s="92"/>
      <c r="G1441" s="83"/>
      <c r="H1441" s="83"/>
      <c r="I1441" s="83"/>
      <c r="J1441" s="83"/>
      <c r="K1441" s="83"/>
      <c r="L1441" s="83"/>
      <c r="M1441" s="83"/>
      <c r="N1441" s="83"/>
      <c r="O1441" s="83"/>
      <c r="P1441" s="83"/>
      <c r="Q1441" s="83"/>
      <c r="R1441" s="83"/>
      <c r="S1441" s="83"/>
      <c r="T1441" s="83"/>
      <c r="U1441" s="83"/>
      <c r="V1441" s="83"/>
      <c r="W1441" s="83"/>
    </row>
    <row r="1442">
      <c r="A1442" s="91"/>
      <c r="B1442" s="91"/>
      <c r="C1442" s="91"/>
      <c r="D1442" s="91"/>
      <c r="E1442" s="91"/>
      <c r="F1442" s="92"/>
      <c r="G1442" s="83"/>
      <c r="H1442" s="83"/>
      <c r="I1442" s="83"/>
      <c r="J1442" s="83"/>
      <c r="K1442" s="83"/>
      <c r="L1442" s="83"/>
      <c r="M1442" s="83"/>
      <c r="N1442" s="83"/>
      <c r="O1442" s="83"/>
      <c r="P1442" s="83"/>
      <c r="Q1442" s="83"/>
      <c r="R1442" s="83"/>
      <c r="S1442" s="83"/>
      <c r="T1442" s="83"/>
      <c r="U1442" s="83"/>
      <c r="V1442" s="83"/>
      <c r="W1442" s="83"/>
    </row>
    <row r="1443">
      <c r="A1443" s="91"/>
      <c r="B1443" s="91"/>
      <c r="C1443" s="91"/>
      <c r="D1443" s="91"/>
      <c r="E1443" s="91"/>
      <c r="F1443" s="92"/>
      <c r="G1443" s="83"/>
      <c r="H1443" s="83"/>
      <c r="I1443" s="83"/>
      <c r="J1443" s="83"/>
      <c r="K1443" s="83"/>
      <c r="L1443" s="83"/>
      <c r="M1443" s="83"/>
      <c r="N1443" s="83"/>
      <c r="O1443" s="83"/>
      <c r="P1443" s="83"/>
      <c r="Q1443" s="83"/>
      <c r="R1443" s="83"/>
      <c r="S1443" s="83"/>
      <c r="T1443" s="83"/>
      <c r="U1443" s="83"/>
      <c r="V1443" s="83"/>
      <c r="W1443" s="83"/>
    </row>
    <row r="1444">
      <c r="A1444" s="91"/>
      <c r="B1444" s="91"/>
      <c r="C1444" s="91"/>
      <c r="D1444" s="91"/>
      <c r="E1444" s="91"/>
      <c r="F1444" s="92"/>
      <c r="G1444" s="83"/>
      <c r="H1444" s="83"/>
      <c r="I1444" s="83"/>
      <c r="J1444" s="83"/>
      <c r="K1444" s="83"/>
      <c r="L1444" s="83"/>
      <c r="M1444" s="83"/>
      <c r="N1444" s="83"/>
      <c r="O1444" s="83"/>
      <c r="P1444" s="83"/>
      <c r="Q1444" s="83"/>
      <c r="R1444" s="83"/>
      <c r="S1444" s="83"/>
      <c r="T1444" s="83"/>
      <c r="U1444" s="83"/>
      <c r="V1444" s="83"/>
      <c r="W1444" s="83"/>
    </row>
    <row r="1445">
      <c r="A1445" s="91"/>
      <c r="B1445" s="91"/>
      <c r="C1445" s="91"/>
      <c r="D1445" s="91"/>
      <c r="E1445" s="91"/>
      <c r="F1445" s="92"/>
      <c r="G1445" s="83"/>
      <c r="H1445" s="83"/>
      <c r="I1445" s="83"/>
      <c r="J1445" s="83"/>
      <c r="K1445" s="83"/>
      <c r="L1445" s="83"/>
      <c r="M1445" s="83"/>
      <c r="N1445" s="83"/>
      <c r="O1445" s="83"/>
      <c r="P1445" s="83"/>
      <c r="Q1445" s="83"/>
      <c r="R1445" s="83"/>
      <c r="S1445" s="83"/>
      <c r="T1445" s="83"/>
      <c r="U1445" s="83"/>
      <c r="V1445" s="83"/>
      <c r="W1445" s="83"/>
    </row>
    <row r="1446">
      <c r="A1446" s="91"/>
      <c r="B1446" s="91"/>
      <c r="C1446" s="91"/>
      <c r="D1446" s="91"/>
      <c r="E1446" s="91"/>
      <c r="F1446" s="92"/>
      <c r="G1446" s="83"/>
      <c r="H1446" s="83"/>
      <c r="I1446" s="83"/>
      <c r="J1446" s="83"/>
      <c r="K1446" s="83"/>
      <c r="L1446" s="83"/>
      <c r="M1446" s="83"/>
      <c r="N1446" s="83"/>
      <c r="O1446" s="83"/>
      <c r="P1446" s="83"/>
      <c r="Q1446" s="83"/>
      <c r="R1446" s="83"/>
      <c r="S1446" s="83"/>
      <c r="T1446" s="83"/>
      <c r="U1446" s="83"/>
      <c r="V1446" s="83"/>
      <c r="W1446" s="83"/>
    </row>
    <row r="1447">
      <c r="A1447" s="91"/>
      <c r="B1447" s="91"/>
      <c r="C1447" s="91"/>
      <c r="D1447" s="91"/>
      <c r="E1447" s="91"/>
      <c r="F1447" s="92"/>
      <c r="G1447" s="83"/>
      <c r="H1447" s="83"/>
      <c r="I1447" s="83"/>
      <c r="J1447" s="83"/>
      <c r="K1447" s="83"/>
      <c r="L1447" s="83"/>
      <c r="M1447" s="83"/>
      <c r="N1447" s="83"/>
      <c r="O1447" s="83"/>
      <c r="P1447" s="83"/>
      <c r="Q1447" s="83"/>
      <c r="R1447" s="83"/>
      <c r="S1447" s="83"/>
      <c r="T1447" s="83"/>
      <c r="U1447" s="83"/>
      <c r="V1447" s="83"/>
      <c r="W1447" s="83"/>
    </row>
    <row r="1448">
      <c r="A1448" s="91"/>
      <c r="B1448" s="91"/>
      <c r="C1448" s="91"/>
      <c r="D1448" s="91"/>
      <c r="E1448" s="91"/>
      <c r="F1448" s="92"/>
      <c r="G1448" s="83"/>
      <c r="H1448" s="83"/>
      <c r="I1448" s="83"/>
      <c r="J1448" s="83"/>
      <c r="K1448" s="83"/>
      <c r="L1448" s="83"/>
      <c r="M1448" s="83"/>
      <c r="N1448" s="83"/>
      <c r="O1448" s="83"/>
      <c r="P1448" s="83"/>
      <c r="Q1448" s="83"/>
      <c r="R1448" s="83"/>
      <c r="S1448" s="83"/>
      <c r="T1448" s="83"/>
      <c r="U1448" s="83"/>
      <c r="V1448" s="83"/>
      <c r="W1448" s="83"/>
    </row>
    <row r="1449">
      <c r="A1449" s="91"/>
      <c r="B1449" s="91"/>
      <c r="C1449" s="91"/>
      <c r="D1449" s="91"/>
      <c r="E1449" s="91"/>
      <c r="F1449" s="92"/>
      <c r="G1449" s="83"/>
      <c r="H1449" s="83"/>
      <c r="I1449" s="83"/>
      <c r="J1449" s="83"/>
      <c r="K1449" s="83"/>
      <c r="L1449" s="83"/>
      <c r="M1449" s="83"/>
      <c r="N1449" s="83"/>
      <c r="O1449" s="83"/>
      <c r="P1449" s="83"/>
      <c r="Q1449" s="83"/>
      <c r="R1449" s="83"/>
      <c r="S1449" s="83"/>
      <c r="T1449" s="83"/>
      <c r="U1449" s="83"/>
      <c r="V1449" s="83"/>
      <c r="W1449" s="83"/>
    </row>
    <row r="1450">
      <c r="A1450" s="91"/>
      <c r="B1450" s="91"/>
      <c r="C1450" s="91"/>
      <c r="D1450" s="91"/>
      <c r="E1450" s="91"/>
      <c r="F1450" s="92"/>
      <c r="G1450" s="83"/>
      <c r="H1450" s="83"/>
      <c r="I1450" s="83"/>
      <c r="J1450" s="83"/>
      <c r="K1450" s="83"/>
      <c r="L1450" s="83"/>
      <c r="M1450" s="83"/>
      <c r="N1450" s="83"/>
      <c r="O1450" s="83"/>
      <c r="P1450" s="83"/>
      <c r="Q1450" s="83"/>
      <c r="R1450" s="83"/>
      <c r="S1450" s="83"/>
      <c r="T1450" s="83"/>
      <c r="U1450" s="83"/>
      <c r="V1450" s="83"/>
      <c r="W1450" s="83"/>
    </row>
    <row r="1451">
      <c r="A1451" s="91"/>
      <c r="B1451" s="91"/>
      <c r="C1451" s="91"/>
      <c r="D1451" s="91"/>
      <c r="E1451" s="91"/>
      <c r="F1451" s="92"/>
      <c r="G1451" s="83"/>
      <c r="H1451" s="83"/>
      <c r="I1451" s="83"/>
      <c r="J1451" s="83"/>
      <c r="K1451" s="83"/>
      <c r="L1451" s="83"/>
      <c r="M1451" s="83"/>
      <c r="N1451" s="83"/>
      <c r="O1451" s="83"/>
      <c r="P1451" s="83"/>
      <c r="Q1451" s="83"/>
      <c r="R1451" s="83"/>
      <c r="S1451" s="83"/>
      <c r="T1451" s="83"/>
      <c r="U1451" s="83"/>
      <c r="V1451" s="83"/>
      <c r="W1451" s="83"/>
    </row>
    <row r="1452">
      <c r="A1452" s="91"/>
      <c r="B1452" s="91"/>
      <c r="C1452" s="91"/>
      <c r="D1452" s="91"/>
      <c r="E1452" s="91"/>
      <c r="F1452" s="92"/>
      <c r="G1452" s="83"/>
      <c r="H1452" s="83"/>
      <c r="I1452" s="83"/>
      <c r="J1452" s="83"/>
      <c r="K1452" s="83"/>
      <c r="L1452" s="83"/>
      <c r="M1452" s="83"/>
      <c r="N1452" s="83"/>
      <c r="O1452" s="83"/>
      <c r="P1452" s="83"/>
      <c r="Q1452" s="83"/>
      <c r="R1452" s="83"/>
      <c r="S1452" s="83"/>
      <c r="T1452" s="83"/>
      <c r="U1452" s="83"/>
      <c r="V1452" s="83"/>
      <c r="W1452" s="83"/>
    </row>
    <row r="1453">
      <c r="A1453" s="91"/>
      <c r="B1453" s="91"/>
      <c r="C1453" s="91"/>
      <c r="D1453" s="91"/>
      <c r="E1453" s="91"/>
      <c r="F1453" s="92"/>
      <c r="G1453" s="83"/>
      <c r="H1453" s="83"/>
      <c r="I1453" s="83"/>
      <c r="J1453" s="83"/>
      <c r="K1453" s="83"/>
      <c r="L1453" s="83"/>
      <c r="M1453" s="83"/>
      <c r="N1453" s="83"/>
      <c r="O1453" s="83"/>
      <c r="P1453" s="83"/>
      <c r="Q1453" s="83"/>
      <c r="R1453" s="83"/>
      <c r="S1453" s="83"/>
      <c r="T1453" s="83"/>
      <c r="U1453" s="83"/>
      <c r="V1453" s="83"/>
      <c r="W1453" s="83"/>
    </row>
    <row r="1454">
      <c r="A1454" s="91"/>
      <c r="B1454" s="91"/>
      <c r="C1454" s="91"/>
      <c r="D1454" s="91"/>
      <c r="E1454" s="91"/>
      <c r="F1454" s="92"/>
      <c r="G1454" s="83"/>
      <c r="H1454" s="83"/>
      <c r="I1454" s="83"/>
      <c r="J1454" s="83"/>
      <c r="K1454" s="83"/>
      <c r="L1454" s="83"/>
      <c r="M1454" s="83"/>
      <c r="N1454" s="83"/>
      <c r="O1454" s="83"/>
      <c r="P1454" s="83"/>
      <c r="Q1454" s="83"/>
      <c r="R1454" s="83"/>
      <c r="S1454" s="83"/>
      <c r="T1454" s="83"/>
      <c r="U1454" s="83"/>
      <c r="V1454" s="83"/>
      <c r="W1454" s="83"/>
    </row>
    <row r="1455">
      <c r="A1455" s="91"/>
      <c r="B1455" s="91"/>
      <c r="C1455" s="91"/>
      <c r="D1455" s="91"/>
      <c r="E1455" s="91"/>
      <c r="F1455" s="92"/>
      <c r="G1455" s="83"/>
      <c r="H1455" s="83"/>
      <c r="I1455" s="83"/>
      <c r="J1455" s="83"/>
      <c r="K1455" s="83"/>
      <c r="L1455" s="83"/>
      <c r="M1455" s="83"/>
      <c r="N1455" s="83"/>
      <c r="O1455" s="83"/>
      <c r="P1455" s="83"/>
      <c r="Q1455" s="83"/>
      <c r="R1455" s="83"/>
      <c r="S1455" s="83"/>
      <c r="T1455" s="83"/>
      <c r="U1455" s="83"/>
      <c r="V1455" s="83"/>
      <c r="W1455" s="83"/>
    </row>
    <row r="1456">
      <c r="A1456" s="91"/>
      <c r="B1456" s="91"/>
      <c r="C1456" s="91"/>
      <c r="D1456" s="91"/>
      <c r="E1456" s="91"/>
      <c r="F1456" s="92"/>
      <c r="G1456" s="83"/>
      <c r="H1456" s="83"/>
      <c r="I1456" s="83"/>
      <c r="J1456" s="83"/>
      <c r="K1456" s="83"/>
      <c r="L1456" s="83"/>
      <c r="M1456" s="83"/>
      <c r="N1456" s="83"/>
      <c r="O1456" s="83"/>
      <c r="P1456" s="83"/>
      <c r="Q1456" s="83"/>
      <c r="R1456" s="83"/>
      <c r="S1456" s="83"/>
      <c r="T1456" s="83"/>
      <c r="U1456" s="83"/>
      <c r="V1456" s="83"/>
      <c r="W1456" s="83"/>
    </row>
    <row r="1457">
      <c r="A1457" s="91"/>
      <c r="B1457" s="91"/>
      <c r="C1457" s="91"/>
      <c r="D1457" s="91"/>
      <c r="E1457" s="91"/>
      <c r="F1457" s="92"/>
      <c r="G1457" s="83"/>
      <c r="H1457" s="83"/>
      <c r="I1457" s="83"/>
      <c r="J1457" s="83"/>
      <c r="K1457" s="83"/>
      <c r="L1457" s="83"/>
      <c r="M1457" s="83"/>
      <c r="N1457" s="83"/>
      <c r="O1457" s="83"/>
      <c r="P1457" s="83"/>
      <c r="Q1457" s="83"/>
      <c r="R1457" s="83"/>
      <c r="S1457" s="83"/>
      <c r="T1457" s="83"/>
      <c r="U1457" s="83"/>
      <c r="V1457" s="83"/>
      <c r="W1457" s="83"/>
    </row>
    <row r="1458">
      <c r="A1458" s="91"/>
      <c r="B1458" s="91"/>
      <c r="C1458" s="91"/>
      <c r="D1458" s="91"/>
      <c r="E1458" s="91"/>
      <c r="F1458" s="92"/>
      <c r="G1458" s="83"/>
      <c r="H1458" s="83"/>
      <c r="I1458" s="83"/>
      <c r="J1458" s="83"/>
      <c r="K1458" s="83"/>
      <c r="L1458" s="83"/>
      <c r="M1458" s="83"/>
      <c r="N1458" s="83"/>
      <c r="O1458" s="83"/>
      <c r="P1458" s="83"/>
      <c r="Q1458" s="83"/>
      <c r="R1458" s="83"/>
      <c r="S1458" s="83"/>
      <c r="T1458" s="83"/>
      <c r="U1458" s="83"/>
      <c r="V1458" s="83"/>
      <c r="W1458" s="83"/>
    </row>
    <row r="1459">
      <c r="A1459" s="91"/>
      <c r="B1459" s="91"/>
      <c r="C1459" s="91"/>
      <c r="D1459" s="91"/>
      <c r="E1459" s="91"/>
      <c r="F1459" s="92"/>
      <c r="G1459" s="83"/>
      <c r="H1459" s="83"/>
      <c r="I1459" s="83"/>
      <c r="J1459" s="83"/>
      <c r="K1459" s="83"/>
      <c r="L1459" s="83"/>
      <c r="M1459" s="83"/>
      <c r="N1459" s="83"/>
      <c r="O1459" s="83"/>
      <c r="P1459" s="83"/>
      <c r="Q1459" s="83"/>
      <c r="R1459" s="83"/>
      <c r="S1459" s="83"/>
      <c r="T1459" s="83"/>
      <c r="U1459" s="83"/>
      <c r="V1459" s="83"/>
      <c r="W1459" s="83"/>
    </row>
    <row r="1460">
      <c r="A1460" s="91"/>
      <c r="B1460" s="91"/>
      <c r="C1460" s="91"/>
      <c r="D1460" s="91"/>
      <c r="E1460" s="91"/>
      <c r="F1460" s="92"/>
      <c r="G1460" s="83"/>
      <c r="H1460" s="83"/>
      <c r="I1460" s="83"/>
      <c r="J1460" s="83"/>
      <c r="K1460" s="83"/>
      <c r="L1460" s="83"/>
      <c r="M1460" s="83"/>
      <c r="N1460" s="83"/>
      <c r="O1460" s="83"/>
      <c r="P1460" s="83"/>
      <c r="Q1460" s="83"/>
      <c r="R1460" s="83"/>
      <c r="S1460" s="83"/>
      <c r="T1460" s="83"/>
      <c r="U1460" s="83"/>
      <c r="V1460" s="83"/>
      <c r="W1460" s="83"/>
    </row>
    <row r="1461">
      <c r="A1461" s="91"/>
      <c r="B1461" s="91"/>
      <c r="C1461" s="91"/>
      <c r="D1461" s="91"/>
      <c r="E1461" s="91"/>
      <c r="F1461" s="92"/>
      <c r="G1461" s="83"/>
      <c r="H1461" s="83"/>
      <c r="I1461" s="83"/>
      <c r="J1461" s="83"/>
      <c r="K1461" s="83"/>
      <c r="L1461" s="83"/>
      <c r="M1461" s="83"/>
      <c r="N1461" s="83"/>
      <c r="O1461" s="83"/>
      <c r="P1461" s="83"/>
      <c r="Q1461" s="83"/>
      <c r="R1461" s="83"/>
      <c r="S1461" s="83"/>
      <c r="T1461" s="83"/>
      <c r="U1461" s="83"/>
      <c r="V1461" s="83"/>
      <c r="W1461" s="83"/>
    </row>
    <row r="1462">
      <c r="A1462" s="91"/>
      <c r="B1462" s="91"/>
      <c r="C1462" s="91"/>
      <c r="D1462" s="91"/>
      <c r="E1462" s="91"/>
      <c r="F1462" s="92"/>
      <c r="G1462" s="83"/>
      <c r="H1462" s="83"/>
      <c r="I1462" s="83"/>
      <c r="J1462" s="83"/>
      <c r="K1462" s="83"/>
      <c r="L1462" s="83"/>
      <c r="M1462" s="83"/>
      <c r="N1462" s="83"/>
      <c r="O1462" s="83"/>
      <c r="P1462" s="83"/>
      <c r="Q1462" s="83"/>
      <c r="R1462" s="83"/>
      <c r="S1462" s="83"/>
      <c r="T1462" s="83"/>
      <c r="U1462" s="83"/>
      <c r="V1462" s="83"/>
      <c r="W1462" s="83"/>
    </row>
    <row r="1463">
      <c r="A1463" s="91"/>
      <c r="B1463" s="91"/>
      <c r="C1463" s="91"/>
      <c r="D1463" s="91"/>
      <c r="E1463" s="91"/>
      <c r="F1463" s="92"/>
      <c r="G1463" s="83"/>
      <c r="H1463" s="83"/>
      <c r="I1463" s="83"/>
      <c r="J1463" s="83"/>
      <c r="K1463" s="83"/>
      <c r="L1463" s="83"/>
      <c r="M1463" s="83"/>
      <c r="N1463" s="83"/>
      <c r="O1463" s="83"/>
      <c r="P1463" s="83"/>
      <c r="Q1463" s="83"/>
      <c r="R1463" s="83"/>
      <c r="S1463" s="83"/>
      <c r="T1463" s="83"/>
      <c r="U1463" s="83"/>
      <c r="V1463" s="83"/>
      <c r="W1463" s="83"/>
    </row>
    <row r="1464">
      <c r="A1464" s="91"/>
      <c r="B1464" s="91"/>
      <c r="C1464" s="91"/>
      <c r="D1464" s="91"/>
      <c r="E1464" s="91"/>
      <c r="F1464" s="92"/>
      <c r="G1464" s="83"/>
      <c r="H1464" s="83"/>
      <c r="I1464" s="83"/>
      <c r="J1464" s="83"/>
      <c r="K1464" s="83"/>
      <c r="L1464" s="83"/>
      <c r="M1464" s="83"/>
      <c r="N1464" s="83"/>
      <c r="O1464" s="83"/>
      <c r="P1464" s="83"/>
      <c r="Q1464" s="83"/>
      <c r="R1464" s="83"/>
      <c r="S1464" s="83"/>
      <c r="T1464" s="83"/>
      <c r="U1464" s="83"/>
      <c r="V1464" s="83"/>
      <c r="W1464" s="83"/>
    </row>
    <row r="1465">
      <c r="A1465" s="91"/>
      <c r="B1465" s="91"/>
      <c r="C1465" s="91"/>
      <c r="D1465" s="91"/>
      <c r="E1465" s="91"/>
      <c r="F1465" s="92"/>
      <c r="G1465" s="83"/>
      <c r="H1465" s="83"/>
      <c r="I1465" s="83"/>
      <c r="J1465" s="83"/>
      <c r="K1465" s="83"/>
      <c r="L1465" s="83"/>
      <c r="M1465" s="83"/>
      <c r="N1465" s="83"/>
      <c r="O1465" s="83"/>
      <c r="P1465" s="83"/>
      <c r="Q1465" s="83"/>
      <c r="R1465" s="83"/>
      <c r="S1465" s="83"/>
      <c r="T1465" s="83"/>
      <c r="U1465" s="83"/>
      <c r="V1465" s="83"/>
      <c r="W1465" s="83"/>
    </row>
    <row r="1466">
      <c r="A1466" s="91"/>
      <c r="B1466" s="91"/>
      <c r="C1466" s="91"/>
      <c r="D1466" s="91"/>
      <c r="E1466" s="91"/>
      <c r="F1466" s="92"/>
      <c r="G1466" s="83"/>
      <c r="H1466" s="83"/>
      <c r="I1466" s="83"/>
      <c r="J1466" s="83"/>
      <c r="K1466" s="83"/>
      <c r="L1466" s="83"/>
      <c r="M1466" s="83"/>
      <c r="N1466" s="83"/>
      <c r="O1466" s="83"/>
      <c r="P1466" s="83"/>
      <c r="Q1466" s="83"/>
      <c r="R1466" s="83"/>
      <c r="S1466" s="83"/>
      <c r="T1466" s="83"/>
      <c r="U1466" s="83"/>
      <c r="V1466" s="83"/>
      <c r="W1466" s="83"/>
    </row>
    <row r="1467">
      <c r="A1467" s="91"/>
      <c r="B1467" s="91"/>
      <c r="C1467" s="91"/>
      <c r="D1467" s="91"/>
      <c r="E1467" s="91"/>
      <c r="F1467" s="92"/>
      <c r="G1467" s="83"/>
      <c r="H1467" s="83"/>
      <c r="I1467" s="83"/>
      <c r="J1467" s="83"/>
      <c r="K1467" s="83"/>
      <c r="L1467" s="83"/>
      <c r="M1467" s="83"/>
      <c r="N1467" s="83"/>
      <c r="O1467" s="83"/>
      <c r="P1467" s="83"/>
      <c r="Q1467" s="83"/>
      <c r="R1467" s="83"/>
      <c r="S1467" s="83"/>
      <c r="T1467" s="83"/>
      <c r="U1467" s="83"/>
      <c r="V1467" s="83"/>
      <c r="W1467" s="83"/>
    </row>
    <row r="1468">
      <c r="A1468" s="91"/>
      <c r="B1468" s="91"/>
      <c r="C1468" s="91"/>
      <c r="D1468" s="91"/>
      <c r="E1468" s="91"/>
      <c r="F1468" s="92"/>
      <c r="G1468" s="83"/>
      <c r="H1468" s="83"/>
      <c r="I1468" s="83"/>
      <c r="J1468" s="83"/>
      <c r="K1468" s="83"/>
      <c r="L1468" s="83"/>
      <c r="M1468" s="83"/>
      <c r="N1468" s="83"/>
      <c r="O1468" s="83"/>
      <c r="P1468" s="83"/>
      <c r="Q1468" s="83"/>
      <c r="R1468" s="83"/>
      <c r="S1468" s="83"/>
      <c r="T1468" s="83"/>
      <c r="U1468" s="83"/>
      <c r="V1468" s="83"/>
      <c r="W1468" s="83"/>
    </row>
    <row r="1469">
      <c r="A1469" s="91"/>
      <c r="B1469" s="91"/>
      <c r="C1469" s="91"/>
      <c r="D1469" s="91"/>
      <c r="E1469" s="91"/>
      <c r="F1469" s="92"/>
      <c r="G1469" s="83"/>
      <c r="H1469" s="83"/>
      <c r="I1469" s="83"/>
      <c r="J1469" s="83"/>
      <c r="K1469" s="83"/>
      <c r="L1469" s="83"/>
      <c r="M1469" s="83"/>
      <c r="N1469" s="83"/>
      <c r="O1469" s="83"/>
      <c r="P1469" s="83"/>
      <c r="Q1469" s="83"/>
      <c r="R1469" s="83"/>
      <c r="S1469" s="83"/>
      <c r="T1469" s="83"/>
      <c r="U1469" s="83"/>
      <c r="V1469" s="83"/>
      <c r="W1469" s="83"/>
    </row>
    <row r="1470">
      <c r="A1470" s="91"/>
      <c r="B1470" s="91"/>
      <c r="C1470" s="91"/>
      <c r="D1470" s="91"/>
      <c r="E1470" s="91"/>
      <c r="F1470" s="92"/>
      <c r="G1470" s="83"/>
      <c r="H1470" s="83"/>
      <c r="I1470" s="83"/>
      <c r="J1470" s="83"/>
      <c r="K1470" s="83"/>
      <c r="L1470" s="83"/>
      <c r="M1470" s="83"/>
      <c r="N1470" s="83"/>
      <c r="O1470" s="83"/>
      <c r="P1470" s="83"/>
      <c r="Q1470" s="83"/>
      <c r="R1470" s="83"/>
      <c r="S1470" s="83"/>
      <c r="T1470" s="83"/>
      <c r="U1470" s="83"/>
      <c r="V1470" s="83"/>
      <c r="W1470" s="83"/>
    </row>
    <row r="1471">
      <c r="A1471" s="91"/>
      <c r="B1471" s="91"/>
      <c r="C1471" s="91"/>
      <c r="D1471" s="91"/>
      <c r="E1471" s="91"/>
      <c r="F1471" s="92"/>
      <c r="G1471" s="83"/>
      <c r="H1471" s="83"/>
      <c r="I1471" s="83"/>
      <c r="J1471" s="83"/>
      <c r="K1471" s="83"/>
      <c r="L1471" s="83"/>
      <c r="M1471" s="83"/>
      <c r="N1471" s="83"/>
      <c r="O1471" s="83"/>
      <c r="P1471" s="83"/>
      <c r="Q1471" s="83"/>
      <c r="R1471" s="83"/>
      <c r="S1471" s="83"/>
      <c r="T1471" s="83"/>
      <c r="U1471" s="83"/>
      <c r="V1471" s="83"/>
      <c r="W1471" s="83"/>
    </row>
    <row r="1472">
      <c r="A1472" s="91"/>
      <c r="B1472" s="91"/>
      <c r="C1472" s="91"/>
      <c r="D1472" s="91"/>
      <c r="E1472" s="91"/>
      <c r="F1472" s="92"/>
      <c r="G1472" s="83"/>
      <c r="H1472" s="83"/>
      <c r="I1472" s="83"/>
      <c r="J1472" s="83"/>
      <c r="K1472" s="83"/>
      <c r="L1472" s="83"/>
      <c r="M1472" s="83"/>
      <c r="N1472" s="83"/>
      <c r="O1472" s="83"/>
      <c r="P1472" s="83"/>
      <c r="Q1472" s="83"/>
      <c r="R1472" s="83"/>
      <c r="S1472" s="83"/>
      <c r="T1472" s="83"/>
      <c r="U1472" s="83"/>
      <c r="V1472" s="83"/>
      <c r="W1472" s="83"/>
    </row>
    <row r="1473">
      <c r="A1473" s="91"/>
      <c r="B1473" s="91"/>
      <c r="C1473" s="91"/>
      <c r="D1473" s="91"/>
      <c r="E1473" s="91"/>
      <c r="F1473" s="92"/>
      <c r="G1473" s="83"/>
      <c r="H1473" s="83"/>
      <c r="I1473" s="83"/>
      <c r="J1473" s="83"/>
      <c r="K1473" s="83"/>
      <c r="L1473" s="83"/>
      <c r="M1473" s="83"/>
      <c r="N1473" s="83"/>
      <c r="O1473" s="83"/>
      <c r="P1473" s="83"/>
      <c r="Q1473" s="83"/>
      <c r="R1473" s="83"/>
      <c r="S1473" s="83"/>
      <c r="T1473" s="83"/>
      <c r="U1473" s="83"/>
      <c r="V1473" s="83"/>
      <c r="W1473" s="83"/>
    </row>
    <row r="1474">
      <c r="A1474" s="91"/>
      <c r="B1474" s="91"/>
      <c r="C1474" s="91"/>
      <c r="D1474" s="91"/>
      <c r="E1474" s="91"/>
      <c r="F1474" s="92"/>
      <c r="G1474" s="83"/>
      <c r="H1474" s="83"/>
      <c r="I1474" s="83"/>
      <c r="J1474" s="83"/>
      <c r="K1474" s="83"/>
      <c r="L1474" s="83"/>
      <c r="M1474" s="83"/>
      <c r="N1474" s="83"/>
      <c r="O1474" s="83"/>
      <c r="P1474" s="83"/>
      <c r="Q1474" s="83"/>
      <c r="R1474" s="83"/>
      <c r="S1474" s="83"/>
      <c r="T1474" s="83"/>
      <c r="U1474" s="83"/>
      <c r="V1474" s="83"/>
      <c r="W1474" s="83"/>
    </row>
    <row r="1475">
      <c r="A1475" s="91"/>
      <c r="B1475" s="91"/>
      <c r="C1475" s="91"/>
      <c r="D1475" s="91"/>
      <c r="E1475" s="91"/>
      <c r="F1475" s="92"/>
      <c r="G1475" s="83"/>
      <c r="H1475" s="83"/>
      <c r="I1475" s="83"/>
      <c r="J1475" s="83"/>
      <c r="K1475" s="83"/>
      <c r="L1475" s="83"/>
      <c r="M1475" s="83"/>
      <c r="N1475" s="83"/>
      <c r="O1475" s="83"/>
      <c r="P1475" s="83"/>
      <c r="Q1475" s="83"/>
      <c r="R1475" s="83"/>
      <c r="S1475" s="83"/>
      <c r="T1475" s="83"/>
      <c r="U1475" s="83"/>
      <c r="V1475" s="83"/>
      <c r="W1475" s="83"/>
    </row>
    <row r="1476">
      <c r="A1476" s="91"/>
      <c r="B1476" s="91"/>
      <c r="C1476" s="91"/>
      <c r="D1476" s="91"/>
      <c r="E1476" s="91"/>
      <c r="F1476" s="92"/>
      <c r="G1476" s="83"/>
      <c r="H1476" s="83"/>
      <c r="I1476" s="83"/>
      <c r="J1476" s="83"/>
      <c r="K1476" s="83"/>
      <c r="L1476" s="83"/>
      <c r="M1476" s="83"/>
      <c r="N1476" s="83"/>
      <c r="O1476" s="83"/>
      <c r="P1476" s="83"/>
      <c r="Q1476" s="83"/>
      <c r="R1476" s="83"/>
      <c r="S1476" s="83"/>
      <c r="T1476" s="83"/>
      <c r="U1476" s="83"/>
      <c r="V1476" s="83"/>
      <c r="W1476" s="83"/>
    </row>
    <row r="1477">
      <c r="A1477" s="91"/>
      <c r="B1477" s="91"/>
      <c r="C1477" s="91"/>
      <c r="D1477" s="91"/>
      <c r="E1477" s="91"/>
      <c r="F1477" s="92"/>
      <c r="G1477" s="83"/>
      <c r="H1477" s="83"/>
      <c r="I1477" s="83"/>
      <c r="J1477" s="83"/>
      <c r="K1477" s="83"/>
      <c r="L1477" s="83"/>
      <c r="M1477" s="83"/>
      <c r="N1477" s="83"/>
      <c r="O1477" s="83"/>
      <c r="P1477" s="83"/>
      <c r="Q1477" s="83"/>
      <c r="R1477" s="83"/>
      <c r="S1477" s="83"/>
      <c r="T1477" s="83"/>
      <c r="U1477" s="83"/>
      <c r="V1477" s="83"/>
      <c r="W1477" s="83"/>
    </row>
    <row r="1478">
      <c r="A1478" s="91"/>
      <c r="B1478" s="91"/>
      <c r="C1478" s="91"/>
      <c r="D1478" s="91"/>
      <c r="E1478" s="91"/>
      <c r="F1478" s="92"/>
      <c r="G1478" s="83"/>
      <c r="H1478" s="83"/>
      <c r="I1478" s="83"/>
      <c r="J1478" s="83"/>
      <c r="K1478" s="83"/>
      <c r="L1478" s="83"/>
      <c r="M1478" s="83"/>
      <c r="N1478" s="83"/>
      <c r="O1478" s="83"/>
      <c r="P1478" s="83"/>
      <c r="Q1478" s="83"/>
      <c r="R1478" s="83"/>
      <c r="S1478" s="83"/>
      <c r="T1478" s="83"/>
      <c r="U1478" s="83"/>
      <c r="V1478" s="83"/>
      <c r="W1478" s="83"/>
    </row>
    <row r="1479">
      <c r="A1479" s="91"/>
      <c r="B1479" s="91"/>
      <c r="C1479" s="91"/>
      <c r="D1479" s="91"/>
      <c r="E1479" s="91"/>
      <c r="F1479" s="92"/>
      <c r="G1479" s="83"/>
      <c r="H1479" s="83"/>
      <c r="I1479" s="83"/>
      <c r="J1479" s="83"/>
      <c r="K1479" s="83"/>
      <c r="L1479" s="83"/>
      <c r="M1479" s="83"/>
      <c r="N1479" s="83"/>
      <c r="O1479" s="83"/>
      <c r="P1479" s="83"/>
      <c r="Q1479" s="83"/>
      <c r="R1479" s="83"/>
      <c r="S1479" s="83"/>
      <c r="T1479" s="83"/>
      <c r="U1479" s="83"/>
      <c r="V1479" s="83"/>
      <c r="W1479" s="83"/>
    </row>
    <row r="1480">
      <c r="A1480" s="91"/>
      <c r="B1480" s="91"/>
      <c r="C1480" s="91"/>
      <c r="D1480" s="91"/>
      <c r="E1480" s="91"/>
      <c r="F1480" s="92"/>
      <c r="G1480" s="83"/>
      <c r="H1480" s="83"/>
      <c r="I1480" s="83"/>
      <c r="J1480" s="83"/>
      <c r="K1480" s="83"/>
      <c r="L1480" s="83"/>
      <c r="M1480" s="83"/>
      <c r="N1480" s="83"/>
      <c r="O1480" s="83"/>
      <c r="P1480" s="83"/>
      <c r="Q1480" s="83"/>
      <c r="R1480" s="83"/>
      <c r="S1480" s="83"/>
      <c r="T1480" s="83"/>
      <c r="U1480" s="83"/>
      <c r="V1480" s="83"/>
      <c r="W1480" s="83"/>
    </row>
    <row r="1481">
      <c r="A1481" s="91"/>
      <c r="B1481" s="91"/>
      <c r="C1481" s="91"/>
      <c r="D1481" s="91"/>
      <c r="E1481" s="91"/>
      <c r="F1481" s="92"/>
      <c r="G1481" s="83"/>
      <c r="H1481" s="83"/>
      <c r="I1481" s="83"/>
      <c r="J1481" s="83"/>
      <c r="K1481" s="83"/>
      <c r="L1481" s="83"/>
      <c r="M1481" s="83"/>
      <c r="N1481" s="83"/>
      <c r="O1481" s="83"/>
      <c r="P1481" s="83"/>
      <c r="Q1481" s="83"/>
      <c r="R1481" s="83"/>
      <c r="S1481" s="83"/>
      <c r="T1481" s="83"/>
      <c r="U1481" s="83"/>
      <c r="V1481" s="83"/>
      <c r="W1481" s="83"/>
    </row>
    <row r="1482">
      <c r="A1482" s="91"/>
      <c r="B1482" s="91"/>
      <c r="C1482" s="91"/>
      <c r="D1482" s="91"/>
      <c r="E1482" s="91"/>
      <c r="F1482" s="92"/>
      <c r="G1482" s="83"/>
      <c r="H1482" s="83"/>
      <c r="I1482" s="83"/>
      <c r="J1482" s="83"/>
      <c r="K1482" s="83"/>
      <c r="L1482" s="83"/>
      <c r="M1482" s="83"/>
      <c r="N1482" s="83"/>
      <c r="O1482" s="83"/>
      <c r="P1482" s="83"/>
      <c r="Q1482" s="83"/>
      <c r="R1482" s="83"/>
      <c r="S1482" s="83"/>
      <c r="T1482" s="83"/>
      <c r="U1482" s="83"/>
      <c r="V1482" s="83"/>
      <c r="W1482" s="83"/>
    </row>
    <row r="1483">
      <c r="A1483" s="91"/>
      <c r="B1483" s="91"/>
      <c r="C1483" s="91"/>
      <c r="D1483" s="91"/>
      <c r="E1483" s="91"/>
      <c r="F1483" s="92"/>
      <c r="G1483" s="83"/>
      <c r="H1483" s="83"/>
      <c r="I1483" s="83"/>
      <c r="J1483" s="83"/>
      <c r="K1483" s="83"/>
      <c r="L1483" s="83"/>
      <c r="M1483" s="83"/>
      <c r="N1483" s="83"/>
      <c r="O1483" s="83"/>
      <c r="P1483" s="83"/>
      <c r="Q1483" s="83"/>
      <c r="R1483" s="83"/>
      <c r="S1483" s="83"/>
      <c r="T1483" s="83"/>
      <c r="U1483" s="83"/>
      <c r="V1483" s="83"/>
      <c r="W1483" s="83"/>
    </row>
    <row r="1484">
      <c r="A1484" s="91"/>
      <c r="B1484" s="91"/>
      <c r="C1484" s="91"/>
      <c r="D1484" s="91"/>
      <c r="E1484" s="91"/>
      <c r="F1484" s="92"/>
      <c r="G1484" s="83"/>
      <c r="H1484" s="83"/>
      <c r="I1484" s="83"/>
      <c r="J1484" s="83"/>
      <c r="K1484" s="83"/>
      <c r="L1484" s="83"/>
      <c r="M1484" s="83"/>
      <c r="N1484" s="83"/>
      <c r="O1484" s="83"/>
      <c r="P1484" s="83"/>
      <c r="Q1484" s="83"/>
      <c r="R1484" s="83"/>
      <c r="S1484" s="83"/>
      <c r="T1484" s="83"/>
      <c r="U1484" s="83"/>
      <c r="V1484" s="83"/>
      <c r="W1484" s="83"/>
    </row>
    <row r="1485">
      <c r="A1485" s="91"/>
      <c r="B1485" s="91"/>
      <c r="C1485" s="91"/>
      <c r="D1485" s="91"/>
      <c r="E1485" s="91"/>
      <c r="F1485" s="92"/>
      <c r="G1485" s="83"/>
      <c r="H1485" s="83"/>
      <c r="I1485" s="83"/>
      <c r="J1485" s="83"/>
      <c r="K1485" s="83"/>
      <c r="L1485" s="83"/>
      <c r="M1485" s="83"/>
      <c r="N1485" s="83"/>
      <c r="O1485" s="83"/>
      <c r="P1485" s="83"/>
      <c r="Q1485" s="83"/>
      <c r="R1485" s="83"/>
      <c r="S1485" s="83"/>
      <c r="T1485" s="83"/>
      <c r="U1485" s="83"/>
      <c r="V1485" s="83"/>
      <c r="W1485" s="83"/>
    </row>
    <row r="1486">
      <c r="A1486" s="91"/>
      <c r="B1486" s="91"/>
      <c r="C1486" s="91"/>
      <c r="D1486" s="91"/>
      <c r="E1486" s="91"/>
      <c r="F1486" s="92"/>
      <c r="G1486" s="83"/>
      <c r="H1486" s="83"/>
      <c r="I1486" s="83"/>
      <c r="J1486" s="83"/>
      <c r="K1486" s="83"/>
      <c r="L1486" s="83"/>
      <c r="M1486" s="83"/>
      <c r="N1486" s="83"/>
      <c r="O1486" s="83"/>
      <c r="P1486" s="83"/>
      <c r="Q1486" s="83"/>
      <c r="R1486" s="83"/>
      <c r="S1486" s="83"/>
      <c r="T1486" s="83"/>
      <c r="U1486" s="83"/>
      <c r="V1486" s="83"/>
      <c r="W1486" s="83"/>
    </row>
    <row r="1487">
      <c r="A1487" s="91"/>
      <c r="B1487" s="91"/>
      <c r="C1487" s="91"/>
      <c r="D1487" s="91"/>
      <c r="E1487" s="91"/>
      <c r="F1487" s="92"/>
      <c r="G1487" s="83"/>
      <c r="H1487" s="83"/>
      <c r="I1487" s="83"/>
      <c r="J1487" s="83"/>
      <c r="K1487" s="83"/>
      <c r="L1487" s="83"/>
      <c r="M1487" s="83"/>
      <c r="N1487" s="83"/>
      <c r="O1487" s="83"/>
      <c r="P1487" s="83"/>
      <c r="Q1487" s="83"/>
      <c r="R1487" s="83"/>
      <c r="S1487" s="83"/>
      <c r="T1487" s="83"/>
      <c r="U1487" s="83"/>
      <c r="V1487" s="83"/>
      <c r="W1487" s="83"/>
    </row>
    <row r="1488">
      <c r="A1488" s="91"/>
      <c r="B1488" s="91"/>
      <c r="C1488" s="91"/>
      <c r="D1488" s="91"/>
      <c r="E1488" s="91"/>
      <c r="F1488" s="92"/>
      <c r="G1488" s="83"/>
      <c r="H1488" s="83"/>
      <c r="I1488" s="83"/>
      <c r="J1488" s="83"/>
      <c r="K1488" s="83"/>
      <c r="L1488" s="83"/>
      <c r="M1488" s="83"/>
      <c r="N1488" s="83"/>
      <c r="O1488" s="83"/>
      <c r="P1488" s="83"/>
      <c r="Q1488" s="83"/>
      <c r="R1488" s="83"/>
      <c r="S1488" s="83"/>
      <c r="T1488" s="83"/>
      <c r="U1488" s="83"/>
      <c r="V1488" s="83"/>
      <c r="W1488" s="83"/>
    </row>
    <row r="1489">
      <c r="A1489" s="91"/>
      <c r="B1489" s="91"/>
      <c r="C1489" s="91"/>
      <c r="D1489" s="91"/>
      <c r="E1489" s="91"/>
      <c r="F1489" s="92"/>
      <c r="G1489" s="83"/>
      <c r="H1489" s="83"/>
      <c r="I1489" s="83"/>
      <c r="J1489" s="83"/>
      <c r="K1489" s="83"/>
      <c r="L1489" s="83"/>
      <c r="M1489" s="83"/>
      <c r="N1489" s="83"/>
      <c r="O1489" s="83"/>
      <c r="P1489" s="83"/>
      <c r="Q1489" s="83"/>
      <c r="R1489" s="83"/>
      <c r="S1489" s="83"/>
      <c r="T1489" s="83"/>
      <c r="U1489" s="83"/>
      <c r="V1489" s="83"/>
      <c r="W1489" s="83"/>
    </row>
    <row r="1490">
      <c r="A1490" s="91"/>
      <c r="B1490" s="91"/>
      <c r="C1490" s="91"/>
      <c r="D1490" s="91"/>
      <c r="E1490" s="91"/>
      <c r="F1490" s="92"/>
      <c r="G1490" s="83"/>
      <c r="H1490" s="83"/>
      <c r="I1490" s="83"/>
      <c r="J1490" s="83"/>
      <c r="K1490" s="83"/>
      <c r="L1490" s="83"/>
      <c r="M1490" s="83"/>
      <c r="N1490" s="83"/>
      <c r="O1490" s="83"/>
      <c r="P1490" s="83"/>
      <c r="Q1490" s="83"/>
      <c r="R1490" s="83"/>
      <c r="S1490" s="83"/>
      <c r="T1490" s="83"/>
      <c r="U1490" s="83"/>
      <c r="V1490" s="83"/>
      <c r="W1490" s="83"/>
    </row>
    <row r="1491">
      <c r="A1491" s="91"/>
      <c r="B1491" s="91"/>
      <c r="C1491" s="91"/>
      <c r="D1491" s="91"/>
      <c r="E1491" s="91"/>
      <c r="F1491" s="92"/>
      <c r="G1491" s="83"/>
      <c r="H1491" s="83"/>
      <c r="I1491" s="83"/>
      <c r="J1491" s="83"/>
      <c r="K1491" s="83"/>
      <c r="L1491" s="83"/>
      <c r="M1491" s="83"/>
      <c r="N1491" s="83"/>
      <c r="O1491" s="83"/>
      <c r="P1491" s="83"/>
      <c r="Q1491" s="83"/>
      <c r="R1491" s="83"/>
      <c r="S1491" s="83"/>
      <c r="T1491" s="83"/>
      <c r="U1491" s="83"/>
      <c r="V1491" s="83"/>
      <c r="W1491" s="83"/>
    </row>
    <row r="1492">
      <c r="A1492" s="91"/>
      <c r="B1492" s="91"/>
      <c r="C1492" s="91"/>
      <c r="D1492" s="91"/>
      <c r="E1492" s="91"/>
      <c r="F1492" s="92"/>
      <c r="G1492" s="83"/>
      <c r="H1492" s="83"/>
      <c r="I1492" s="83"/>
      <c r="J1492" s="83"/>
      <c r="K1492" s="83"/>
      <c r="L1492" s="83"/>
      <c r="M1492" s="83"/>
      <c r="N1492" s="83"/>
      <c r="O1492" s="83"/>
      <c r="P1492" s="83"/>
      <c r="Q1492" s="83"/>
      <c r="R1492" s="83"/>
      <c r="S1492" s="83"/>
      <c r="T1492" s="83"/>
      <c r="U1492" s="83"/>
      <c r="V1492" s="83"/>
      <c r="W1492" s="83"/>
    </row>
    <row r="1493">
      <c r="A1493" s="91"/>
      <c r="B1493" s="91"/>
      <c r="C1493" s="91"/>
      <c r="D1493" s="91"/>
      <c r="E1493" s="91"/>
      <c r="F1493" s="92"/>
      <c r="G1493" s="83"/>
      <c r="H1493" s="83"/>
      <c r="I1493" s="83"/>
      <c r="J1493" s="83"/>
      <c r="K1493" s="83"/>
      <c r="L1493" s="83"/>
      <c r="M1493" s="83"/>
      <c r="N1493" s="83"/>
      <c r="O1493" s="83"/>
      <c r="P1493" s="83"/>
      <c r="Q1493" s="83"/>
      <c r="R1493" s="83"/>
      <c r="S1493" s="83"/>
      <c r="T1493" s="83"/>
      <c r="U1493" s="83"/>
      <c r="V1493" s="83"/>
      <c r="W1493" s="83"/>
    </row>
    <row r="1494">
      <c r="A1494" s="91"/>
      <c r="B1494" s="91"/>
      <c r="C1494" s="91"/>
      <c r="D1494" s="91"/>
      <c r="E1494" s="91"/>
      <c r="F1494" s="92"/>
      <c r="G1494" s="83"/>
      <c r="H1494" s="83"/>
      <c r="I1494" s="83"/>
      <c r="J1494" s="83"/>
      <c r="K1494" s="83"/>
      <c r="L1494" s="83"/>
      <c r="M1494" s="83"/>
      <c r="N1494" s="83"/>
      <c r="O1494" s="83"/>
      <c r="P1494" s="83"/>
      <c r="Q1494" s="83"/>
      <c r="R1494" s="83"/>
      <c r="S1494" s="83"/>
      <c r="T1494" s="83"/>
      <c r="U1494" s="83"/>
      <c r="V1494" s="83"/>
      <c r="W1494" s="83"/>
    </row>
    <row r="1495">
      <c r="A1495" s="91"/>
      <c r="B1495" s="91"/>
      <c r="C1495" s="91"/>
      <c r="D1495" s="91"/>
      <c r="E1495" s="91"/>
      <c r="F1495" s="92"/>
      <c r="G1495" s="83"/>
      <c r="H1495" s="83"/>
      <c r="I1495" s="83"/>
      <c r="J1495" s="83"/>
      <c r="K1495" s="83"/>
      <c r="L1495" s="83"/>
      <c r="M1495" s="83"/>
      <c r="N1495" s="83"/>
      <c r="O1495" s="83"/>
      <c r="P1495" s="83"/>
      <c r="Q1495" s="83"/>
      <c r="R1495" s="83"/>
      <c r="S1495" s="83"/>
      <c r="T1495" s="83"/>
      <c r="U1495" s="83"/>
      <c r="V1495" s="83"/>
      <c r="W1495" s="83"/>
    </row>
    <row r="1496">
      <c r="A1496" s="91"/>
      <c r="B1496" s="91"/>
      <c r="C1496" s="91"/>
      <c r="D1496" s="91"/>
      <c r="E1496" s="91"/>
      <c r="F1496" s="92"/>
      <c r="G1496" s="83"/>
      <c r="H1496" s="83"/>
      <c r="I1496" s="83"/>
      <c r="J1496" s="83"/>
      <c r="K1496" s="83"/>
      <c r="L1496" s="83"/>
      <c r="M1496" s="83"/>
      <c r="N1496" s="83"/>
      <c r="O1496" s="83"/>
      <c r="P1496" s="83"/>
      <c r="Q1496" s="83"/>
      <c r="R1496" s="83"/>
      <c r="S1496" s="83"/>
      <c r="T1496" s="83"/>
      <c r="U1496" s="83"/>
      <c r="V1496" s="83"/>
      <c r="W1496" s="83"/>
    </row>
    <row r="1497">
      <c r="A1497" s="91"/>
      <c r="B1497" s="91"/>
      <c r="C1497" s="91"/>
      <c r="D1497" s="91"/>
      <c r="E1497" s="91"/>
      <c r="F1497" s="92"/>
      <c r="G1497" s="83"/>
      <c r="H1497" s="83"/>
      <c r="I1497" s="83"/>
      <c r="J1497" s="83"/>
      <c r="K1497" s="83"/>
      <c r="L1497" s="83"/>
      <c r="M1497" s="83"/>
      <c r="N1497" s="83"/>
      <c r="O1497" s="83"/>
      <c r="P1497" s="83"/>
      <c r="Q1497" s="83"/>
      <c r="R1497" s="83"/>
      <c r="S1497" s="83"/>
      <c r="T1497" s="83"/>
      <c r="U1497" s="83"/>
      <c r="V1497" s="83"/>
      <c r="W1497" s="83"/>
    </row>
    <row r="1498">
      <c r="A1498" s="91"/>
      <c r="B1498" s="91"/>
      <c r="C1498" s="91"/>
      <c r="D1498" s="91"/>
      <c r="E1498" s="91"/>
      <c r="F1498" s="92"/>
      <c r="G1498" s="83"/>
      <c r="H1498" s="83"/>
      <c r="I1498" s="83"/>
      <c r="J1498" s="83"/>
      <c r="K1498" s="83"/>
      <c r="L1498" s="83"/>
      <c r="M1498" s="83"/>
      <c r="N1498" s="83"/>
      <c r="O1498" s="83"/>
      <c r="P1498" s="83"/>
      <c r="Q1498" s="83"/>
      <c r="R1498" s="83"/>
      <c r="S1498" s="83"/>
      <c r="T1498" s="83"/>
      <c r="U1498" s="83"/>
      <c r="V1498" s="83"/>
      <c r="W1498" s="83"/>
    </row>
    <row r="1499">
      <c r="A1499" s="91"/>
      <c r="B1499" s="91"/>
      <c r="C1499" s="91"/>
      <c r="D1499" s="91"/>
      <c r="E1499" s="91"/>
      <c r="F1499" s="92"/>
      <c r="G1499" s="83"/>
      <c r="H1499" s="83"/>
      <c r="I1499" s="83"/>
      <c r="J1499" s="83"/>
      <c r="K1499" s="83"/>
      <c r="L1499" s="83"/>
      <c r="M1499" s="83"/>
      <c r="N1499" s="83"/>
      <c r="O1499" s="83"/>
      <c r="P1499" s="83"/>
      <c r="Q1499" s="83"/>
      <c r="R1499" s="83"/>
      <c r="S1499" s="83"/>
      <c r="T1499" s="83"/>
      <c r="U1499" s="83"/>
      <c r="V1499" s="83"/>
      <c r="W1499" s="83"/>
    </row>
    <row r="1500">
      <c r="A1500" s="91"/>
      <c r="B1500" s="91"/>
      <c r="C1500" s="91"/>
      <c r="D1500" s="91"/>
      <c r="E1500" s="91"/>
      <c r="F1500" s="92"/>
      <c r="G1500" s="83"/>
      <c r="H1500" s="83"/>
      <c r="I1500" s="83"/>
      <c r="J1500" s="83"/>
      <c r="K1500" s="83"/>
      <c r="L1500" s="83"/>
      <c r="M1500" s="83"/>
      <c r="N1500" s="83"/>
      <c r="O1500" s="83"/>
      <c r="P1500" s="83"/>
      <c r="Q1500" s="83"/>
      <c r="R1500" s="83"/>
      <c r="S1500" s="83"/>
      <c r="T1500" s="83"/>
      <c r="U1500" s="83"/>
      <c r="V1500" s="83"/>
      <c r="W1500" s="83"/>
    </row>
    <row r="1501">
      <c r="A1501" s="91"/>
      <c r="B1501" s="91"/>
      <c r="C1501" s="91"/>
      <c r="D1501" s="91"/>
      <c r="E1501" s="91"/>
      <c r="F1501" s="92"/>
      <c r="G1501" s="83"/>
      <c r="H1501" s="83"/>
      <c r="I1501" s="83"/>
      <c r="J1501" s="83"/>
      <c r="K1501" s="83"/>
      <c r="L1501" s="83"/>
      <c r="M1501" s="83"/>
      <c r="N1501" s="83"/>
      <c r="O1501" s="83"/>
      <c r="P1501" s="83"/>
      <c r="Q1501" s="83"/>
      <c r="R1501" s="83"/>
      <c r="S1501" s="83"/>
      <c r="T1501" s="83"/>
      <c r="U1501" s="83"/>
      <c r="V1501" s="83"/>
      <c r="W1501" s="83"/>
    </row>
    <row r="1502">
      <c r="A1502" s="91"/>
      <c r="B1502" s="91"/>
      <c r="C1502" s="91"/>
      <c r="D1502" s="91"/>
      <c r="E1502" s="91"/>
      <c r="F1502" s="92"/>
      <c r="G1502" s="83"/>
      <c r="H1502" s="83"/>
      <c r="I1502" s="83"/>
      <c r="J1502" s="83"/>
      <c r="K1502" s="83"/>
      <c r="L1502" s="83"/>
      <c r="M1502" s="83"/>
      <c r="N1502" s="83"/>
      <c r="O1502" s="83"/>
      <c r="P1502" s="83"/>
      <c r="Q1502" s="83"/>
      <c r="R1502" s="83"/>
      <c r="S1502" s="83"/>
      <c r="T1502" s="83"/>
      <c r="U1502" s="83"/>
      <c r="V1502" s="83"/>
      <c r="W1502" s="83"/>
    </row>
    <row r="1503">
      <c r="A1503" s="91"/>
      <c r="B1503" s="91"/>
      <c r="C1503" s="91"/>
      <c r="D1503" s="91"/>
      <c r="E1503" s="91"/>
      <c r="F1503" s="92"/>
      <c r="G1503" s="83"/>
      <c r="H1503" s="83"/>
      <c r="I1503" s="83"/>
      <c r="J1503" s="83"/>
      <c r="K1503" s="83"/>
      <c r="L1503" s="83"/>
      <c r="M1503" s="83"/>
      <c r="N1503" s="83"/>
      <c r="O1503" s="83"/>
      <c r="P1503" s="83"/>
      <c r="Q1503" s="83"/>
      <c r="R1503" s="83"/>
      <c r="S1503" s="83"/>
      <c r="T1503" s="83"/>
      <c r="U1503" s="83"/>
      <c r="V1503" s="83"/>
      <c r="W1503" s="83"/>
    </row>
    <row r="1504">
      <c r="A1504" s="91"/>
      <c r="B1504" s="91"/>
      <c r="C1504" s="91"/>
      <c r="D1504" s="91"/>
      <c r="E1504" s="91"/>
      <c r="F1504" s="92"/>
      <c r="G1504" s="83"/>
      <c r="H1504" s="83"/>
      <c r="I1504" s="83"/>
      <c r="J1504" s="83"/>
      <c r="K1504" s="83"/>
      <c r="L1504" s="83"/>
      <c r="M1504" s="83"/>
      <c r="N1504" s="83"/>
      <c r="O1504" s="83"/>
      <c r="P1504" s="83"/>
      <c r="Q1504" s="83"/>
      <c r="R1504" s="83"/>
      <c r="S1504" s="83"/>
      <c r="T1504" s="83"/>
      <c r="U1504" s="83"/>
      <c r="V1504" s="83"/>
      <c r="W1504" s="83"/>
    </row>
    <row r="1505">
      <c r="A1505" s="91"/>
      <c r="B1505" s="91"/>
      <c r="C1505" s="91"/>
      <c r="D1505" s="91"/>
      <c r="E1505" s="91"/>
      <c r="F1505" s="92"/>
      <c r="G1505" s="83"/>
      <c r="H1505" s="83"/>
      <c r="I1505" s="83"/>
      <c r="J1505" s="83"/>
      <c r="K1505" s="83"/>
      <c r="L1505" s="83"/>
      <c r="M1505" s="83"/>
      <c r="N1505" s="83"/>
      <c r="O1505" s="83"/>
      <c r="P1505" s="83"/>
      <c r="Q1505" s="83"/>
      <c r="R1505" s="83"/>
      <c r="S1505" s="83"/>
      <c r="T1505" s="83"/>
      <c r="U1505" s="83"/>
      <c r="V1505" s="83"/>
      <c r="W1505" s="83"/>
    </row>
    <row r="1506">
      <c r="A1506" s="91"/>
      <c r="B1506" s="91"/>
      <c r="C1506" s="91"/>
      <c r="D1506" s="91"/>
      <c r="E1506" s="91"/>
      <c r="F1506" s="92"/>
      <c r="G1506" s="83"/>
      <c r="H1506" s="83"/>
      <c r="I1506" s="83"/>
      <c r="J1506" s="83"/>
      <c r="K1506" s="83"/>
      <c r="L1506" s="83"/>
      <c r="M1506" s="83"/>
      <c r="N1506" s="83"/>
      <c r="O1506" s="83"/>
      <c r="P1506" s="83"/>
      <c r="Q1506" s="83"/>
      <c r="R1506" s="83"/>
      <c r="S1506" s="83"/>
      <c r="T1506" s="83"/>
      <c r="U1506" s="83"/>
      <c r="V1506" s="83"/>
      <c r="W1506" s="83"/>
    </row>
    <row r="1507">
      <c r="A1507" s="91"/>
      <c r="B1507" s="91"/>
      <c r="C1507" s="91"/>
      <c r="D1507" s="91"/>
      <c r="E1507" s="91"/>
      <c r="F1507" s="92"/>
      <c r="G1507" s="83"/>
      <c r="H1507" s="83"/>
      <c r="I1507" s="83"/>
      <c r="J1507" s="83"/>
      <c r="K1507" s="83"/>
      <c r="L1507" s="83"/>
      <c r="M1507" s="83"/>
      <c r="N1507" s="83"/>
      <c r="O1507" s="83"/>
      <c r="P1507" s="83"/>
      <c r="Q1507" s="83"/>
      <c r="R1507" s="83"/>
      <c r="S1507" s="83"/>
      <c r="T1507" s="83"/>
      <c r="U1507" s="83"/>
      <c r="V1507" s="83"/>
      <c r="W1507" s="83"/>
    </row>
    <row r="1508">
      <c r="A1508" s="91"/>
      <c r="B1508" s="91"/>
      <c r="C1508" s="91"/>
      <c r="D1508" s="91"/>
      <c r="E1508" s="91"/>
      <c r="F1508" s="92"/>
      <c r="G1508" s="83"/>
      <c r="H1508" s="83"/>
      <c r="I1508" s="83"/>
      <c r="J1508" s="83"/>
      <c r="K1508" s="83"/>
      <c r="L1508" s="83"/>
      <c r="M1508" s="83"/>
      <c r="N1508" s="83"/>
      <c r="O1508" s="83"/>
      <c r="P1508" s="83"/>
      <c r="Q1508" s="83"/>
      <c r="R1508" s="83"/>
      <c r="S1508" s="83"/>
      <c r="T1508" s="83"/>
      <c r="U1508" s="83"/>
      <c r="V1508" s="83"/>
      <c r="W1508" s="83"/>
    </row>
    <row r="1509">
      <c r="A1509" s="91"/>
      <c r="B1509" s="91"/>
      <c r="C1509" s="91"/>
      <c r="D1509" s="91"/>
      <c r="E1509" s="91"/>
      <c r="F1509" s="92"/>
      <c r="G1509" s="83"/>
      <c r="H1509" s="83"/>
      <c r="I1509" s="83"/>
      <c r="J1509" s="83"/>
      <c r="K1509" s="83"/>
      <c r="L1509" s="83"/>
      <c r="M1509" s="83"/>
      <c r="N1509" s="83"/>
      <c r="O1509" s="83"/>
      <c r="P1509" s="83"/>
      <c r="Q1509" s="83"/>
      <c r="R1509" s="83"/>
      <c r="S1509" s="83"/>
      <c r="T1509" s="83"/>
      <c r="U1509" s="83"/>
      <c r="V1509" s="83"/>
      <c r="W1509" s="83"/>
    </row>
    <row r="1510">
      <c r="A1510" s="91"/>
      <c r="B1510" s="91"/>
      <c r="C1510" s="91"/>
      <c r="D1510" s="91"/>
      <c r="E1510" s="91"/>
      <c r="F1510" s="92"/>
      <c r="G1510" s="83"/>
      <c r="H1510" s="83"/>
      <c r="I1510" s="83"/>
      <c r="J1510" s="83"/>
      <c r="K1510" s="83"/>
      <c r="L1510" s="83"/>
      <c r="M1510" s="83"/>
      <c r="N1510" s="83"/>
      <c r="O1510" s="83"/>
      <c r="P1510" s="83"/>
      <c r="Q1510" s="83"/>
      <c r="R1510" s="83"/>
      <c r="S1510" s="83"/>
      <c r="T1510" s="83"/>
      <c r="U1510" s="83"/>
      <c r="V1510" s="83"/>
      <c r="W1510" s="83"/>
    </row>
    <row r="1511">
      <c r="A1511" s="91"/>
      <c r="B1511" s="91"/>
      <c r="C1511" s="91"/>
      <c r="D1511" s="91"/>
      <c r="E1511" s="91"/>
      <c r="F1511" s="92"/>
      <c r="G1511" s="83"/>
      <c r="H1511" s="83"/>
      <c r="I1511" s="83"/>
      <c r="J1511" s="83"/>
      <c r="K1511" s="83"/>
      <c r="L1511" s="83"/>
      <c r="M1511" s="83"/>
      <c r="N1511" s="83"/>
      <c r="O1511" s="83"/>
      <c r="P1511" s="83"/>
      <c r="Q1511" s="83"/>
      <c r="R1511" s="83"/>
      <c r="S1511" s="83"/>
      <c r="T1511" s="83"/>
      <c r="U1511" s="83"/>
      <c r="V1511" s="83"/>
      <c r="W1511" s="83"/>
    </row>
    <row r="1512">
      <c r="A1512" s="91"/>
      <c r="B1512" s="91"/>
      <c r="C1512" s="91"/>
      <c r="D1512" s="91"/>
      <c r="E1512" s="91"/>
      <c r="F1512" s="92"/>
      <c r="G1512" s="83"/>
      <c r="H1512" s="83"/>
      <c r="I1512" s="83"/>
      <c r="J1512" s="83"/>
      <c r="K1512" s="83"/>
      <c r="L1512" s="83"/>
      <c r="M1512" s="83"/>
      <c r="N1512" s="83"/>
      <c r="O1512" s="83"/>
      <c r="P1512" s="83"/>
      <c r="Q1512" s="83"/>
      <c r="R1512" s="83"/>
      <c r="S1512" s="83"/>
      <c r="T1512" s="83"/>
      <c r="U1512" s="83"/>
      <c r="V1512" s="83"/>
      <c r="W1512" s="83"/>
    </row>
    <row r="1513">
      <c r="A1513" s="91"/>
      <c r="B1513" s="91"/>
      <c r="C1513" s="91"/>
      <c r="D1513" s="91"/>
      <c r="E1513" s="91"/>
      <c r="F1513" s="92"/>
      <c r="G1513" s="83"/>
      <c r="H1513" s="83"/>
      <c r="I1513" s="83"/>
      <c r="J1513" s="83"/>
      <c r="K1513" s="83"/>
      <c r="L1513" s="83"/>
      <c r="M1513" s="83"/>
      <c r="N1513" s="83"/>
      <c r="O1513" s="83"/>
      <c r="P1513" s="83"/>
      <c r="Q1513" s="83"/>
      <c r="R1513" s="83"/>
      <c r="S1513" s="83"/>
      <c r="T1513" s="83"/>
      <c r="U1513" s="83"/>
      <c r="V1513" s="83"/>
      <c r="W1513" s="83"/>
    </row>
    <row r="1514">
      <c r="A1514" s="91"/>
      <c r="B1514" s="91"/>
      <c r="C1514" s="91"/>
      <c r="D1514" s="91"/>
      <c r="E1514" s="91"/>
      <c r="F1514" s="92"/>
      <c r="G1514" s="83"/>
      <c r="H1514" s="83"/>
      <c r="I1514" s="83"/>
      <c r="J1514" s="83"/>
      <c r="K1514" s="83"/>
      <c r="L1514" s="83"/>
      <c r="M1514" s="83"/>
      <c r="N1514" s="83"/>
      <c r="O1514" s="83"/>
      <c r="P1514" s="83"/>
      <c r="Q1514" s="83"/>
      <c r="R1514" s="83"/>
      <c r="S1514" s="83"/>
      <c r="T1514" s="83"/>
      <c r="U1514" s="83"/>
      <c r="V1514" s="83"/>
      <c r="W1514" s="83"/>
    </row>
    <row r="1515">
      <c r="A1515" s="91"/>
      <c r="B1515" s="91"/>
      <c r="C1515" s="91"/>
      <c r="D1515" s="91"/>
      <c r="E1515" s="91"/>
      <c r="F1515" s="92"/>
      <c r="G1515" s="83"/>
      <c r="H1515" s="83"/>
      <c r="I1515" s="83"/>
      <c r="J1515" s="83"/>
      <c r="K1515" s="83"/>
      <c r="L1515" s="83"/>
      <c r="M1515" s="83"/>
      <c r="N1515" s="83"/>
      <c r="O1515" s="83"/>
      <c r="P1515" s="83"/>
      <c r="Q1515" s="83"/>
      <c r="R1515" s="83"/>
      <c r="S1515" s="83"/>
      <c r="T1515" s="83"/>
      <c r="U1515" s="83"/>
      <c r="V1515" s="83"/>
      <c r="W1515" s="83"/>
    </row>
    <row r="1516">
      <c r="A1516" s="91"/>
      <c r="B1516" s="91"/>
      <c r="C1516" s="91"/>
      <c r="D1516" s="91"/>
      <c r="E1516" s="91"/>
      <c r="F1516" s="92"/>
      <c r="G1516" s="83"/>
      <c r="H1516" s="83"/>
      <c r="I1516" s="83"/>
      <c r="J1516" s="83"/>
      <c r="K1516" s="83"/>
      <c r="L1516" s="83"/>
      <c r="M1516" s="83"/>
      <c r="N1516" s="83"/>
      <c r="O1516" s="83"/>
      <c r="P1516" s="83"/>
      <c r="Q1516" s="83"/>
      <c r="R1516" s="83"/>
      <c r="S1516" s="83"/>
      <c r="T1516" s="83"/>
      <c r="U1516" s="83"/>
      <c r="V1516" s="83"/>
      <c r="W1516" s="83"/>
    </row>
    <row r="1517">
      <c r="A1517" s="91"/>
      <c r="B1517" s="91"/>
      <c r="C1517" s="91"/>
      <c r="D1517" s="91"/>
      <c r="E1517" s="91"/>
      <c r="F1517" s="92"/>
      <c r="G1517" s="83"/>
      <c r="H1517" s="83"/>
      <c r="I1517" s="83"/>
      <c r="J1517" s="83"/>
      <c r="K1517" s="83"/>
      <c r="L1517" s="83"/>
      <c r="M1517" s="83"/>
      <c r="N1517" s="83"/>
      <c r="O1517" s="83"/>
      <c r="P1517" s="83"/>
      <c r="Q1517" s="83"/>
      <c r="R1517" s="83"/>
      <c r="S1517" s="83"/>
      <c r="T1517" s="83"/>
      <c r="U1517" s="83"/>
      <c r="V1517" s="83"/>
      <c r="W1517" s="83"/>
    </row>
    <row r="1518">
      <c r="A1518" s="91"/>
      <c r="B1518" s="91"/>
      <c r="C1518" s="91"/>
      <c r="D1518" s="91"/>
      <c r="E1518" s="91"/>
      <c r="F1518" s="92"/>
      <c r="G1518" s="83"/>
      <c r="H1518" s="83"/>
      <c r="I1518" s="83"/>
      <c r="J1518" s="83"/>
      <c r="K1518" s="83"/>
      <c r="L1518" s="83"/>
      <c r="M1518" s="83"/>
      <c r="N1518" s="83"/>
      <c r="O1518" s="83"/>
      <c r="P1518" s="83"/>
      <c r="Q1518" s="83"/>
      <c r="R1518" s="83"/>
      <c r="S1518" s="83"/>
      <c r="T1518" s="83"/>
      <c r="U1518" s="83"/>
      <c r="V1518" s="83"/>
      <c r="W1518" s="83"/>
    </row>
    <row r="1519">
      <c r="A1519" s="91"/>
      <c r="B1519" s="91"/>
      <c r="C1519" s="91"/>
      <c r="D1519" s="91"/>
      <c r="E1519" s="91"/>
      <c r="F1519" s="92"/>
      <c r="G1519" s="83"/>
      <c r="H1519" s="83"/>
      <c r="I1519" s="83"/>
      <c r="J1519" s="83"/>
      <c r="K1519" s="83"/>
      <c r="L1519" s="83"/>
      <c r="M1519" s="83"/>
      <c r="N1519" s="83"/>
      <c r="O1519" s="83"/>
      <c r="P1519" s="83"/>
      <c r="Q1519" s="83"/>
      <c r="R1519" s="83"/>
      <c r="S1519" s="83"/>
      <c r="T1519" s="83"/>
      <c r="U1519" s="83"/>
      <c r="V1519" s="83"/>
      <c r="W1519" s="83"/>
    </row>
    <row r="1520">
      <c r="A1520" s="91"/>
      <c r="B1520" s="91"/>
      <c r="C1520" s="91"/>
      <c r="D1520" s="91"/>
      <c r="E1520" s="91"/>
      <c r="F1520" s="92"/>
      <c r="G1520" s="83"/>
      <c r="H1520" s="83"/>
      <c r="I1520" s="83"/>
      <c r="J1520" s="83"/>
      <c r="K1520" s="83"/>
      <c r="L1520" s="83"/>
      <c r="M1520" s="83"/>
      <c r="N1520" s="83"/>
      <c r="O1520" s="83"/>
      <c r="P1520" s="83"/>
      <c r="Q1520" s="83"/>
      <c r="R1520" s="83"/>
      <c r="S1520" s="83"/>
      <c r="T1520" s="83"/>
      <c r="U1520" s="83"/>
      <c r="V1520" s="83"/>
      <c r="W1520" s="83"/>
    </row>
    <row r="1521">
      <c r="A1521" s="91"/>
      <c r="B1521" s="91"/>
      <c r="C1521" s="91"/>
      <c r="D1521" s="91"/>
      <c r="E1521" s="91"/>
      <c r="F1521" s="92"/>
      <c r="G1521" s="83"/>
      <c r="H1521" s="83"/>
      <c r="I1521" s="83"/>
      <c r="J1521" s="83"/>
      <c r="K1521" s="83"/>
      <c r="L1521" s="83"/>
      <c r="M1521" s="83"/>
      <c r="N1521" s="83"/>
      <c r="O1521" s="83"/>
      <c r="P1521" s="83"/>
      <c r="Q1521" s="83"/>
      <c r="R1521" s="83"/>
      <c r="S1521" s="83"/>
      <c r="T1521" s="83"/>
      <c r="U1521" s="83"/>
      <c r="V1521" s="83"/>
      <c r="W1521" s="83"/>
    </row>
    <row r="1522">
      <c r="A1522" s="91"/>
      <c r="B1522" s="91"/>
      <c r="C1522" s="91"/>
      <c r="D1522" s="91"/>
      <c r="E1522" s="91"/>
      <c r="F1522" s="92"/>
      <c r="G1522" s="83"/>
      <c r="H1522" s="83"/>
      <c r="I1522" s="83"/>
      <c r="J1522" s="83"/>
      <c r="K1522" s="83"/>
      <c r="L1522" s="83"/>
      <c r="M1522" s="83"/>
      <c r="N1522" s="83"/>
      <c r="O1522" s="83"/>
      <c r="P1522" s="83"/>
      <c r="Q1522" s="83"/>
      <c r="R1522" s="83"/>
      <c r="S1522" s="83"/>
      <c r="T1522" s="83"/>
      <c r="U1522" s="83"/>
      <c r="V1522" s="83"/>
      <c r="W1522" s="83"/>
    </row>
    <row r="1523">
      <c r="A1523" s="91"/>
      <c r="B1523" s="91"/>
      <c r="C1523" s="91"/>
      <c r="D1523" s="91"/>
      <c r="E1523" s="91"/>
      <c r="F1523" s="92"/>
      <c r="G1523" s="83"/>
      <c r="H1523" s="83"/>
      <c r="I1523" s="83"/>
      <c r="J1523" s="83"/>
      <c r="K1523" s="83"/>
      <c r="L1523" s="83"/>
      <c r="M1523" s="83"/>
      <c r="N1523" s="83"/>
      <c r="O1523" s="83"/>
      <c r="P1523" s="83"/>
      <c r="Q1523" s="83"/>
      <c r="R1523" s="83"/>
      <c r="S1523" s="83"/>
      <c r="T1523" s="83"/>
      <c r="U1523" s="83"/>
      <c r="V1523" s="83"/>
      <c r="W1523" s="83"/>
    </row>
    <row r="1524">
      <c r="A1524" s="91"/>
      <c r="B1524" s="91"/>
      <c r="C1524" s="91"/>
      <c r="D1524" s="91"/>
      <c r="E1524" s="91"/>
      <c r="F1524" s="92"/>
      <c r="G1524" s="83"/>
      <c r="H1524" s="83"/>
      <c r="I1524" s="83"/>
      <c r="J1524" s="83"/>
      <c r="K1524" s="83"/>
      <c r="L1524" s="83"/>
      <c r="M1524" s="83"/>
      <c r="N1524" s="83"/>
      <c r="O1524" s="83"/>
      <c r="P1524" s="83"/>
      <c r="Q1524" s="83"/>
      <c r="R1524" s="83"/>
      <c r="S1524" s="83"/>
      <c r="T1524" s="83"/>
      <c r="U1524" s="83"/>
      <c r="V1524" s="83"/>
      <c r="W1524" s="83"/>
    </row>
    <row r="1525">
      <c r="A1525" s="91"/>
      <c r="B1525" s="91"/>
      <c r="C1525" s="91"/>
      <c r="D1525" s="91"/>
      <c r="E1525" s="91"/>
      <c r="F1525" s="92"/>
      <c r="G1525" s="83"/>
      <c r="H1525" s="83"/>
      <c r="I1525" s="83"/>
      <c r="J1525" s="83"/>
      <c r="K1525" s="83"/>
      <c r="L1525" s="83"/>
      <c r="M1525" s="83"/>
      <c r="N1525" s="83"/>
      <c r="O1525" s="83"/>
      <c r="P1525" s="83"/>
      <c r="Q1525" s="83"/>
      <c r="R1525" s="83"/>
      <c r="S1525" s="83"/>
      <c r="T1525" s="83"/>
      <c r="U1525" s="83"/>
      <c r="V1525" s="83"/>
      <c r="W1525" s="83"/>
    </row>
    <row r="1526">
      <c r="A1526" s="91"/>
      <c r="B1526" s="91"/>
      <c r="C1526" s="91"/>
      <c r="D1526" s="91"/>
      <c r="E1526" s="91"/>
      <c r="F1526" s="92"/>
      <c r="G1526" s="83"/>
      <c r="H1526" s="83"/>
      <c r="I1526" s="83"/>
      <c r="J1526" s="83"/>
      <c r="K1526" s="83"/>
      <c r="L1526" s="83"/>
      <c r="M1526" s="83"/>
      <c r="N1526" s="83"/>
      <c r="O1526" s="83"/>
      <c r="P1526" s="83"/>
      <c r="Q1526" s="83"/>
      <c r="R1526" s="83"/>
      <c r="S1526" s="83"/>
      <c r="T1526" s="83"/>
      <c r="U1526" s="83"/>
      <c r="V1526" s="83"/>
      <c r="W1526" s="83"/>
    </row>
    <row r="1527">
      <c r="A1527" s="91"/>
      <c r="B1527" s="91"/>
      <c r="C1527" s="91"/>
      <c r="D1527" s="91"/>
      <c r="E1527" s="91"/>
      <c r="F1527" s="92"/>
      <c r="G1527" s="83"/>
      <c r="H1527" s="83"/>
      <c r="I1527" s="83"/>
      <c r="J1527" s="83"/>
      <c r="K1527" s="83"/>
      <c r="L1527" s="83"/>
      <c r="M1527" s="83"/>
      <c r="N1527" s="83"/>
      <c r="O1527" s="83"/>
      <c r="P1527" s="83"/>
      <c r="Q1527" s="83"/>
      <c r="R1527" s="83"/>
      <c r="S1527" s="83"/>
      <c r="T1527" s="83"/>
      <c r="U1527" s="83"/>
      <c r="V1527" s="83"/>
      <c r="W1527" s="83"/>
    </row>
    <row r="1528">
      <c r="A1528" s="91"/>
      <c r="B1528" s="91"/>
      <c r="C1528" s="91"/>
      <c r="D1528" s="91"/>
      <c r="E1528" s="91"/>
      <c r="F1528" s="92"/>
      <c r="G1528" s="83"/>
      <c r="H1528" s="83"/>
      <c r="I1528" s="83"/>
      <c r="J1528" s="83"/>
      <c r="K1528" s="83"/>
      <c r="L1528" s="83"/>
      <c r="M1528" s="83"/>
      <c r="N1528" s="83"/>
      <c r="O1528" s="83"/>
      <c r="P1528" s="83"/>
      <c r="Q1528" s="83"/>
      <c r="R1528" s="83"/>
      <c r="S1528" s="83"/>
      <c r="T1528" s="83"/>
      <c r="U1528" s="83"/>
      <c r="V1528" s="83"/>
      <c r="W1528" s="83"/>
    </row>
    <row r="1529">
      <c r="A1529" s="91"/>
      <c r="B1529" s="91"/>
      <c r="C1529" s="91"/>
      <c r="D1529" s="91"/>
      <c r="E1529" s="91"/>
      <c r="F1529" s="92"/>
      <c r="G1529" s="83"/>
      <c r="H1529" s="83"/>
      <c r="I1529" s="83"/>
      <c r="J1529" s="83"/>
      <c r="K1529" s="83"/>
      <c r="L1529" s="83"/>
      <c r="M1529" s="83"/>
      <c r="N1529" s="83"/>
      <c r="O1529" s="83"/>
      <c r="P1529" s="83"/>
      <c r="Q1529" s="83"/>
      <c r="R1529" s="83"/>
      <c r="S1529" s="83"/>
      <c r="T1529" s="83"/>
      <c r="U1529" s="83"/>
      <c r="V1529" s="83"/>
      <c r="W1529" s="83"/>
    </row>
    <row r="1530">
      <c r="A1530" s="91"/>
      <c r="B1530" s="91"/>
      <c r="C1530" s="91"/>
      <c r="D1530" s="91"/>
      <c r="E1530" s="91"/>
      <c r="F1530" s="92"/>
      <c r="G1530" s="83"/>
      <c r="H1530" s="83"/>
      <c r="I1530" s="83"/>
      <c r="J1530" s="83"/>
      <c r="K1530" s="83"/>
      <c r="L1530" s="83"/>
      <c r="M1530" s="83"/>
      <c r="N1530" s="83"/>
      <c r="O1530" s="83"/>
      <c r="P1530" s="83"/>
      <c r="Q1530" s="83"/>
      <c r="R1530" s="83"/>
      <c r="S1530" s="83"/>
      <c r="T1530" s="83"/>
      <c r="U1530" s="83"/>
      <c r="V1530" s="83"/>
      <c r="W1530" s="83"/>
    </row>
    <row r="1531">
      <c r="A1531" s="91"/>
      <c r="B1531" s="91"/>
      <c r="C1531" s="91"/>
      <c r="D1531" s="91"/>
      <c r="E1531" s="91"/>
      <c r="F1531" s="92"/>
      <c r="G1531" s="83"/>
      <c r="H1531" s="83"/>
      <c r="I1531" s="83"/>
      <c r="J1531" s="83"/>
      <c r="K1531" s="83"/>
      <c r="L1531" s="83"/>
      <c r="M1531" s="83"/>
      <c r="N1531" s="83"/>
      <c r="O1531" s="83"/>
      <c r="P1531" s="83"/>
      <c r="Q1531" s="83"/>
      <c r="R1531" s="83"/>
      <c r="S1531" s="83"/>
      <c r="T1531" s="83"/>
      <c r="U1531" s="83"/>
      <c r="V1531" s="83"/>
      <c r="W1531" s="83"/>
    </row>
    <row r="1532">
      <c r="A1532" s="91"/>
      <c r="B1532" s="91"/>
      <c r="C1532" s="91"/>
      <c r="D1532" s="91"/>
      <c r="E1532" s="91"/>
      <c r="F1532" s="92"/>
      <c r="G1532" s="83"/>
      <c r="H1532" s="83"/>
      <c r="I1532" s="83"/>
      <c r="J1532" s="83"/>
      <c r="K1532" s="83"/>
      <c r="L1532" s="83"/>
      <c r="M1532" s="83"/>
      <c r="N1532" s="83"/>
      <c r="O1532" s="83"/>
      <c r="P1532" s="83"/>
      <c r="Q1532" s="83"/>
      <c r="R1532" s="83"/>
      <c r="S1532" s="83"/>
      <c r="T1532" s="83"/>
      <c r="U1532" s="83"/>
      <c r="V1532" s="83"/>
      <c r="W1532" s="83"/>
    </row>
    <row r="1533">
      <c r="A1533" s="91"/>
      <c r="B1533" s="91"/>
      <c r="C1533" s="91"/>
      <c r="D1533" s="91"/>
      <c r="E1533" s="91"/>
      <c r="F1533" s="92"/>
      <c r="G1533" s="83"/>
      <c r="H1533" s="83"/>
      <c r="I1533" s="83"/>
      <c r="J1533" s="83"/>
      <c r="K1533" s="83"/>
      <c r="L1533" s="83"/>
      <c r="M1533" s="83"/>
      <c r="N1533" s="83"/>
      <c r="O1533" s="83"/>
      <c r="P1533" s="83"/>
      <c r="Q1533" s="83"/>
      <c r="R1533" s="83"/>
      <c r="S1533" s="83"/>
      <c r="T1533" s="83"/>
      <c r="U1533" s="83"/>
      <c r="V1533" s="83"/>
      <c r="W1533" s="83"/>
    </row>
    <row r="1534">
      <c r="A1534" s="91"/>
      <c r="B1534" s="91"/>
      <c r="C1534" s="91"/>
      <c r="D1534" s="91"/>
      <c r="E1534" s="91"/>
      <c r="F1534" s="92"/>
      <c r="G1534" s="83"/>
      <c r="H1534" s="83"/>
      <c r="I1534" s="83"/>
      <c r="J1534" s="83"/>
      <c r="K1534" s="83"/>
      <c r="L1534" s="83"/>
      <c r="M1534" s="83"/>
      <c r="N1534" s="83"/>
      <c r="O1534" s="83"/>
      <c r="P1534" s="83"/>
      <c r="Q1534" s="83"/>
      <c r="R1534" s="83"/>
      <c r="S1534" s="83"/>
      <c r="T1534" s="83"/>
      <c r="U1534" s="83"/>
      <c r="V1534" s="83"/>
      <c r="W1534" s="83"/>
    </row>
    <row r="1535">
      <c r="A1535" s="91"/>
      <c r="B1535" s="91"/>
      <c r="C1535" s="91"/>
      <c r="D1535" s="91"/>
      <c r="E1535" s="91"/>
      <c r="F1535" s="92"/>
      <c r="G1535" s="83"/>
      <c r="H1535" s="83"/>
      <c r="I1535" s="83"/>
      <c r="J1535" s="83"/>
      <c r="K1535" s="83"/>
      <c r="L1535" s="83"/>
      <c r="M1535" s="83"/>
      <c r="N1535" s="83"/>
      <c r="O1535" s="83"/>
      <c r="P1535" s="83"/>
      <c r="Q1535" s="83"/>
      <c r="R1535" s="83"/>
      <c r="S1535" s="83"/>
      <c r="T1535" s="83"/>
      <c r="U1535" s="83"/>
      <c r="V1535" s="83"/>
      <c r="W1535" s="83"/>
    </row>
    <row r="1536">
      <c r="A1536" s="91"/>
      <c r="B1536" s="91"/>
      <c r="C1536" s="91"/>
      <c r="D1536" s="91"/>
      <c r="E1536" s="91"/>
      <c r="F1536" s="92"/>
      <c r="G1536" s="83"/>
      <c r="H1536" s="83"/>
      <c r="I1536" s="83"/>
      <c r="J1536" s="83"/>
      <c r="K1536" s="83"/>
      <c r="L1536" s="83"/>
      <c r="M1536" s="83"/>
      <c r="N1536" s="83"/>
      <c r="O1536" s="83"/>
      <c r="P1536" s="83"/>
      <c r="Q1536" s="83"/>
      <c r="R1536" s="83"/>
      <c r="S1536" s="83"/>
      <c r="T1536" s="83"/>
      <c r="U1536" s="83"/>
      <c r="V1536" s="83"/>
      <c r="W1536" s="83"/>
    </row>
    <row r="1537">
      <c r="A1537" s="91"/>
      <c r="B1537" s="91"/>
      <c r="C1537" s="91"/>
      <c r="D1537" s="91"/>
      <c r="E1537" s="91"/>
      <c r="F1537" s="92"/>
      <c r="G1537" s="83"/>
      <c r="H1537" s="83"/>
      <c r="I1537" s="83"/>
      <c r="J1537" s="83"/>
      <c r="K1537" s="83"/>
      <c r="L1537" s="83"/>
      <c r="M1537" s="83"/>
      <c r="N1537" s="83"/>
      <c r="O1537" s="83"/>
      <c r="P1537" s="83"/>
      <c r="Q1537" s="83"/>
      <c r="R1537" s="83"/>
      <c r="S1537" s="83"/>
      <c r="T1537" s="83"/>
      <c r="U1537" s="83"/>
      <c r="V1537" s="83"/>
      <c r="W1537" s="83"/>
    </row>
    <row r="1538">
      <c r="A1538" s="91"/>
      <c r="B1538" s="91"/>
      <c r="C1538" s="91"/>
      <c r="D1538" s="91"/>
      <c r="E1538" s="91"/>
      <c r="F1538" s="92"/>
      <c r="G1538" s="83"/>
      <c r="H1538" s="83"/>
      <c r="I1538" s="83"/>
      <c r="J1538" s="83"/>
      <c r="K1538" s="83"/>
      <c r="L1538" s="83"/>
      <c r="M1538" s="83"/>
      <c r="N1538" s="83"/>
      <c r="O1538" s="83"/>
      <c r="P1538" s="83"/>
      <c r="Q1538" s="83"/>
      <c r="R1538" s="83"/>
      <c r="S1538" s="83"/>
      <c r="T1538" s="83"/>
      <c r="U1538" s="83"/>
      <c r="V1538" s="83"/>
      <c r="W1538" s="83"/>
    </row>
    <row r="1539">
      <c r="A1539" s="91"/>
      <c r="B1539" s="91"/>
      <c r="C1539" s="91"/>
      <c r="D1539" s="91"/>
      <c r="E1539" s="91"/>
      <c r="F1539" s="92"/>
      <c r="G1539" s="83"/>
      <c r="H1539" s="83"/>
      <c r="I1539" s="83"/>
      <c r="J1539" s="83"/>
      <c r="K1539" s="83"/>
      <c r="L1539" s="83"/>
      <c r="M1539" s="83"/>
      <c r="N1539" s="83"/>
      <c r="O1539" s="83"/>
      <c r="P1539" s="83"/>
      <c r="Q1539" s="83"/>
      <c r="R1539" s="83"/>
      <c r="S1539" s="83"/>
      <c r="T1539" s="83"/>
      <c r="U1539" s="83"/>
      <c r="V1539" s="83"/>
      <c r="W1539" s="83"/>
    </row>
    <row r="1540">
      <c r="A1540" s="91"/>
      <c r="B1540" s="91"/>
      <c r="C1540" s="91"/>
      <c r="D1540" s="91"/>
      <c r="E1540" s="91"/>
      <c r="F1540" s="92"/>
      <c r="G1540" s="83"/>
      <c r="H1540" s="83"/>
      <c r="I1540" s="83"/>
      <c r="J1540" s="83"/>
      <c r="K1540" s="83"/>
      <c r="L1540" s="83"/>
      <c r="M1540" s="83"/>
      <c r="N1540" s="83"/>
      <c r="O1540" s="83"/>
      <c r="P1540" s="83"/>
      <c r="Q1540" s="83"/>
      <c r="R1540" s="83"/>
      <c r="S1540" s="83"/>
      <c r="T1540" s="83"/>
      <c r="U1540" s="83"/>
      <c r="V1540" s="83"/>
      <c r="W1540" s="83"/>
    </row>
    <row r="1541">
      <c r="A1541" s="91"/>
      <c r="B1541" s="91"/>
      <c r="C1541" s="91"/>
      <c r="D1541" s="91"/>
      <c r="E1541" s="91"/>
      <c r="F1541" s="92"/>
      <c r="G1541" s="83"/>
      <c r="H1541" s="83"/>
      <c r="I1541" s="83"/>
      <c r="J1541" s="83"/>
      <c r="K1541" s="83"/>
      <c r="L1541" s="83"/>
      <c r="M1541" s="83"/>
      <c r="N1541" s="83"/>
      <c r="O1541" s="83"/>
      <c r="P1541" s="83"/>
      <c r="Q1541" s="83"/>
      <c r="R1541" s="83"/>
      <c r="S1541" s="83"/>
      <c r="T1541" s="83"/>
      <c r="U1541" s="83"/>
      <c r="V1541" s="83"/>
      <c r="W1541" s="83"/>
    </row>
    <row r="1542">
      <c r="A1542" s="91"/>
      <c r="B1542" s="91"/>
      <c r="C1542" s="91"/>
      <c r="D1542" s="91"/>
      <c r="E1542" s="91"/>
      <c r="F1542" s="92"/>
      <c r="G1542" s="83"/>
      <c r="H1542" s="83"/>
      <c r="I1542" s="83"/>
      <c r="J1542" s="83"/>
      <c r="K1542" s="83"/>
      <c r="L1542" s="83"/>
      <c r="M1542" s="83"/>
      <c r="N1542" s="83"/>
      <c r="O1542" s="83"/>
      <c r="P1542" s="83"/>
      <c r="Q1542" s="83"/>
      <c r="R1542" s="83"/>
      <c r="S1542" s="83"/>
      <c r="T1542" s="83"/>
      <c r="U1542" s="83"/>
      <c r="V1542" s="83"/>
      <c r="W1542" s="83"/>
    </row>
    <row r="1543">
      <c r="A1543" s="91"/>
      <c r="B1543" s="91"/>
      <c r="C1543" s="91"/>
      <c r="D1543" s="91"/>
      <c r="E1543" s="91"/>
      <c r="F1543" s="92"/>
      <c r="G1543" s="83"/>
      <c r="H1543" s="83"/>
      <c r="I1543" s="83"/>
      <c r="J1543" s="83"/>
      <c r="K1543" s="83"/>
      <c r="L1543" s="83"/>
      <c r="M1543" s="83"/>
      <c r="N1543" s="83"/>
      <c r="O1543" s="83"/>
      <c r="P1543" s="83"/>
      <c r="Q1543" s="83"/>
      <c r="R1543" s="83"/>
      <c r="S1543" s="83"/>
      <c r="T1543" s="83"/>
      <c r="U1543" s="83"/>
      <c r="V1543" s="83"/>
      <c r="W1543" s="83"/>
    </row>
    <row r="1544">
      <c r="A1544" s="91"/>
      <c r="B1544" s="91"/>
      <c r="C1544" s="91"/>
      <c r="D1544" s="91"/>
      <c r="E1544" s="91"/>
      <c r="F1544" s="92"/>
      <c r="G1544" s="83"/>
      <c r="H1544" s="83"/>
      <c r="I1544" s="83"/>
      <c r="J1544" s="83"/>
      <c r="K1544" s="83"/>
      <c r="L1544" s="83"/>
      <c r="M1544" s="83"/>
      <c r="N1544" s="83"/>
      <c r="O1544" s="83"/>
      <c r="P1544" s="83"/>
      <c r="Q1544" s="83"/>
      <c r="R1544" s="83"/>
      <c r="S1544" s="83"/>
      <c r="T1544" s="83"/>
      <c r="U1544" s="83"/>
      <c r="V1544" s="83"/>
      <c r="W1544" s="83"/>
    </row>
    <row r="1545">
      <c r="A1545" s="91"/>
      <c r="B1545" s="91"/>
      <c r="C1545" s="91"/>
      <c r="D1545" s="91"/>
      <c r="E1545" s="91"/>
      <c r="F1545" s="92"/>
      <c r="G1545" s="83"/>
      <c r="H1545" s="83"/>
      <c r="I1545" s="83"/>
      <c r="J1545" s="83"/>
      <c r="K1545" s="83"/>
      <c r="L1545" s="83"/>
      <c r="M1545" s="83"/>
      <c r="N1545" s="83"/>
      <c r="O1545" s="83"/>
      <c r="P1545" s="83"/>
      <c r="Q1545" s="83"/>
      <c r="R1545" s="83"/>
      <c r="S1545" s="83"/>
      <c r="T1545" s="83"/>
      <c r="U1545" s="83"/>
      <c r="V1545" s="83"/>
      <c r="W1545" s="83"/>
    </row>
    <row r="1546">
      <c r="A1546" s="91"/>
      <c r="B1546" s="91"/>
      <c r="C1546" s="91"/>
      <c r="D1546" s="91"/>
      <c r="E1546" s="91"/>
      <c r="F1546" s="92"/>
      <c r="G1546" s="83"/>
      <c r="H1546" s="83"/>
      <c r="I1546" s="83"/>
      <c r="J1546" s="83"/>
      <c r="K1546" s="83"/>
      <c r="L1546" s="83"/>
      <c r="M1546" s="83"/>
      <c r="N1546" s="83"/>
      <c r="O1546" s="83"/>
      <c r="P1546" s="83"/>
      <c r="Q1546" s="83"/>
      <c r="R1546" s="83"/>
      <c r="S1546" s="83"/>
      <c r="T1546" s="83"/>
      <c r="U1546" s="83"/>
      <c r="V1546" s="83"/>
      <c r="W1546" s="83"/>
    </row>
    <row r="1547">
      <c r="A1547" s="91"/>
      <c r="B1547" s="91"/>
      <c r="C1547" s="91"/>
      <c r="D1547" s="91"/>
      <c r="E1547" s="91"/>
      <c r="F1547" s="92"/>
      <c r="G1547" s="83"/>
      <c r="H1547" s="83"/>
      <c r="I1547" s="83"/>
      <c r="J1547" s="83"/>
      <c r="K1547" s="83"/>
      <c r="L1547" s="83"/>
      <c r="M1547" s="83"/>
      <c r="N1547" s="83"/>
      <c r="O1547" s="83"/>
      <c r="P1547" s="83"/>
      <c r="Q1547" s="83"/>
      <c r="R1547" s="83"/>
      <c r="S1547" s="83"/>
      <c r="T1547" s="83"/>
      <c r="U1547" s="83"/>
      <c r="V1547" s="83"/>
      <c r="W1547" s="83"/>
    </row>
    <row r="1548">
      <c r="A1548" s="91"/>
      <c r="B1548" s="91"/>
      <c r="C1548" s="91"/>
      <c r="D1548" s="91"/>
      <c r="E1548" s="91"/>
      <c r="F1548" s="92"/>
      <c r="G1548" s="83"/>
      <c r="H1548" s="83"/>
      <c r="I1548" s="83"/>
      <c r="J1548" s="83"/>
      <c r="K1548" s="83"/>
      <c r="L1548" s="83"/>
      <c r="M1548" s="83"/>
      <c r="N1548" s="83"/>
      <c r="O1548" s="83"/>
      <c r="P1548" s="83"/>
      <c r="Q1548" s="83"/>
      <c r="R1548" s="83"/>
      <c r="S1548" s="83"/>
      <c r="T1548" s="83"/>
      <c r="U1548" s="83"/>
      <c r="V1548" s="83"/>
      <c r="W1548" s="83"/>
    </row>
    <row r="1549">
      <c r="A1549" s="91"/>
      <c r="B1549" s="91"/>
      <c r="C1549" s="91"/>
      <c r="D1549" s="91"/>
      <c r="E1549" s="91"/>
      <c r="F1549" s="92"/>
      <c r="G1549" s="83"/>
      <c r="H1549" s="83"/>
      <c r="I1549" s="83"/>
      <c r="J1549" s="83"/>
      <c r="K1549" s="83"/>
      <c r="L1549" s="83"/>
      <c r="M1549" s="83"/>
      <c r="N1549" s="83"/>
      <c r="O1549" s="83"/>
      <c r="P1549" s="83"/>
      <c r="Q1549" s="83"/>
      <c r="R1549" s="83"/>
      <c r="S1549" s="83"/>
      <c r="T1549" s="83"/>
      <c r="U1549" s="83"/>
      <c r="V1549" s="83"/>
      <c r="W1549" s="83"/>
    </row>
    <row r="1550">
      <c r="A1550" s="91"/>
      <c r="B1550" s="91"/>
      <c r="C1550" s="91"/>
      <c r="D1550" s="91"/>
      <c r="E1550" s="91"/>
      <c r="F1550" s="92"/>
      <c r="G1550" s="83"/>
      <c r="H1550" s="83"/>
      <c r="I1550" s="83"/>
      <c r="J1550" s="83"/>
      <c r="K1550" s="83"/>
      <c r="L1550" s="83"/>
      <c r="M1550" s="83"/>
      <c r="N1550" s="83"/>
      <c r="O1550" s="83"/>
      <c r="P1550" s="83"/>
      <c r="Q1550" s="83"/>
      <c r="R1550" s="83"/>
      <c r="S1550" s="83"/>
      <c r="T1550" s="83"/>
      <c r="U1550" s="83"/>
      <c r="V1550" s="83"/>
      <c r="W1550" s="83"/>
    </row>
    <row r="1551">
      <c r="A1551" s="91"/>
      <c r="B1551" s="91"/>
      <c r="C1551" s="91"/>
      <c r="D1551" s="91"/>
      <c r="E1551" s="91"/>
      <c r="F1551" s="92"/>
      <c r="G1551" s="83"/>
      <c r="H1551" s="83"/>
      <c r="I1551" s="83"/>
      <c r="J1551" s="83"/>
      <c r="K1551" s="83"/>
      <c r="L1551" s="83"/>
      <c r="M1551" s="83"/>
      <c r="N1551" s="83"/>
      <c r="O1551" s="83"/>
      <c r="P1551" s="83"/>
      <c r="Q1551" s="83"/>
      <c r="R1551" s="83"/>
      <c r="S1551" s="83"/>
      <c r="T1551" s="83"/>
      <c r="U1551" s="83"/>
      <c r="V1551" s="83"/>
      <c r="W1551" s="83"/>
    </row>
    <row r="1552">
      <c r="A1552" s="91"/>
      <c r="B1552" s="91"/>
      <c r="C1552" s="91"/>
      <c r="D1552" s="91"/>
      <c r="E1552" s="91"/>
      <c r="F1552" s="92"/>
      <c r="G1552" s="83"/>
      <c r="H1552" s="83"/>
      <c r="I1552" s="83"/>
      <c r="J1552" s="83"/>
      <c r="K1552" s="83"/>
      <c r="L1552" s="83"/>
      <c r="M1552" s="83"/>
      <c r="N1552" s="83"/>
      <c r="O1552" s="83"/>
      <c r="P1552" s="83"/>
      <c r="Q1552" s="83"/>
      <c r="R1552" s="83"/>
      <c r="S1552" s="83"/>
      <c r="T1552" s="83"/>
      <c r="U1552" s="83"/>
      <c r="V1552" s="83"/>
      <c r="W1552" s="83"/>
    </row>
    <row r="1553">
      <c r="A1553" s="91"/>
      <c r="B1553" s="91"/>
      <c r="C1553" s="91"/>
      <c r="D1553" s="91"/>
      <c r="E1553" s="91"/>
      <c r="F1553" s="92"/>
      <c r="G1553" s="83"/>
      <c r="H1553" s="83"/>
      <c r="I1553" s="83"/>
      <c r="J1553" s="83"/>
      <c r="K1553" s="83"/>
      <c r="L1553" s="83"/>
      <c r="M1553" s="83"/>
      <c r="N1553" s="83"/>
      <c r="O1553" s="83"/>
      <c r="P1553" s="83"/>
      <c r="Q1553" s="83"/>
      <c r="R1553" s="83"/>
      <c r="S1553" s="83"/>
      <c r="T1553" s="83"/>
      <c r="U1553" s="83"/>
      <c r="V1553" s="83"/>
      <c r="W1553" s="83"/>
    </row>
    <row r="1554">
      <c r="A1554" s="91"/>
      <c r="B1554" s="91"/>
      <c r="C1554" s="91"/>
      <c r="D1554" s="91"/>
      <c r="E1554" s="91"/>
      <c r="F1554" s="92"/>
      <c r="G1554" s="83"/>
      <c r="H1554" s="83"/>
      <c r="I1554" s="83"/>
      <c r="J1554" s="83"/>
      <c r="K1554" s="83"/>
      <c r="L1554" s="83"/>
      <c r="M1554" s="83"/>
      <c r="N1554" s="83"/>
      <c r="O1554" s="83"/>
      <c r="P1554" s="83"/>
      <c r="Q1554" s="83"/>
      <c r="R1554" s="83"/>
      <c r="S1554" s="83"/>
      <c r="T1554" s="83"/>
      <c r="U1554" s="83"/>
      <c r="V1554" s="83"/>
      <c r="W1554" s="83"/>
    </row>
    <row r="1555">
      <c r="A1555" s="91"/>
      <c r="B1555" s="91"/>
      <c r="C1555" s="91"/>
      <c r="D1555" s="91"/>
      <c r="E1555" s="91"/>
      <c r="F1555" s="92"/>
      <c r="G1555" s="83"/>
      <c r="H1555" s="83"/>
      <c r="I1555" s="83"/>
      <c r="J1555" s="83"/>
      <c r="K1555" s="83"/>
      <c r="L1555" s="83"/>
      <c r="M1555" s="83"/>
      <c r="N1555" s="83"/>
      <c r="O1555" s="83"/>
      <c r="P1555" s="83"/>
      <c r="Q1555" s="83"/>
      <c r="R1555" s="83"/>
      <c r="S1555" s="83"/>
      <c r="T1555" s="83"/>
      <c r="U1555" s="83"/>
      <c r="V1555" s="83"/>
      <c r="W1555" s="83"/>
    </row>
    <row r="1556">
      <c r="A1556" s="91"/>
      <c r="B1556" s="91"/>
      <c r="C1556" s="91"/>
      <c r="D1556" s="91"/>
      <c r="E1556" s="91"/>
      <c r="F1556" s="92"/>
      <c r="G1556" s="83"/>
      <c r="H1556" s="83"/>
      <c r="I1556" s="83"/>
      <c r="J1556" s="83"/>
      <c r="K1556" s="83"/>
      <c r="L1556" s="83"/>
      <c r="M1556" s="83"/>
      <c r="N1556" s="83"/>
      <c r="O1556" s="83"/>
      <c r="P1556" s="83"/>
      <c r="Q1556" s="83"/>
      <c r="R1556" s="83"/>
      <c r="S1556" s="83"/>
      <c r="T1556" s="83"/>
      <c r="U1556" s="83"/>
      <c r="V1556" s="83"/>
      <c r="W1556" s="83"/>
    </row>
    <row r="1557">
      <c r="A1557" s="91"/>
      <c r="B1557" s="91"/>
      <c r="C1557" s="91"/>
      <c r="D1557" s="91"/>
      <c r="E1557" s="91"/>
      <c r="F1557" s="92"/>
      <c r="G1557" s="83"/>
      <c r="H1557" s="83"/>
      <c r="I1557" s="83"/>
      <c r="J1557" s="83"/>
      <c r="K1557" s="83"/>
      <c r="L1557" s="83"/>
      <c r="M1557" s="83"/>
      <c r="N1557" s="83"/>
      <c r="O1557" s="83"/>
      <c r="P1557" s="83"/>
      <c r="Q1557" s="83"/>
      <c r="R1557" s="83"/>
      <c r="S1557" s="83"/>
      <c r="T1557" s="83"/>
      <c r="U1557" s="83"/>
      <c r="V1557" s="83"/>
      <c r="W1557" s="83"/>
    </row>
    <row r="1558">
      <c r="A1558" s="91"/>
      <c r="B1558" s="91"/>
      <c r="C1558" s="91"/>
      <c r="D1558" s="91"/>
      <c r="E1558" s="91"/>
      <c r="F1558" s="92"/>
      <c r="G1558" s="83"/>
      <c r="H1558" s="83"/>
      <c r="I1558" s="83"/>
      <c r="J1558" s="83"/>
      <c r="K1558" s="83"/>
      <c r="L1558" s="83"/>
      <c r="M1558" s="83"/>
      <c r="N1558" s="83"/>
      <c r="O1558" s="83"/>
      <c r="P1558" s="83"/>
      <c r="Q1558" s="83"/>
      <c r="R1558" s="83"/>
      <c r="S1558" s="83"/>
      <c r="T1558" s="83"/>
      <c r="U1558" s="83"/>
      <c r="V1558" s="83"/>
      <c r="W1558" s="83"/>
    </row>
    <row r="1559">
      <c r="A1559" s="91"/>
      <c r="B1559" s="91"/>
      <c r="C1559" s="91"/>
      <c r="D1559" s="91"/>
      <c r="E1559" s="91"/>
      <c r="F1559" s="92"/>
      <c r="G1559" s="83"/>
      <c r="H1559" s="83"/>
      <c r="I1559" s="83"/>
      <c r="J1559" s="83"/>
      <c r="K1559" s="83"/>
      <c r="L1559" s="83"/>
      <c r="M1559" s="83"/>
      <c r="N1559" s="83"/>
      <c r="O1559" s="83"/>
      <c r="P1559" s="83"/>
      <c r="Q1559" s="83"/>
      <c r="R1559" s="83"/>
      <c r="S1559" s="83"/>
      <c r="T1559" s="83"/>
      <c r="U1559" s="83"/>
      <c r="V1559" s="83"/>
      <c r="W1559" s="83"/>
    </row>
    <row r="1560">
      <c r="A1560" s="91"/>
      <c r="B1560" s="91"/>
      <c r="C1560" s="91"/>
      <c r="D1560" s="91"/>
      <c r="E1560" s="91"/>
      <c r="F1560" s="92"/>
      <c r="G1560" s="83"/>
      <c r="H1560" s="83"/>
      <c r="I1560" s="83"/>
      <c r="J1560" s="83"/>
      <c r="K1560" s="83"/>
      <c r="L1560" s="83"/>
      <c r="M1560" s="83"/>
      <c r="N1560" s="83"/>
      <c r="O1560" s="83"/>
      <c r="P1560" s="83"/>
      <c r="Q1560" s="83"/>
      <c r="R1560" s="83"/>
      <c r="S1560" s="83"/>
      <c r="T1560" s="83"/>
      <c r="U1560" s="83"/>
      <c r="V1560" s="83"/>
      <c r="W1560" s="83"/>
    </row>
    <row r="1561">
      <c r="A1561" s="91"/>
      <c r="B1561" s="91"/>
      <c r="C1561" s="91"/>
      <c r="D1561" s="91"/>
      <c r="E1561" s="91"/>
      <c r="F1561" s="92"/>
      <c r="G1561" s="83"/>
      <c r="H1561" s="83"/>
      <c r="I1561" s="83"/>
      <c r="J1561" s="83"/>
      <c r="K1561" s="83"/>
      <c r="L1561" s="83"/>
      <c r="M1561" s="83"/>
      <c r="N1561" s="83"/>
      <c r="O1561" s="83"/>
      <c r="P1561" s="83"/>
      <c r="Q1561" s="83"/>
      <c r="R1561" s="83"/>
      <c r="S1561" s="83"/>
      <c r="T1561" s="83"/>
      <c r="U1561" s="83"/>
      <c r="V1561" s="83"/>
      <c r="W1561" s="83"/>
    </row>
    <row r="1562">
      <c r="A1562" s="91"/>
      <c r="B1562" s="91"/>
      <c r="C1562" s="91"/>
      <c r="D1562" s="91"/>
      <c r="E1562" s="91"/>
      <c r="F1562" s="92"/>
      <c r="G1562" s="83"/>
      <c r="H1562" s="83"/>
      <c r="I1562" s="83"/>
      <c r="J1562" s="83"/>
      <c r="K1562" s="83"/>
      <c r="L1562" s="83"/>
      <c r="M1562" s="83"/>
      <c r="N1562" s="83"/>
      <c r="O1562" s="83"/>
      <c r="P1562" s="83"/>
      <c r="Q1562" s="83"/>
      <c r="R1562" s="83"/>
      <c r="S1562" s="83"/>
      <c r="T1562" s="83"/>
      <c r="U1562" s="83"/>
      <c r="V1562" s="83"/>
      <c r="W1562" s="83"/>
    </row>
    <row r="1563">
      <c r="A1563" s="91"/>
      <c r="B1563" s="91"/>
      <c r="C1563" s="91"/>
      <c r="D1563" s="91"/>
      <c r="E1563" s="91"/>
      <c r="F1563" s="92"/>
      <c r="G1563" s="83"/>
      <c r="H1563" s="83"/>
      <c r="I1563" s="83"/>
      <c r="J1563" s="83"/>
      <c r="K1563" s="83"/>
      <c r="L1563" s="83"/>
      <c r="M1563" s="83"/>
      <c r="N1563" s="83"/>
      <c r="O1563" s="83"/>
      <c r="P1563" s="83"/>
      <c r="Q1563" s="83"/>
      <c r="R1563" s="83"/>
      <c r="S1563" s="83"/>
      <c r="T1563" s="83"/>
      <c r="U1563" s="83"/>
      <c r="V1563" s="83"/>
      <c r="W1563" s="83"/>
    </row>
    <row r="1564">
      <c r="A1564" s="91"/>
      <c r="B1564" s="91"/>
      <c r="C1564" s="91"/>
      <c r="D1564" s="91"/>
      <c r="E1564" s="91"/>
      <c r="F1564" s="92"/>
      <c r="G1564" s="83"/>
      <c r="H1564" s="83"/>
      <c r="I1564" s="83"/>
      <c r="J1564" s="83"/>
      <c r="K1564" s="83"/>
      <c r="L1564" s="83"/>
      <c r="M1564" s="83"/>
      <c r="N1564" s="83"/>
      <c r="O1564" s="83"/>
      <c r="P1564" s="83"/>
      <c r="Q1564" s="83"/>
      <c r="R1564" s="83"/>
      <c r="S1564" s="83"/>
      <c r="T1564" s="83"/>
      <c r="U1564" s="83"/>
      <c r="V1564" s="83"/>
      <c r="W1564" s="83"/>
    </row>
    <row r="1565">
      <c r="A1565" s="91"/>
      <c r="B1565" s="91"/>
      <c r="C1565" s="91"/>
      <c r="D1565" s="91"/>
      <c r="E1565" s="91"/>
      <c r="F1565" s="92"/>
      <c r="G1565" s="83"/>
      <c r="H1565" s="83"/>
      <c r="I1565" s="83"/>
      <c r="J1565" s="83"/>
      <c r="K1565" s="83"/>
      <c r="L1565" s="83"/>
      <c r="M1565" s="83"/>
      <c r="N1565" s="83"/>
      <c r="O1565" s="83"/>
      <c r="P1565" s="83"/>
      <c r="Q1565" s="83"/>
      <c r="R1565" s="83"/>
      <c r="S1565" s="83"/>
      <c r="T1565" s="83"/>
      <c r="U1565" s="83"/>
      <c r="V1565" s="83"/>
      <c r="W1565" s="83"/>
    </row>
    <row r="1566">
      <c r="A1566" s="91"/>
      <c r="B1566" s="91"/>
      <c r="C1566" s="91"/>
      <c r="D1566" s="91"/>
      <c r="E1566" s="91"/>
      <c r="F1566" s="92"/>
      <c r="G1566" s="83"/>
      <c r="H1566" s="83"/>
      <c r="I1566" s="83"/>
      <c r="J1566" s="83"/>
      <c r="K1566" s="83"/>
      <c r="L1566" s="83"/>
      <c r="M1566" s="83"/>
      <c r="N1566" s="83"/>
      <c r="O1566" s="83"/>
      <c r="P1566" s="83"/>
      <c r="Q1566" s="83"/>
      <c r="R1566" s="83"/>
      <c r="S1566" s="83"/>
      <c r="T1566" s="83"/>
      <c r="U1566" s="83"/>
      <c r="V1566" s="83"/>
      <c r="W1566" s="83"/>
    </row>
    <row r="1567">
      <c r="A1567" s="91"/>
      <c r="B1567" s="91"/>
      <c r="C1567" s="91"/>
      <c r="D1567" s="91"/>
      <c r="E1567" s="91"/>
      <c r="F1567" s="92"/>
      <c r="G1567" s="83"/>
      <c r="H1567" s="83"/>
      <c r="I1567" s="83"/>
      <c r="J1567" s="83"/>
      <c r="K1567" s="83"/>
      <c r="L1567" s="83"/>
      <c r="M1567" s="83"/>
      <c r="N1567" s="83"/>
      <c r="O1567" s="83"/>
      <c r="P1567" s="83"/>
      <c r="Q1567" s="83"/>
      <c r="R1567" s="83"/>
      <c r="S1567" s="83"/>
      <c r="T1567" s="83"/>
      <c r="U1567" s="83"/>
      <c r="V1567" s="83"/>
      <c r="W1567" s="83"/>
    </row>
    <row r="1568">
      <c r="A1568" s="91"/>
      <c r="B1568" s="91"/>
      <c r="C1568" s="91"/>
      <c r="D1568" s="91"/>
      <c r="E1568" s="91"/>
      <c r="F1568" s="92"/>
      <c r="G1568" s="83"/>
      <c r="H1568" s="83"/>
      <c r="I1568" s="83"/>
      <c r="J1568" s="83"/>
      <c r="K1568" s="83"/>
      <c r="L1568" s="83"/>
      <c r="M1568" s="83"/>
      <c r="N1568" s="83"/>
      <c r="O1568" s="83"/>
      <c r="P1568" s="83"/>
      <c r="Q1568" s="83"/>
      <c r="R1568" s="83"/>
      <c r="S1568" s="83"/>
      <c r="T1568" s="83"/>
      <c r="U1568" s="83"/>
      <c r="V1568" s="83"/>
      <c r="W1568" s="83"/>
    </row>
    <row r="1569">
      <c r="A1569" s="91"/>
      <c r="B1569" s="91"/>
      <c r="C1569" s="91"/>
      <c r="D1569" s="91"/>
      <c r="E1569" s="91"/>
      <c r="F1569" s="92"/>
      <c r="G1569" s="83"/>
      <c r="H1569" s="83"/>
      <c r="I1569" s="83"/>
      <c r="J1569" s="83"/>
      <c r="K1569" s="83"/>
      <c r="L1569" s="83"/>
      <c r="M1569" s="83"/>
      <c r="N1569" s="83"/>
      <c r="O1569" s="83"/>
      <c r="P1569" s="83"/>
      <c r="Q1569" s="83"/>
      <c r="R1569" s="83"/>
      <c r="S1569" s="83"/>
      <c r="T1569" s="83"/>
      <c r="U1569" s="83"/>
      <c r="V1569" s="83"/>
      <c r="W1569" s="83"/>
    </row>
    <row r="1570">
      <c r="A1570" s="91"/>
      <c r="B1570" s="91"/>
      <c r="C1570" s="91"/>
      <c r="D1570" s="91"/>
      <c r="E1570" s="91"/>
      <c r="F1570" s="92"/>
      <c r="G1570" s="83"/>
      <c r="H1570" s="83"/>
      <c r="I1570" s="83"/>
      <c r="J1570" s="83"/>
      <c r="K1570" s="83"/>
      <c r="L1570" s="83"/>
      <c r="M1570" s="83"/>
      <c r="N1570" s="83"/>
      <c r="O1570" s="83"/>
      <c r="P1570" s="83"/>
      <c r="Q1570" s="83"/>
      <c r="R1570" s="83"/>
      <c r="S1570" s="83"/>
      <c r="T1570" s="83"/>
      <c r="U1570" s="83"/>
      <c r="V1570" s="83"/>
      <c r="W1570" s="83"/>
    </row>
    <row r="1571">
      <c r="A1571" s="91"/>
      <c r="B1571" s="91"/>
      <c r="C1571" s="91"/>
      <c r="D1571" s="91"/>
      <c r="E1571" s="91"/>
      <c r="F1571" s="92"/>
      <c r="G1571" s="83"/>
      <c r="H1571" s="83"/>
      <c r="I1571" s="83"/>
      <c r="J1571" s="83"/>
      <c r="K1571" s="83"/>
      <c r="L1571" s="83"/>
      <c r="M1571" s="83"/>
      <c r="N1571" s="83"/>
      <c r="O1571" s="83"/>
      <c r="P1571" s="83"/>
      <c r="Q1571" s="83"/>
      <c r="R1571" s="83"/>
      <c r="S1571" s="83"/>
      <c r="T1571" s="83"/>
      <c r="U1571" s="83"/>
      <c r="V1571" s="83"/>
      <c r="W1571" s="83"/>
    </row>
    <row r="1572">
      <c r="A1572" s="91"/>
      <c r="B1572" s="91"/>
      <c r="C1572" s="91"/>
      <c r="D1572" s="91"/>
      <c r="E1572" s="91"/>
      <c r="F1572" s="92"/>
      <c r="G1572" s="83"/>
      <c r="H1572" s="83"/>
      <c r="I1572" s="83"/>
      <c r="J1572" s="83"/>
      <c r="K1572" s="83"/>
      <c r="L1572" s="83"/>
      <c r="M1572" s="83"/>
      <c r="N1572" s="83"/>
      <c r="O1572" s="83"/>
      <c r="P1572" s="83"/>
      <c r="Q1572" s="83"/>
      <c r="R1572" s="83"/>
      <c r="S1572" s="83"/>
      <c r="T1572" s="83"/>
      <c r="U1572" s="83"/>
      <c r="V1572" s="83"/>
      <c r="W1572" s="83"/>
    </row>
    <row r="1573">
      <c r="A1573" s="91"/>
      <c r="B1573" s="91"/>
      <c r="C1573" s="91"/>
      <c r="D1573" s="91"/>
      <c r="E1573" s="91"/>
      <c r="F1573" s="92"/>
      <c r="G1573" s="83"/>
      <c r="H1573" s="83"/>
      <c r="I1573" s="83"/>
      <c r="J1573" s="83"/>
      <c r="K1573" s="83"/>
      <c r="L1573" s="83"/>
      <c r="M1573" s="83"/>
      <c r="N1573" s="83"/>
      <c r="O1573" s="83"/>
      <c r="P1573" s="83"/>
      <c r="Q1573" s="83"/>
      <c r="R1573" s="83"/>
      <c r="S1573" s="83"/>
      <c r="T1573" s="83"/>
      <c r="U1573" s="83"/>
      <c r="V1573" s="83"/>
      <c r="W1573" s="83"/>
    </row>
    <row r="1574">
      <c r="A1574" s="91"/>
      <c r="B1574" s="91"/>
      <c r="C1574" s="91"/>
      <c r="D1574" s="91"/>
      <c r="E1574" s="91"/>
      <c r="F1574" s="92"/>
      <c r="G1574" s="83"/>
      <c r="H1574" s="83"/>
      <c r="I1574" s="83"/>
      <c r="J1574" s="83"/>
      <c r="K1574" s="83"/>
      <c r="L1574" s="83"/>
      <c r="M1574" s="83"/>
      <c r="N1574" s="83"/>
      <c r="O1574" s="83"/>
      <c r="P1574" s="83"/>
      <c r="Q1574" s="83"/>
      <c r="R1574" s="83"/>
      <c r="S1574" s="83"/>
      <c r="T1574" s="83"/>
      <c r="U1574" s="83"/>
      <c r="V1574" s="83"/>
      <c r="W1574" s="83"/>
    </row>
    <row r="1575">
      <c r="A1575" s="91"/>
      <c r="B1575" s="91"/>
      <c r="C1575" s="91"/>
      <c r="D1575" s="91"/>
      <c r="E1575" s="91"/>
      <c r="F1575" s="92"/>
      <c r="G1575" s="83"/>
      <c r="H1575" s="83"/>
      <c r="I1575" s="83"/>
      <c r="J1575" s="83"/>
      <c r="K1575" s="83"/>
      <c r="L1575" s="83"/>
      <c r="M1575" s="83"/>
      <c r="N1575" s="83"/>
      <c r="O1575" s="83"/>
      <c r="P1575" s="83"/>
      <c r="Q1575" s="83"/>
      <c r="R1575" s="83"/>
      <c r="S1575" s="83"/>
      <c r="T1575" s="83"/>
      <c r="U1575" s="83"/>
      <c r="V1575" s="83"/>
      <c r="W1575" s="83"/>
    </row>
    <row r="1576">
      <c r="A1576" s="91"/>
      <c r="B1576" s="91"/>
      <c r="C1576" s="91"/>
      <c r="D1576" s="91"/>
      <c r="E1576" s="91"/>
      <c r="F1576" s="92"/>
      <c r="G1576" s="83"/>
      <c r="H1576" s="83"/>
      <c r="I1576" s="83"/>
      <c r="J1576" s="83"/>
      <c r="K1576" s="83"/>
      <c r="L1576" s="83"/>
      <c r="M1576" s="83"/>
      <c r="N1576" s="83"/>
      <c r="O1576" s="83"/>
      <c r="P1576" s="83"/>
      <c r="Q1576" s="83"/>
      <c r="R1576" s="83"/>
      <c r="S1576" s="83"/>
      <c r="T1576" s="83"/>
      <c r="U1576" s="83"/>
      <c r="V1576" s="83"/>
      <c r="W1576" s="83"/>
    </row>
    <row r="1577">
      <c r="A1577" s="91"/>
      <c r="B1577" s="91"/>
      <c r="C1577" s="91"/>
      <c r="D1577" s="91"/>
      <c r="E1577" s="91"/>
      <c r="F1577" s="92"/>
      <c r="G1577" s="83"/>
      <c r="H1577" s="83"/>
      <c r="I1577" s="83"/>
      <c r="J1577" s="83"/>
      <c r="K1577" s="83"/>
      <c r="L1577" s="83"/>
      <c r="M1577" s="83"/>
      <c r="N1577" s="83"/>
      <c r="O1577" s="83"/>
      <c r="P1577" s="83"/>
      <c r="Q1577" s="83"/>
      <c r="R1577" s="83"/>
      <c r="S1577" s="83"/>
      <c r="T1577" s="83"/>
      <c r="U1577" s="83"/>
      <c r="V1577" s="83"/>
      <c r="W1577" s="83"/>
    </row>
    <row r="1578">
      <c r="A1578" s="91"/>
      <c r="B1578" s="91"/>
      <c r="C1578" s="91"/>
      <c r="D1578" s="91"/>
      <c r="E1578" s="91"/>
      <c r="F1578" s="92"/>
      <c r="G1578" s="83"/>
      <c r="H1578" s="83"/>
      <c r="I1578" s="83"/>
      <c r="J1578" s="83"/>
      <c r="K1578" s="83"/>
      <c r="L1578" s="83"/>
      <c r="M1578" s="83"/>
      <c r="N1578" s="83"/>
      <c r="O1578" s="83"/>
      <c r="P1578" s="83"/>
      <c r="Q1578" s="83"/>
      <c r="R1578" s="83"/>
      <c r="S1578" s="83"/>
      <c r="T1578" s="83"/>
      <c r="U1578" s="83"/>
      <c r="V1578" s="83"/>
      <c r="W1578" s="83"/>
    </row>
    <row r="1579">
      <c r="A1579" s="91"/>
      <c r="B1579" s="91"/>
      <c r="C1579" s="91"/>
      <c r="D1579" s="91"/>
      <c r="E1579" s="91"/>
      <c r="F1579" s="92"/>
      <c r="G1579" s="83"/>
      <c r="H1579" s="83"/>
      <c r="I1579" s="83"/>
      <c r="J1579" s="83"/>
      <c r="K1579" s="83"/>
      <c r="L1579" s="83"/>
      <c r="M1579" s="83"/>
      <c r="N1579" s="83"/>
      <c r="O1579" s="83"/>
      <c r="P1579" s="83"/>
      <c r="Q1579" s="83"/>
      <c r="R1579" s="83"/>
      <c r="S1579" s="83"/>
      <c r="T1579" s="83"/>
      <c r="U1579" s="83"/>
      <c r="V1579" s="83"/>
      <c r="W1579" s="83"/>
    </row>
    <row r="1580">
      <c r="A1580" s="91"/>
      <c r="B1580" s="91"/>
      <c r="C1580" s="91"/>
      <c r="D1580" s="91"/>
      <c r="E1580" s="91"/>
      <c r="F1580" s="92"/>
      <c r="G1580" s="83"/>
      <c r="H1580" s="83"/>
      <c r="I1580" s="83"/>
      <c r="J1580" s="83"/>
      <c r="K1580" s="83"/>
      <c r="L1580" s="83"/>
      <c r="M1580" s="83"/>
      <c r="N1580" s="83"/>
      <c r="O1580" s="83"/>
      <c r="P1580" s="83"/>
      <c r="Q1580" s="83"/>
      <c r="R1580" s="83"/>
      <c r="S1580" s="83"/>
      <c r="T1580" s="83"/>
      <c r="U1580" s="83"/>
      <c r="V1580" s="83"/>
      <c r="W1580" s="83"/>
    </row>
    <row r="1581">
      <c r="A1581" s="91"/>
      <c r="B1581" s="91"/>
      <c r="C1581" s="91"/>
      <c r="D1581" s="91"/>
      <c r="E1581" s="91"/>
      <c r="F1581" s="92"/>
      <c r="G1581" s="83"/>
      <c r="H1581" s="83"/>
      <c r="I1581" s="83"/>
      <c r="J1581" s="83"/>
      <c r="K1581" s="83"/>
      <c r="L1581" s="83"/>
      <c r="M1581" s="83"/>
      <c r="N1581" s="83"/>
      <c r="O1581" s="83"/>
      <c r="P1581" s="83"/>
      <c r="Q1581" s="83"/>
      <c r="R1581" s="83"/>
      <c r="S1581" s="83"/>
      <c r="T1581" s="83"/>
      <c r="U1581" s="83"/>
      <c r="V1581" s="83"/>
      <c r="W1581" s="83"/>
    </row>
    <row r="1582">
      <c r="A1582" s="91"/>
      <c r="B1582" s="91"/>
      <c r="C1582" s="91"/>
      <c r="D1582" s="91"/>
      <c r="E1582" s="91"/>
      <c r="F1582" s="92"/>
      <c r="G1582" s="83"/>
      <c r="H1582" s="83"/>
      <c r="I1582" s="83"/>
      <c r="J1582" s="83"/>
      <c r="K1582" s="83"/>
      <c r="L1582" s="83"/>
      <c r="M1582" s="83"/>
      <c r="N1582" s="83"/>
      <c r="O1582" s="83"/>
      <c r="P1582" s="83"/>
      <c r="Q1582" s="83"/>
      <c r="R1582" s="83"/>
      <c r="S1582" s="83"/>
      <c r="T1582" s="83"/>
      <c r="U1582" s="83"/>
      <c r="V1582" s="83"/>
      <c r="W1582" s="83"/>
    </row>
    <row r="1583">
      <c r="A1583" s="91"/>
      <c r="B1583" s="91"/>
      <c r="C1583" s="91"/>
      <c r="D1583" s="91"/>
      <c r="E1583" s="91"/>
      <c r="F1583" s="92"/>
      <c r="G1583" s="83"/>
      <c r="H1583" s="83"/>
      <c r="I1583" s="83"/>
      <c r="J1583" s="83"/>
      <c r="K1583" s="83"/>
      <c r="L1583" s="83"/>
      <c r="M1583" s="83"/>
      <c r="N1583" s="83"/>
      <c r="O1583" s="83"/>
      <c r="P1583" s="83"/>
      <c r="Q1583" s="83"/>
      <c r="R1583" s="83"/>
      <c r="S1583" s="83"/>
      <c r="T1583" s="83"/>
      <c r="U1583" s="83"/>
      <c r="V1583" s="83"/>
      <c r="W1583" s="83"/>
    </row>
    <row r="1584">
      <c r="A1584" s="91"/>
      <c r="B1584" s="91"/>
      <c r="C1584" s="91"/>
      <c r="D1584" s="91"/>
      <c r="E1584" s="91"/>
      <c r="F1584" s="92"/>
      <c r="G1584" s="83"/>
      <c r="H1584" s="83"/>
      <c r="I1584" s="83"/>
      <c r="J1584" s="83"/>
      <c r="K1584" s="83"/>
      <c r="L1584" s="83"/>
      <c r="M1584" s="83"/>
      <c r="N1584" s="83"/>
      <c r="O1584" s="83"/>
      <c r="P1584" s="83"/>
      <c r="Q1584" s="83"/>
      <c r="R1584" s="83"/>
      <c r="S1584" s="83"/>
      <c r="T1584" s="83"/>
      <c r="U1584" s="83"/>
      <c r="V1584" s="83"/>
      <c r="W1584" s="83"/>
    </row>
    <row r="1585">
      <c r="A1585" s="91"/>
      <c r="B1585" s="91"/>
      <c r="C1585" s="91"/>
      <c r="D1585" s="91"/>
      <c r="E1585" s="91"/>
      <c r="F1585" s="92"/>
      <c r="G1585" s="83"/>
      <c r="H1585" s="83"/>
      <c r="I1585" s="83"/>
      <c r="J1585" s="83"/>
      <c r="K1585" s="83"/>
      <c r="L1585" s="83"/>
      <c r="M1585" s="83"/>
      <c r="N1585" s="83"/>
      <c r="O1585" s="83"/>
      <c r="P1585" s="83"/>
      <c r="Q1585" s="83"/>
      <c r="R1585" s="83"/>
      <c r="S1585" s="83"/>
      <c r="T1585" s="83"/>
      <c r="U1585" s="83"/>
      <c r="V1585" s="83"/>
      <c r="W1585" s="83"/>
    </row>
    <row r="1586">
      <c r="A1586" s="91"/>
      <c r="B1586" s="91"/>
      <c r="C1586" s="91"/>
      <c r="D1586" s="91"/>
      <c r="E1586" s="91"/>
      <c r="F1586" s="92"/>
      <c r="G1586" s="83"/>
      <c r="H1586" s="83"/>
      <c r="I1586" s="83"/>
      <c r="J1586" s="83"/>
      <c r="K1586" s="83"/>
      <c r="L1586" s="83"/>
      <c r="M1586" s="83"/>
      <c r="N1586" s="83"/>
      <c r="O1586" s="83"/>
      <c r="P1586" s="83"/>
      <c r="Q1586" s="83"/>
      <c r="R1586" s="83"/>
      <c r="S1586" s="83"/>
      <c r="T1586" s="83"/>
      <c r="U1586" s="83"/>
      <c r="V1586" s="83"/>
      <c r="W1586" s="83"/>
    </row>
    <row r="1587">
      <c r="A1587" s="91"/>
      <c r="B1587" s="91"/>
      <c r="C1587" s="91"/>
      <c r="D1587" s="91"/>
      <c r="E1587" s="91"/>
      <c r="F1587" s="92"/>
      <c r="G1587" s="83"/>
      <c r="H1587" s="83"/>
      <c r="I1587" s="83"/>
      <c r="J1587" s="83"/>
      <c r="K1587" s="83"/>
      <c r="L1587" s="83"/>
      <c r="M1587" s="83"/>
      <c r="N1587" s="83"/>
      <c r="O1587" s="83"/>
      <c r="P1587" s="83"/>
      <c r="Q1587" s="83"/>
      <c r="R1587" s="83"/>
      <c r="S1587" s="83"/>
      <c r="T1587" s="83"/>
      <c r="U1587" s="83"/>
      <c r="V1587" s="83"/>
      <c r="W1587" s="83"/>
    </row>
    <row r="1588">
      <c r="A1588" s="91"/>
      <c r="B1588" s="91"/>
      <c r="C1588" s="91"/>
      <c r="D1588" s="91"/>
      <c r="E1588" s="91"/>
      <c r="F1588" s="92"/>
      <c r="G1588" s="83"/>
      <c r="H1588" s="83"/>
      <c r="I1588" s="83"/>
      <c r="J1588" s="83"/>
      <c r="K1588" s="83"/>
      <c r="L1588" s="83"/>
      <c r="M1588" s="83"/>
      <c r="N1588" s="83"/>
      <c r="O1588" s="83"/>
      <c r="P1588" s="83"/>
      <c r="Q1588" s="83"/>
      <c r="R1588" s="83"/>
      <c r="S1588" s="83"/>
      <c r="T1588" s="83"/>
      <c r="U1588" s="83"/>
      <c r="V1588" s="83"/>
      <c r="W1588" s="83"/>
    </row>
    <row r="1589">
      <c r="A1589" s="91"/>
      <c r="B1589" s="91"/>
      <c r="C1589" s="91"/>
      <c r="D1589" s="91"/>
      <c r="E1589" s="91"/>
      <c r="F1589" s="92"/>
      <c r="G1589" s="83"/>
      <c r="H1589" s="83"/>
      <c r="I1589" s="83"/>
      <c r="J1589" s="83"/>
      <c r="K1589" s="83"/>
      <c r="L1589" s="83"/>
      <c r="M1589" s="83"/>
      <c r="N1589" s="83"/>
      <c r="O1589" s="83"/>
      <c r="P1589" s="83"/>
      <c r="Q1589" s="83"/>
      <c r="R1589" s="83"/>
      <c r="S1589" s="83"/>
      <c r="T1589" s="83"/>
      <c r="U1589" s="83"/>
      <c r="V1589" s="83"/>
      <c r="W1589" s="83"/>
    </row>
    <row r="1590">
      <c r="A1590" s="91"/>
      <c r="B1590" s="91"/>
      <c r="C1590" s="91"/>
      <c r="D1590" s="91"/>
      <c r="E1590" s="91"/>
      <c r="F1590" s="92"/>
      <c r="G1590" s="83"/>
      <c r="H1590" s="83"/>
      <c r="I1590" s="83"/>
      <c r="J1590" s="83"/>
      <c r="K1590" s="83"/>
      <c r="L1590" s="83"/>
      <c r="M1590" s="83"/>
      <c r="N1590" s="83"/>
      <c r="O1590" s="83"/>
      <c r="P1590" s="83"/>
      <c r="Q1590" s="83"/>
      <c r="R1590" s="83"/>
      <c r="S1590" s="83"/>
      <c r="T1590" s="83"/>
      <c r="U1590" s="83"/>
      <c r="V1590" s="83"/>
      <c r="W1590" s="83"/>
    </row>
    <row r="1591">
      <c r="A1591" s="91"/>
      <c r="B1591" s="91"/>
      <c r="C1591" s="91"/>
      <c r="D1591" s="91"/>
      <c r="E1591" s="91"/>
      <c r="F1591" s="92"/>
      <c r="G1591" s="83"/>
      <c r="H1591" s="83"/>
      <c r="I1591" s="83"/>
      <c r="J1591" s="83"/>
      <c r="K1591" s="83"/>
      <c r="L1591" s="83"/>
      <c r="M1591" s="83"/>
      <c r="N1591" s="83"/>
      <c r="O1591" s="83"/>
      <c r="P1591" s="83"/>
      <c r="Q1591" s="83"/>
      <c r="R1591" s="83"/>
      <c r="S1591" s="83"/>
      <c r="T1591" s="83"/>
      <c r="U1591" s="83"/>
      <c r="V1591" s="83"/>
      <c r="W1591" s="83"/>
    </row>
    <row r="1592">
      <c r="A1592" s="91"/>
      <c r="B1592" s="91"/>
      <c r="C1592" s="91"/>
      <c r="D1592" s="91"/>
      <c r="E1592" s="91"/>
      <c r="F1592" s="92"/>
      <c r="G1592" s="83"/>
      <c r="H1592" s="83"/>
      <c r="I1592" s="83"/>
      <c r="J1592" s="83"/>
      <c r="K1592" s="83"/>
      <c r="L1592" s="83"/>
      <c r="M1592" s="83"/>
      <c r="N1592" s="83"/>
      <c r="O1592" s="83"/>
      <c r="P1592" s="83"/>
      <c r="Q1592" s="83"/>
      <c r="R1592" s="83"/>
      <c r="S1592" s="83"/>
      <c r="T1592" s="83"/>
      <c r="U1592" s="83"/>
      <c r="V1592" s="83"/>
      <c r="W1592" s="83"/>
    </row>
    <row r="1593">
      <c r="A1593" s="91"/>
      <c r="B1593" s="91"/>
      <c r="C1593" s="91"/>
      <c r="D1593" s="91"/>
      <c r="E1593" s="91"/>
      <c r="F1593" s="92"/>
      <c r="G1593" s="83"/>
      <c r="H1593" s="83"/>
      <c r="I1593" s="83"/>
      <c r="J1593" s="83"/>
      <c r="K1593" s="83"/>
      <c r="L1593" s="83"/>
      <c r="M1593" s="83"/>
      <c r="N1593" s="83"/>
      <c r="O1593" s="83"/>
      <c r="P1593" s="83"/>
      <c r="Q1593" s="83"/>
      <c r="R1593" s="83"/>
      <c r="S1593" s="83"/>
      <c r="T1593" s="83"/>
      <c r="U1593" s="83"/>
      <c r="V1593" s="83"/>
      <c r="W1593" s="83"/>
    </row>
    <row r="1594">
      <c r="A1594" s="91"/>
      <c r="B1594" s="91"/>
      <c r="C1594" s="91"/>
      <c r="D1594" s="91"/>
      <c r="E1594" s="91"/>
      <c r="F1594" s="92"/>
      <c r="G1594" s="83"/>
      <c r="H1594" s="83"/>
      <c r="I1594" s="83"/>
      <c r="J1594" s="83"/>
      <c r="K1594" s="83"/>
      <c r="L1594" s="83"/>
      <c r="M1594" s="83"/>
      <c r="N1594" s="83"/>
      <c r="O1594" s="83"/>
      <c r="P1594" s="83"/>
      <c r="Q1594" s="83"/>
      <c r="R1594" s="83"/>
      <c r="S1594" s="83"/>
      <c r="T1594" s="83"/>
      <c r="U1594" s="83"/>
      <c r="V1594" s="83"/>
      <c r="W1594" s="83"/>
    </row>
    <row r="1595">
      <c r="A1595" s="91"/>
      <c r="B1595" s="91"/>
      <c r="C1595" s="91"/>
      <c r="D1595" s="91"/>
      <c r="E1595" s="91"/>
      <c r="F1595" s="92"/>
      <c r="G1595" s="83"/>
      <c r="H1595" s="83"/>
      <c r="I1595" s="83"/>
      <c r="J1595" s="83"/>
      <c r="K1595" s="83"/>
      <c r="L1595" s="83"/>
      <c r="M1595" s="83"/>
      <c r="N1595" s="83"/>
      <c r="O1595" s="83"/>
      <c r="P1595" s="83"/>
      <c r="Q1595" s="83"/>
      <c r="R1595" s="83"/>
      <c r="S1595" s="83"/>
      <c r="T1595" s="83"/>
      <c r="U1595" s="83"/>
      <c r="V1595" s="83"/>
      <c r="W1595" s="83"/>
    </row>
    <row r="1596">
      <c r="A1596" s="91"/>
      <c r="B1596" s="91"/>
      <c r="C1596" s="91"/>
      <c r="D1596" s="91"/>
      <c r="E1596" s="91"/>
      <c r="F1596" s="92"/>
      <c r="G1596" s="83"/>
      <c r="H1596" s="83"/>
      <c r="I1596" s="83"/>
      <c r="J1596" s="83"/>
      <c r="K1596" s="83"/>
      <c r="L1596" s="83"/>
      <c r="M1596" s="83"/>
      <c r="N1596" s="83"/>
      <c r="O1596" s="83"/>
      <c r="P1596" s="83"/>
      <c r="Q1596" s="83"/>
      <c r="R1596" s="83"/>
      <c r="S1596" s="83"/>
      <c r="T1596" s="83"/>
      <c r="U1596" s="83"/>
      <c r="V1596" s="83"/>
      <c r="W1596" s="83"/>
    </row>
    <row r="1597">
      <c r="A1597" s="91"/>
      <c r="B1597" s="91"/>
      <c r="C1597" s="91"/>
      <c r="D1597" s="91"/>
      <c r="E1597" s="91"/>
      <c r="F1597" s="92"/>
      <c r="G1597" s="83"/>
      <c r="H1597" s="83"/>
      <c r="I1597" s="83"/>
      <c r="J1597" s="83"/>
      <c r="K1597" s="83"/>
      <c r="L1597" s="83"/>
      <c r="M1597" s="83"/>
      <c r="N1597" s="83"/>
      <c r="O1597" s="83"/>
      <c r="P1597" s="83"/>
      <c r="Q1597" s="83"/>
      <c r="R1597" s="83"/>
      <c r="S1597" s="83"/>
      <c r="T1597" s="83"/>
      <c r="U1597" s="83"/>
      <c r="V1597" s="83"/>
      <c r="W1597" s="83"/>
    </row>
    <row r="1598">
      <c r="A1598" s="91"/>
      <c r="B1598" s="91"/>
      <c r="C1598" s="91"/>
      <c r="D1598" s="91"/>
      <c r="E1598" s="91"/>
      <c r="F1598" s="92"/>
      <c r="G1598" s="83"/>
      <c r="H1598" s="83"/>
      <c r="I1598" s="83"/>
      <c r="J1598" s="83"/>
      <c r="K1598" s="83"/>
      <c r="L1598" s="83"/>
      <c r="M1598" s="83"/>
      <c r="N1598" s="83"/>
      <c r="O1598" s="83"/>
      <c r="P1598" s="83"/>
      <c r="Q1598" s="83"/>
      <c r="R1598" s="83"/>
      <c r="S1598" s="83"/>
      <c r="T1598" s="83"/>
      <c r="U1598" s="83"/>
      <c r="V1598" s="83"/>
      <c r="W1598" s="83"/>
    </row>
    <row r="1599">
      <c r="A1599" s="91"/>
      <c r="B1599" s="91"/>
      <c r="C1599" s="91"/>
      <c r="D1599" s="91"/>
      <c r="E1599" s="91"/>
      <c r="F1599" s="92"/>
      <c r="G1599" s="83"/>
      <c r="H1599" s="83"/>
      <c r="I1599" s="83"/>
      <c r="J1599" s="83"/>
      <c r="K1599" s="83"/>
      <c r="L1599" s="83"/>
      <c r="M1599" s="83"/>
      <c r="N1599" s="83"/>
      <c r="O1599" s="83"/>
      <c r="P1599" s="83"/>
      <c r="Q1599" s="83"/>
      <c r="R1599" s="83"/>
      <c r="S1599" s="83"/>
      <c r="T1599" s="83"/>
      <c r="U1599" s="83"/>
      <c r="V1599" s="83"/>
      <c r="W1599" s="83"/>
    </row>
    <row r="1600">
      <c r="A1600" s="91"/>
      <c r="B1600" s="91"/>
      <c r="C1600" s="91"/>
      <c r="D1600" s="91"/>
      <c r="E1600" s="91"/>
      <c r="F1600" s="92"/>
      <c r="G1600" s="83"/>
      <c r="H1600" s="83"/>
      <c r="I1600" s="83"/>
      <c r="J1600" s="83"/>
      <c r="K1600" s="83"/>
      <c r="L1600" s="83"/>
      <c r="M1600" s="83"/>
      <c r="N1600" s="83"/>
      <c r="O1600" s="83"/>
      <c r="P1600" s="83"/>
      <c r="Q1600" s="83"/>
      <c r="R1600" s="83"/>
      <c r="S1600" s="83"/>
      <c r="T1600" s="83"/>
      <c r="U1600" s="83"/>
      <c r="V1600" s="83"/>
      <c r="W1600" s="83"/>
    </row>
    <row r="1601">
      <c r="A1601" s="91"/>
      <c r="B1601" s="91"/>
      <c r="C1601" s="91"/>
      <c r="D1601" s="91"/>
      <c r="E1601" s="91"/>
      <c r="F1601" s="92"/>
      <c r="G1601" s="83"/>
      <c r="H1601" s="83"/>
      <c r="I1601" s="83"/>
      <c r="J1601" s="83"/>
      <c r="K1601" s="83"/>
      <c r="L1601" s="83"/>
      <c r="M1601" s="83"/>
      <c r="N1601" s="83"/>
      <c r="O1601" s="83"/>
      <c r="P1601" s="83"/>
      <c r="Q1601" s="83"/>
      <c r="R1601" s="83"/>
      <c r="S1601" s="83"/>
      <c r="T1601" s="83"/>
      <c r="U1601" s="83"/>
      <c r="V1601" s="83"/>
      <c r="W1601" s="83"/>
    </row>
    <row r="1602">
      <c r="A1602" s="91"/>
      <c r="B1602" s="91"/>
      <c r="C1602" s="91"/>
      <c r="D1602" s="91"/>
      <c r="E1602" s="91"/>
      <c r="F1602" s="92"/>
      <c r="G1602" s="83"/>
      <c r="H1602" s="83"/>
      <c r="I1602" s="83"/>
      <c r="J1602" s="83"/>
      <c r="K1602" s="83"/>
      <c r="L1602" s="83"/>
      <c r="M1602" s="83"/>
      <c r="N1602" s="83"/>
      <c r="O1602" s="83"/>
      <c r="P1602" s="83"/>
      <c r="Q1602" s="83"/>
      <c r="R1602" s="83"/>
      <c r="S1602" s="83"/>
      <c r="T1602" s="83"/>
      <c r="U1602" s="83"/>
      <c r="V1602" s="83"/>
      <c r="W1602" s="83"/>
    </row>
    <row r="1603">
      <c r="A1603" s="91"/>
      <c r="B1603" s="91"/>
      <c r="C1603" s="91"/>
      <c r="D1603" s="91"/>
      <c r="E1603" s="91"/>
      <c r="F1603" s="92"/>
      <c r="G1603" s="83"/>
      <c r="H1603" s="83"/>
      <c r="I1603" s="83"/>
      <c r="J1603" s="83"/>
      <c r="K1603" s="83"/>
      <c r="L1603" s="83"/>
      <c r="M1603" s="83"/>
      <c r="N1603" s="83"/>
      <c r="O1603" s="83"/>
      <c r="P1603" s="83"/>
      <c r="Q1603" s="83"/>
      <c r="R1603" s="83"/>
      <c r="S1603" s="83"/>
      <c r="T1603" s="83"/>
      <c r="U1603" s="83"/>
      <c r="V1603" s="83"/>
      <c r="W1603" s="83"/>
    </row>
    <row r="1604">
      <c r="A1604" s="91"/>
      <c r="B1604" s="91"/>
      <c r="C1604" s="91"/>
      <c r="D1604" s="91"/>
      <c r="E1604" s="91"/>
      <c r="F1604" s="92"/>
      <c r="G1604" s="83"/>
      <c r="H1604" s="83"/>
      <c r="I1604" s="83"/>
      <c r="J1604" s="83"/>
      <c r="K1604" s="83"/>
      <c r="L1604" s="83"/>
      <c r="M1604" s="83"/>
      <c r="N1604" s="83"/>
      <c r="O1604" s="83"/>
      <c r="P1604" s="83"/>
      <c r="Q1604" s="83"/>
      <c r="R1604" s="83"/>
      <c r="S1604" s="83"/>
      <c r="T1604" s="83"/>
      <c r="U1604" s="83"/>
      <c r="V1604" s="83"/>
      <c r="W1604" s="83"/>
    </row>
    <row r="1605">
      <c r="A1605" s="91"/>
      <c r="B1605" s="91"/>
      <c r="C1605" s="91"/>
      <c r="D1605" s="91"/>
      <c r="E1605" s="91"/>
      <c r="F1605" s="92"/>
      <c r="G1605" s="83"/>
      <c r="H1605" s="83"/>
      <c r="I1605" s="83"/>
      <c r="J1605" s="83"/>
      <c r="K1605" s="83"/>
      <c r="L1605" s="83"/>
      <c r="M1605" s="83"/>
      <c r="N1605" s="83"/>
      <c r="O1605" s="83"/>
      <c r="P1605" s="83"/>
      <c r="Q1605" s="83"/>
      <c r="R1605" s="83"/>
      <c r="S1605" s="83"/>
      <c r="T1605" s="83"/>
      <c r="U1605" s="83"/>
      <c r="V1605" s="83"/>
      <c r="W1605" s="83"/>
    </row>
    <row r="1606">
      <c r="A1606" s="91"/>
      <c r="B1606" s="91"/>
      <c r="C1606" s="91"/>
      <c r="D1606" s="91"/>
      <c r="E1606" s="91"/>
      <c r="F1606" s="92"/>
      <c r="G1606" s="83"/>
      <c r="H1606" s="83"/>
      <c r="I1606" s="83"/>
      <c r="J1606" s="83"/>
      <c r="K1606" s="83"/>
      <c r="L1606" s="83"/>
      <c r="M1606" s="83"/>
      <c r="N1606" s="83"/>
      <c r="O1606" s="83"/>
      <c r="P1606" s="83"/>
      <c r="Q1606" s="83"/>
      <c r="R1606" s="83"/>
      <c r="S1606" s="83"/>
      <c r="T1606" s="83"/>
      <c r="U1606" s="83"/>
      <c r="V1606" s="83"/>
      <c r="W1606" s="83"/>
    </row>
    <row r="1607">
      <c r="A1607" s="91"/>
      <c r="B1607" s="91"/>
      <c r="C1607" s="91"/>
      <c r="D1607" s="91"/>
      <c r="E1607" s="91"/>
      <c r="F1607" s="92"/>
      <c r="G1607" s="83"/>
      <c r="H1607" s="83"/>
      <c r="I1607" s="83"/>
      <c r="J1607" s="83"/>
      <c r="K1607" s="83"/>
      <c r="L1607" s="83"/>
      <c r="M1607" s="83"/>
      <c r="N1607" s="83"/>
      <c r="O1607" s="83"/>
      <c r="P1607" s="83"/>
      <c r="Q1607" s="83"/>
      <c r="R1607" s="83"/>
      <c r="S1607" s="83"/>
      <c r="T1607" s="83"/>
      <c r="U1607" s="83"/>
      <c r="V1607" s="83"/>
      <c r="W1607" s="83"/>
    </row>
    <row r="1608">
      <c r="A1608" s="91"/>
      <c r="B1608" s="91"/>
      <c r="C1608" s="91"/>
      <c r="D1608" s="91"/>
      <c r="E1608" s="91"/>
      <c r="F1608" s="92"/>
      <c r="G1608" s="83"/>
      <c r="H1608" s="83"/>
      <c r="I1608" s="83"/>
      <c r="J1608" s="83"/>
      <c r="K1608" s="83"/>
      <c r="L1608" s="83"/>
      <c r="M1608" s="83"/>
      <c r="N1608" s="83"/>
      <c r="O1608" s="83"/>
      <c r="P1608" s="83"/>
      <c r="Q1608" s="83"/>
      <c r="R1608" s="83"/>
      <c r="S1608" s="83"/>
      <c r="T1608" s="83"/>
      <c r="U1608" s="83"/>
      <c r="V1608" s="83"/>
      <c r="W1608" s="83"/>
    </row>
    <row r="1609">
      <c r="A1609" s="91"/>
      <c r="B1609" s="91"/>
      <c r="C1609" s="91"/>
      <c r="D1609" s="91"/>
      <c r="E1609" s="91"/>
      <c r="F1609" s="92"/>
      <c r="G1609" s="83"/>
      <c r="H1609" s="83"/>
      <c r="I1609" s="83"/>
      <c r="J1609" s="83"/>
      <c r="K1609" s="83"/>
      <c r="L1609" s="83"/>
      <c r="M1609" s="83"/>
      <c r="N1609" s="83"/>
      <c r="O1609" s="83"/>
      <c r="P1609" s="83"/>
      <c r="Q1609" s="83"/>
      <c r="R1609" s="83"/>
      <c r="S1609" s="83"/>
      <c r="T1609" s="83"/>
      <c r="U1609" s="83"/>
      <c r="V1609" s="83"/>
      <c r="W1609" s="83"/>
    </row>
    <row r="1610">
      <c r="A1610" s="91"/>
      <c r="B1610" s="91"/>
      <c r="C1610" s="91"/>
      <c r="D1610" s="91"/>
      <c r="E1610" s="91"/>
      <c r="F1610" s="92"/>
      <c r="G1610" s="83"/>
      <c r="H1610" s="83"/>
      <c r="I1610" s="83"/>
      <c r="J1610" s="83"/>
      <c r="K1610" s="83"/>
      <c r="L1610" s="83"/>
      <c r="M1610" s="83"/>
      <c r="N1610" s="83"/>
      <c r="O1610" s="83"/>
      <c r="P1610" s="83"/>
      <c r="Q1610" s="83"/>
      <c r="R1610" s="83"/>
      <c r="S1610" s="83"/>
      <c r="T1610" s="83"/>
      <c r="U1610" s="83"/>
      <c r="V1610" s="83"/>
      <c r="W1610" s="83"/>
    </row>
    <row r="1611">
      <c r="A1611" s="91"/>
      <c r="B1611" s="91"/>
      <c r="C1611" s="91"/>
      <c r="D1611" s="91"/>
      <c r="E1611" s="91"/>
      <c r="F1611" s="92"/>
      <c r="G1611" s="83"/>
      <c r="H1611" s="83"/>
      <c r="I1611" s="83"/>
      <c r="J1611" s="83"/>
      <c r="K1611" s="83"/>
      <c r="L1611" s="83"/>
      <c r="M1611" s="83"/>
      <c r="N1611" s="83"/>
      <c r="O1611" s="83"/>
      <c r="P1611" s="83"/>
      <c r="Q1611" s="83"/>
      <c r="R1611" s="83"/>
      <c r="S1611" s="83"/>
      <c r="T1611" s="83"/>
      <c r="U1611" s="83"/>
      <c r="V1611" s="83"/>
      <c r="W1611" s="83"/>
    </row>
    <row r="1612">
      <c r="A1612" s="91"/>
      <c r="B1612" s="91"/>
      <c r="C1612" s="91"/>
      <c r="D1612" s="91"/>
      <c r="E1612" s="91"/>
      <c r="F1612" s="92"/>
      <c r="G1612" s="83"/>
      <c r="H1612" s="83"/>
      <c r="I1612" s="83"/>
      <c r="J1612" s="83"/>
      <c r="K1612" s="83"/>
      <c r="L1612" s="83"/>
      <c r="M1612" s="83"/>
      <c r="N1612" s="83"/>
      <c r="O1612" s="83"/>
      <c r="P1612" s="83"/>
      <c r="Q1612" s="83"/>
      <c r="R1612" s="83"/>
      <c r="S1612" s="83"/>
      <c r="T1612" s="83"/>
      <c r="U1612" s="83"/>
      <c r="V1612" s="83"/>
      <c r="W1612" s="83"/>
    </row>
    <row r="1613">
      <c r="A1613" s="91"/>
      <c r="B1613" s="91"/>
      <c r="C1613" s="91"/>
      <c r="D1613" s="91"/>
      <c r="E1613" s="91"/>
      <c r="F1613" s="92"/>
      <c r="G1613" s="83"/>
      <c r="H1613" s="83"/>
      <c r="I1613" s="83"/>
      <c r="J1613" s="83"/>
      <c r="K1613" s="83"/>
      <c r="L1613" s="83"/>
      <c r="M1613" s="83"/>
      <c r="N1613" s="83"/>
      <c r="O1613" s="83"/>
      <c r="P1613" s="83"/>
      <c r="Q1613" s="83"/>
      <c r="R1613" s="83"/>
      <c r="S1613" s="83"/>
      <c r="T1613" s="83"/>
      <c r="U1613" s="83"/>
      <c r="V1613" s="83"/>
      <c r="W1613" s="83"/>
    </row>
    <row r="1614">
      <c r="A1614" s="91"/>
      <c r="B1614" s="91"/>
      <c r="C1614" s="91"/>
      <c r="D1614" s="91"/>
      <c r="E1614" s="91"/>
      <c r="F1614" s="92"/>
      <c r="G1614" s="83"/>
      <c r="H1614" s="83"/>
      <c r="I1614" s="83"/>
      <c r="J1614" s="83"/>
      <c r="K1614" s="83"/>
      <c r="L1614" s="83"/>
      <c r="M1614" s="83"/>
      <c r="N1614" s="83"/>
      <c r="O1614" s="83"/>
      <c r="P1614" s="83"/>
      <c r="Q1614" s="83"/>
      <c r="R1614" s="83"/>
      <c r="S1614" s="83"/>
      <c r="T1614" s="83"/>
      <c r="U1614" s="83"/>
      <c r="V1614" s="83"/>
      <c r="W1614" s="83"/>
    </row>
    <row r="1615">
      <c r="A1615" s="91"/>
      <c r="B1615" s="91"/>
      <c r="C1615" s="91"/>
      <c r="D1615" s="91"/>
      <c r="E1615" s="91"/>
      <c r="F1615" s="92"/>
      <c r="G1615" s="83"/>
      <c r="H1615" s="83"/>
      <c r="I1615" s="83"/>
      <c r="J1615" s="83"/>
      <c r="K1615" s="83"/>
      <c r="L1615" s="83"/>
      <c r="M1615" s="83"/>
      <c r="N1615" s="83"/>
      <c r="O1615" s="83"/>
      <c r="P1615" s="83"/>
      <c r="Q1615" s="83"/>
      <c r="R1615" s="83"/>
      <c r="S1615" s="83"/>
      <c r="T1615" s="83"/>
      <c r="U1615" s="83"/>
      <c r="V1615" s="83"/>
      <c r="W1615" s="83"/>
    </row>
    <row r="1616">
      <c r="A1616" s="91"/>
      <c r="B1616" s="91"/>
      <c r="C1616" s="91"/>
      <c r="D1616" s="91"/>
      <c r="E1616" s="91"/>
      <c r="F1616" s="92"/>
      <c r="G1616" s="83"/>
      <c r="H1616" s="83"/>
      <c r="I1616" s="83"/>
      <c r="J1616" s="83"/>
      <c r="K1616" s="83"/>
      <c r="L1616" s="83"/>
      <c r="M1616" s="83"/>
      <c r="N1616" s="83"/>
      <c r="O1616" s="83"/>
      <c r="P1616" s="83"/>
      <c r="Q1616" s="83"/>
      <c r="R1616" s="83"/>
      <c r="S1616" s="83"/>
      <c r="T1616" s="83"/>
      <c r="U1616" s="83"/>
      <c r="V1616" s="83"/>
      <c r="W1616" s="83"/>
    </row>
    <row r="1617">
      <c r="A1617" s="91"/>
      <c r="B1617" s="91"/>
      <c r="C1617" s="91"/>
      <c r="D1617" s="91"/>
      <c r="E1617" s="91"/>
      <c r="F1617" s="92"/>
      <c r="G1617" s="83"/>
      <c r="H1617" s="83"/>
      <c r="I1617" s="83"/>
      <c r="J1617" s="83"/>
      <c r="K1617" s="83"/>
      <c r="L1617" s="83"/>
      <c r="M1617" s="83"/>
      <c r="N1617" s="83"/>
      <c r="O1617" s="83"/>
      <c r="P1617" s="83"/>
      <c r="Q1617" s="83"/>
      <c r="R1617" s="83"/>
      <c r="S1617" s="83"/>
      <c r="T1617" s="83"/>
      <c r="U1617" s="83"/>
      <c r="V1617" s="83"/>
      <c r="W1617" s="83"/>
    </row>
    <row r="1618">
      <c r="A1618" s="91"/>
      <c r="B1618" s="91"/>
      <c r="C1618" s="91"/>
      <c r="D1618" s="91"/>
      <c r="E1618" s="91"/>
      <c r="F1618" s="92"/>
      <c r="G1618" s="83"/>
      <c r="H1618" s="83"/>
      <c r="I1618" s="83"/>
      <c r="J1618" s="83"/>
      <c r="K1618" s="83"/>
      <c r="L1618" s="83"/>
      <c r="M1618" s="83"/>
      <c r="N1618" s="83"/>
      <c r="O1618" s="83"/>
      <c r="P1618" s="83"/>
      <c r="Q1618" s="83"/>
      <c r="R1618" s="83"/>
      <c r="S1618" s="83"/>
      <c r="T1618" s="83"/>
      <c r="U1618" s="83"/>
      <c r="V1618" s="83"/>
      <c r="W1618" s="83"/>
    </row>
    <row r="1619">
      <c r="A1619" s="91"/>
      <c r="B1619" s="91"/>
      <c r="C1619" s="91"/>
      <c r="D1619" s="91"/>
      <c r="E1619" s="91"/>
      <c r="F1619" s="92"/>
      <c r="G1619" s="83"/>
      <c r="H1619" s="83"/>
      <c r="I1619" s="83"/>
      <c r="J1619" s="83"/>
      <c r="K1619" s="83"/>
      <c r="L1619" s="83"/>
      <c r="M1619" s="83"/>
      <c r="N1619" s="83"/>
      <c r="O1619" s="83"/>
      <c r="P1619" s="83"/>
      <c r="Q1619" s="83"/>
      <c r="R1619" s="83"/>
      <c r="S1619" s="83"/>
      <c r="T1619" s="83"/>
      <c r="U1619" s="83"/>
      <c r="V1619" s="83"/>
      <c r="W1619" s="83"/>
    </row>
    <row r="1620">
      <c r="A1620" s="91"/>
      <c r="B1620" s="91"/>
      <c r="C1620" s="91"/>
      <c r="D1620" s="91"/>
      <c r="E1620" s="91"/>
      <c r="F1620" s="92"/>
      <c r="G1620" s="83"/>
      <c r="H1620" s="83"/>
      <c r="I1620" s="83"/>
      <c r="J1620" s="83"/>
      <c r="K1620" s="83"/>
      <c r="L1620" s="83"/>
      <c r="M1620" s="83"/>
      <c r="N1620" s="83"/>
      <c r="O1620" s="83"/>
      <c r="P1620" s="83"/>
      <c r="Q1620" s="83"/>
      <c r="R1620" s="83"/>
      <c r="S1620" s="83"/>
      <c r="T1620" s="83"/>
      <c r="U1620" s="83"/>
      <c r="V1620" s="83"/>
      <c r="W1620" s="83"/>
    </row>
    <row r="1621">
      <c r="A1621" s="91"/>
      <c r="B1621" s="91"/>
      <c r="C1621" s="91"/>
      <c r="D1621" s="91"/>
      <c r="E1621" s="91"/>
      <c r="F1621" s="92"/>
      <c r="G1621" s="83"/>
      <c r="H1621" s="83"/>
      <c r="I1621" s="83"/>
      <c r="J1621" s="83"/>
      <c r="K1621" s="83"/>
      <c r="L1621" s="83"/>
      <c r="M1621" s="83"/>
      <c r="N1621" s="83"/>
      <c r="O1621" s="83"/>
      <c r="P1621" s="83"/>
      <c r="Q1621" s="83"/>
      <c r="R1621" s="83"/>
      <c r="S1621" s="83"/>
      <c r="T1621" s="83"/>
      <c r="U1621" s="83"/>
      <c r="V1621" s="83"/>
      <c r="W1621" s="83"/>
    </row>
    <row r="1622">
      <c r="A1622" s="91"/>
      <c r="B1622" s="91"/>
      <c r="C1622" s="91"/>
      <c r="D1622" s="91"/>
      <c r="E1622" s="91"/>
      <c r="F1622" s="92"/>
      <c r="G1622" s="83"/>
      <c r="H1622" s="83"/>
      <c r="I1622" s="83"/>
      <c r="J1622" s="83"/>
      <c r="K1622" s="83"/>
      <c r="L1622" s="83"/>
      <c r="M1622" s="83"/>
      <c r="N1622" s="83"/>
      <c r="O1622" s="83"/>
      <c r="P1622" s="83"/>
      <c r="Q1622" s="83"/>
      <c r="R1622" s="83"/>
      <c r="S1622" s="83"/>
      <c r="T1622" s="83"/>
      <c r="U1622" s="83"/>
      <c r="V1622" s="83"/>
      <c r="W1622" s="83"/>
    </row>
    <row r="1623">
      <c r="A1623" s="91"/>
      <c r="B1623" s="91"/>
      <c r="C1623" s="91"/>
      <c r="D1623" s="91"/>
      <c r="E1623" s="91"/>
      <c r="F1623" s="92"/>
      <c r="G1623" s="83"/>
      <c r="H1623" s="83"/>
      <c r="I1623" s="83"/>
      <c r="J1623" s="83"/>
      <c r="K1623" s="83"/>
      <c r="L1623" s="83"/>
      <c r="M1623" s="83"/>
      <c r="N1623" s="83"/>
      <c r="O1623" s="83"/>
      <c r="P1623" s="83"/>
      <c r="Q1623" s="83"/>
      <c r="R1623" s="83"/>
      <c r="S1623" s="83"/>
      <c r="T1623" s="83"/>
      <c r="U1623" s="83"/>
      <c r="V1623" s="83"/>
      <c r="W1623" s="83"/>
    </row>
    <row r="1624">
      <c r="A1624" s="91"/>
      <c r="B1624" s="91"/>
      <c r="C1624" s="91"/>
      <c r="D1624" s="91"/>
      <c r="E1624" s="91"/>
      <c r="F1624" s="92"/>
      <c r="G1624" s="83"/>
      <c r="H1624" s="83"/>
      <c r="I1624" s="83"/>
      <c r="J1624" s="83"/>
      <c r="K1624" s="83"/>
      <c r="L1624" s="83"/>
      <c r="M1624" s="83"/>
      <c r="N1624" s="83"/>
      <c r="O1624" s="83"/>
      <c r="P1624" s="83"/>
      <c r="Q1624" s="83"/>
      <c r="R1624" s="83"/>
      <c r="S1624" s="83"/>
      <c r="T1624" s="83"/>
      <c r="U1624" s="83"/>
      <c r="V1624" s="83"/>
      <c r="W1624" s="83"/>
    </row>
    <row r="1625">
      <c r="A1625" s="91"/>
      <c r="B1625" s="91"/>
      <c r="C1625" s="91"/>
      <c r="D1625" s="91"/>
      <c r="E1625" s="91"/>
      <c r="F1625" s="92"/>
      <c r="G1625" s="83"/>
      <c r="H1625" s="83"/>
      <c r="I1625" s="83"/>
      <c r="J1625" s="83"/>
      <c r="K1625" s="83"/>
      <c r="L1625" s="83"/>
      <c r="M1625" s="83"/>
      <c r="N1625" s="83"/>
      <c r="O1625" s="83"/>
      <c r="P1625" s="83"/>
      <c r="Q1625" s="83"/>
      <c r="R1625" s="83"/>
      <c r="S1625" s="83"/>
      <c r="T1625" s="83"/>
      <c r="U1625" s="83"/>
      <c r="V1625" s="83"/>
      <c r="W1625" s="83"/>
    </row>
    <row r="1626">
      <c r="A1626" s="91"/>
      <c r="B1626" s="91"/>
      <c r="C1626" s="91"/>
      <c r="D1626" s="91"/>
      <c r="E1626" s="91"/>
      <c r="F1626" s="92"/>
      <c r="G1626" s="83"/>
      <c r="H1626" s="83"/>
      <c r="I1626" s="83"/>
      <c r="J1626" s="83"/>
      <c r="K1626" s="83"/>
      <c r="L1626" s="83"/>
      <c r="M1626" s="83"/>
      <c r="N1626" s="83"/>
      <c r="O1626" s="83"/>
      <c r="P1626" s="83"/>
      <c r="Q1626" s="83"/>
      <c r="R1626" s="83"/>
      <c r="S1626" s="83"/>
      <c r="T1626" s="83"/>
      <c r="U1626" s="83"/>
      <c r="V1626" s="83"/>
      <c r="W1626" s="83"/>
    </row>
    <row r="1627">
      <c r="A1627" s="91"/>
      <c r="B1627" s="91"/>
      <c r="C1627" s="91"/>
      <c r="D1627" s="91"/>
      <c r="E1627" s="91"/>
      <c r="F1627" s="92"/>
      <c r="G1627" s="83"/>
      <c r="H1627" s="83"/>
      <c r="I1627" s="83"/>
      <c r="J1627" s="83"/>
      <c r="K1627" s="83"/>
      <c r="L1627" s="83"/>
      <c r="M1627" s="83"/>
      <c r="N1627" s="83"/>
      <c r="O1627" s="83"/>
      <c r="P1627" s="83"/>
      <c r="Q1627" s="83"/>
      <c r="R1627" s="83"/>
      <c r="S1627" s="83"/>
      <c r="T1627" s="83"/>
      <c r="U1627" s="83"/>
      <c r="V1627" s="83"/>
      <c r="W1627" s="83"/>
    </row>
    <row r="1628">
      <c r="A1628" s="91"/>
      <c r="B1628" s="91"/>
      <c r="C1628" s="91"/>
      <c r="D1628" s="91"/>
      <c r="E1628" s="91"/>
      <c r="F1628" s="92"/>
      <c r="G1628" s="83"/>
      <c r="H1628" s="83"/>
      <c r="I1628" s="83"/>
      <c r="J1628" s="83"/>
      <c r="K1628" s="83"/>
      <c r="L1628" s="83"/>
      <c r="M1628" s="83"/>
      <c r="N1628" s="83"/>
      <c r="O1628" s="83"/>
      <c r="P1628" s="83"/>
      <c r="Q1628" s="83"/>
      <c r="R1628" s="83"/>
      <c r="S1628" s="83"/>
      <c r="T1628" s="83"/>
      <c r="U1628" s="83"/>
      <c r="V1628" s="83"/>
      <c r="W1628" s="83"/>
    </row>
    <row r="1629">
      <c r="A1629" s="91"/>
      <c r="B1629" s="91"/>
      <c r="C1629" s="91"/>
      <c r="D1629" s="91"/>
      <c r="E1629" s="91"/>
      <c r="F1629" s="92"/>
      <c r="G1629" s="83"/>
      <c r="H1629" s="83"/>
      <c r="I1629" s="83"/>
      <c r="J1629" s="83"/>
      <c r="K1629" s="83"/>
      <c r="L1629" s="83"/>
      <c r="M1629" s="83"/>
      <c r="N1629" s="83"/>
      <c r="O1629" s="83"/>
      <c r="P1629" s="83"/>
      <c r="Q1629" s="83"/>
      <c r="R1629" s="83"/>
      <c r="S1629" s="83"/>
      <c r="T1629" s="83"/>
      <c r="U1629" s="83"/>
      <c r="V1629" s="83"/>
      <c r="W1629" s="83"/>
    </row>
    <row r="1630">
      <c r="A1630" s="91"/>
      <c r="B1630" s="91"/>
      <c r="C1630" s="91"/>
      <c r="D1630" s="91"/>
      <c r="E1630" s="91"/>
      <c r="F1630" s="92"/>
      <c r="G1630" s="83"/>
      <c r="H1630" s="83"/>
      <c r="I1630" s="83"/>
      <c r="J1630" s="83"/>
      <c r="K1630" s="83"/>
      <c r="L1630" s="83"/>
      <c r="M1630" s="83"/>
      <c r="N1630" s="83"/>
      <c r="O1630" s="83"/>
      <c r="P1630" s="83"/>
      <c r="Q1630" s="83"/>
      <c r="R1630" s="83"/>
      <c r="S1630" s="83"/>
      <c r="T1630" s="83"/>
      <c r="U1630" s="83"/>
      <c r="V1630" s="83"/>
      <c r="W1630" s="83"/>
    </row>
    <row r="1631">
      <c r="A1631" s="91"/>
      <c r="B1631" s="91"/>
      <c r="C1631" s="91"/>
      <c r="D1631" s="91"/>
      <c r="E1631" s="91"/>
      <c r="F1631" s="92"/>
      <c r="G1631" s="83"/>
      <c r="H1631" s="83"/>
      <c r="I1631" s="83"/>
      <c r="J1631" s="83"/>
      <c r="K1631" s="83"/>
      <c r="L1631" s="83"/>
      <c r="M1631" s="83"/>
      <c r="N1631" s="83"/>
      <c r="O1631" s="83"/>
      <c r="P1631" s="83"/>
      <c r="Q1631" s="83"/>
      <c r="R1631" s="83"/>
      <c r="S1631" s="83"/>
      <c r="T1631" s="83"/>
      <c r="U1631" s="83"/>
      <c r="V1631" s="83"/>
      <c r="W1631" s="83"/>
    </row>
    <row r="1632">
      <c r="A1632" s="91"/>
      <c r="B1632" s="91"/>
      <c r="C1632" s="91"/>
      <c r="D1632" s="91"/>
      <c r="E1632" s="91"/>
      <c r="F1632" s="92"/>
      <c r="G1632" s="83"/>
      <c r="H1632" s="83"/>
      <c r="I1632" s="83"/>
      <c r="J1632" s="83"/>
      <c r="K1632" s="83"/>
      <c r="L1632" s="83"/>
      <c r="M1632" s="83"/>
      <c r="N1632" s="83"/>
      <c r="O1632" s="83"/>
      <c r="P1632" s="83"/>
      <c r="Q1632" s="83"/>
      <c r="R1632" s="83"/>
      <c r="S1632" s="83"/>
      <c r="T1632" s="83"/>
      <c r="U1632" s="83"/>
      <c r="V1632" s="83"/>
      <c r="W1632" s="83"/>
    </row>
    <row r="1633">
      <c r="A1633" s="91"/>
      <c r="B1633" s="91"/>
      <c r="C1633" s="91"/>
      <c r="D1633" s="91"/>
      <c r="E1633" s="91"/>
      <c r="F1633" s="92"/>
      <c r="G1633" s="83"/>
      <c r="H1633" s="83"/>
      <c r="I1633" s="83"/>
      <c r="J1633" s="83"/>
      <c r="K1633" s="83"/>
      <c r="L1633" s="83"/>
      <c r="M1633" s="83"/>
      <c r="N1633" s="83"/>
      <c r="O1633" s="83"/>
      <c r="P1633" s="83"/>
      <c r="Q1633" s="83"/>
      <c r="R1633" s="83"/>
      <c r="S1633" s="83"/>
      <c r="T1633" s="83"/>
      <c r="U1633" s="83"/>
      <c r="V1633" s="83"/>
      <c r="W1633" s="83"/>
    </row>
    <row r="1634">
      <c r="A1634" s="91"/>
      <c r="B1634" s="91"/>
      <c r="C1634" s="91"/>
      <c r="D1634" s="91"/>
      <c r="E1634" s="91"/>
      <c r="F1634" s="92"/>
      <c r="G1634" s="83"/>
      <c r="H1634" s="83"/>
      <c r="I1634" s="83"/>
      <c r="J1634" s="83"/>
      <c r="K1634" s="83"/>
      <c r="L1634" s="83"/>
      <c r="M1634" s="83"/>
      <c r="N1634" s="83"/>
      <c r="O1634" s="83"/>
      <c r="P1634" s="83"/>
      <c r="Q1634" s="83"/>
      <c r="R1634" s="83"/>
      <c r="S1634" s="83"/>
      <c r="T1634" s="83"/>
      <c r="U1634" s="83"/>
      <c r="V1634" s="83"/>
      <c r="W1634" s="83"/>
    </row>
    <row r="1635">
      <c r="A1635" s="91"/>
      <c r="B1635" s="91"/>
      <c r="C1635" s="91"/>
      <c r="D1635" s="91"/>
      <c r="E1635" s="91"/>
      <c r="F1635" s="92"/>
      <c r="G1635" s="83"/>
      <c r="H1635" s="83"/>
      <c r="I1635" s="83"/>
      <c r="J1635" s="83"/>
      <c r="K1635" s="83"/>
      <c r="L1635" s="83"/>
      <c r="M1635" s="83"/>
      <c r="N1635" s="83"/>
      <c r="O1635" s="83"/>
      <c r="P1635" s="83"/>
      <c r="Q1635" s="83"/>
      <c r="R1635" s="83"/>
      <c r="S1635" s="83"/>
      <c r="T1635" s="83"/>
      <c r="U1635" s="83"/>
      <c r="V1635" s="83"/>
      <c r="W1635" s="83"/>
    </row>
    <row r="1636">
      <c r="A1636" s="91"/>
      <c r="B1636" s="91"/>
      <c r="C1636" s="91"/>
      <c r="D1636" s="91"/>
      <c r="E1636" s="91"/>
      <c r="F1636" s="92"/>
      <c r="G1636" s="83"/>
      <c r="H1636" s="83"/>
      <c r="I1636" s="83"/>
      <c r="J1636" s="83"/>
      <c r="K1636" s="83"/>
      <c r="L1636" s="83"/>
      <c r="M1636" s="83"/>
      <c r="N1636" s="83"/>
      <c r="O1636" s="83"/>
      <c r="P1636" s="83"/>
      <c r="Q1636" s="83"/>
      <c r="R1636" s="83"/>
      <c r="S1636" s="83"/>
      <c r="T1636" s="83"/>
      <c r="U1636" s="83"/>
      <c r="V1636" s="83"/>
      <c r="W1636" s="83"/>
    </row>
    <row r="1637">
      <c r="A1637" s="91"/>
      <c r="B1637" s="91"/>
      <c r="C1637" s="91"/>
      <c r="D1637" s="91"/>
      <c r="E1637" s="91"/>
      <c r="F1637" s="92"/>
      <c r="G1637" s="83"/>
      <c r="H1637" s="83"/>
      <c r="I1637" s="83"/>
      <c r="J1637" s="83"/>
      <c r="K1637" s="83"/>
      <c r="L1637" s="83"/>
      <c r="M1637" s="83"/>
      <c r="N1637" s="83"/>
      <c r="O1637" s="83"/>
      <c r="P1637" s="83"/>
      <c r="Q1637" s="83"/>
      <c r="R1637" s="83"/>
      <c r="S1637" s="83"/>
      <c r="T1637" s="83"/>
      <c r="U1637" s="83"/>
      <c r="V1637" s="83"/>
      <c r="W1637" s="83"/>
    </row>
    <row r="1638">
      <c r="A1638" s="91"/>
      <c r="B1638" s="91"/>
      <c r="C1638" s="91"/>
      <c r="D1638" s="91"/>
      <c r="E1638" s="91"/>
      <c r="F1638" s="92"/>
      <c r="G1638" s="83"/>
      <c r="H1638" s="83"/>
      <c r="I1638" s="83"/>
      <c r="J1638" s="83"/>
      <c r="K1638" s="83"/>
      <c r="L1638" s="83"/>
      <c r="M1638" s="83"/>
      <c r="N1638" s="83"/>
      <c r="O1638" s="83"/>
      <c r="P1638" s="83"/>
      <c r="Q1638" s="83"/>
      <c r="R1638" s="83"/>
      <c r="S1638" s="83"/>
      <c r="T1638" s="83"/>
      <c r="U1638" s="83"/>
      <c r="V1638" s="83"/>
      <c r="W1638" s="83"/>
    </row>
    <row r="1639">
      <c r="A1639" s="91"/>
      <c r="B1639" s="91"/>
      <c r="C1639" s="91"/>
      <c r="D1639" s="91"/>
      <c r="E1639" s="91"/>
      <c r="F1639" s="92"/>
      <c r="G1639" s="83"/>
      <c r="H1639" s="83"/>
      <c r="I1639" s="83"/>
      <c r="J1639" s="83"/>
      <c r="K1639" s="83"/>
      <c r="L1639" s="83"/>
      <c r="M1639" s="83"/>
      <c r="N1639" s="83"/>
      <c r="O1639" s="83"/>
      <c r="P1639" s="83"/>
      <c r="Q1639" s="83"/>
      <c r="R1639" s="83"/>
      <c r="S1639" s="83"/>
      <c r="T1639" s="83"/>
      <c r="U1639" s="83"/>
      <c r="V1639" s="83"/>
      <c r="W1639" s="83"/>
    </row>
    <row r="1640">
      <c r="A1640" s="91"/>
      <c r="B1640" s="91"/>
      <c r="C1640" s="91"/>
      <c r="D1640" s="91"/>
      <c r="E1640" s="91"/>
      <c r="F1640" s="92"/>
      <c r="G1640" s="83"/>
      <c r="H1640" s="83"/>
      <c r="I1640" s="83"/>
      <c r="J1640" s="83"/>
      <c r="K1640" s="83"/>
      <c r="L1640" s="83"/>
      <c r="M1640" s="83"/>
      <c r="N1640" s="83"/>
      <c r="O1640" s="83"/>
      <c r="P1640" s="83"/>
      <c r="Q1640" s="83"/>
      <c r="R1640" s="83"/>
      <c r="S1640" s="83"/>
      <c r="T1640" s="83"/>
      <c r="U1640" s="83"/>
      <c r="V1640" s="83"/>
      <c r="W1640" s="83"/>
    </row>
    <row r="1641">
      <c r="A1641" s="91"/>
      <c r="B1641" s="91"/>
      <c r="C1641" s="91"/>
      <c r="D1641" s="91"/>
      <c r="E1641" s="91"/>
      <c r="F1641" s="92"/>
      <c r="G1641" s="83"/>
      <c r="H1641" s="83"/>
      <c r="I1641" s="83"/>
      <c r="J1641" s="83"/>
      <c r="K1641" s="83"/>
      <c r="L1641" s="83"/>
      <c r="M1641" s="83"/>
      <c r="N1641" s="83"/>
      <c r="O1641" s="83"/>
      <c r="P1641" s="83"/>
      <c r="Q1641" s="83"/>
      <c r="R1641" s="83"/>
      <c r="S1641" s="83"/>
      <c r="T1641" s="83"/>
      <c r="U1641" s="83"/>
      <c r="V1641" s="83"/>
      <c r="W1641" s="83"/>
    </row>
    <row r="1642">
      <c r="A1642" s="91"/>
      <c r="B1642" s="91"/>
      <c r="C1642" s="91"/>
      <c r="D1642" s="91"/>
      <c r="E1642" s="91"/>
      <c r="F1642" s="92"/>
      <c r="G1642" s="83"/>
      <c r="H1642" s="83"/>
      <c r="I1642" s="83"/>
      <c r="J1642" s="83"/>
      <c r="K1642" s="83"/>
      <c r="L1642" s="83"/>
      <c r="M1642" s="83"/>
      <c r="N1642" s="83"/>
      <c r="O1642" s="83"/>
      <c r="P1642" s="83"/>
      <c r="Q1642" s="83"/>
      <c r="R1642" s="83"/>
      <c r="S1642" s="83"/>
      <c r="T1642" s="83"/>
      <c r="U1642" s="83"/>
      <c r="V1642" s="83"/>
      <c r="W1642" s="83"/>
    </row>
    <row r="1643">
      <c r="A1643" s="91"/>
      <c r="B1643" s="91"/>
      <c r="C1643" s="91"/>
      <c r="D1643" s="91"/>
      <c r="E1643" s="91"/>
      <c r="F1643" s="92"/>
      <c r="G1643" s="83"/>
      <c r="H1643" s="83"/>
      <c r="I1643" s="83"/>
      <c r="J1643" s="83"/>
      <c r="K1643" s="83"/>
      <c r="L1643" s="83"/>
      <c r="M1643" s="83"/>
      <c r="N1643" s="83"/>
      <c r="O1643" s="83"/>
      <c r="P1643" s="83"/>
      <c r="Q1643" s="83"/>
      <c r="R1643" s="83"/>
      <c r="S1643" s="83"/>
      <c r="T1643" s="83"/>
      <c r="U1643" s="83"/>
      <c r="V1643" s="83"/>
      <c r="W1643" s="83"/>
    </row>
    <row r="1644">
      <c r="A1644" s="91"/>
      <c r="B1644" s="91"/>
      <c r="C1644" s="91"/>
      <c r="D1644" s="91"/>
      <c r="E1644" s="91"/>
      <c r="F1644" s="92"/>
      <c r="G1644" s="83"/>
      <c r="H1644" s="83"/>
      <c r="I1644" s="83"/>
      <c r="J1644" s="83"/>
      <c r="K1644" s="83"/>
      <c r="L1644" s="83"/>
      <c r="M1644" s="83"/>
      <c r="N1644" s="83"/>
      <c r="O1644" s="83"/>
      <c r="P1644" s="83"/>
      <c r="Q1644" s="83"/>
      <c r="R1644" s="83"/>
      <c r="S1644" s="83"/>
      <c r="T1644" s="83"/>
      <c r="U1644" s="83"/>
      <c r="V1644" s="83"/>
      <c r="W1644" s="83"/>
    </row>
    <row r="1645">
      <c r="A1645" s="91"/>
      <c r="B1645" s="91"/>
      <c r="C1645" s="91"/>
      <c r="D1645" s="91"/>
      <c r="E1645" s="91"/>
      <c r="F1645" s="92"/>
      <c r="G1645" s="83"/>
      <c r="H1645" s="83"/>
      <c r="I1645" s="83"/>
      <c r="J1645" s="83"/>
      <c r="K1645" s="83"/>
      <c r="L1645" s="83"/>
      <c r="M1645" s="83"/>
      <c r="N1645" s="83"/>
      <c r="O1645" s="83"/>
      <c r="P1645" s="83"/>
      <c r="Q1645" s="83"/>
      <c r="R1645" s="83"/>
      <c r="S1645" s="83"/>
      <c r="T1645" s="83"/>
      <c r="U1645" s="83"/>
      <c r="V1645" s="83"/>
      <c r="W1645" s="83"/>
    </row>
    <row r="1646">
      <c r="A1646" s="91"/>
      <c r="B1646" s="91"/>
      <c r="C1646" s="91"/>
      <c r="D1646" s="91"/>
      <c r="E1646" s="91"/>
      <c r="F1646" s="92"/>
      <c r="G1646" s="83"/>
      <c r="H1646" s="83"/>
      <c r="I1646" s="83"/>
      <c r="J1646" s="83"/>
      <c r="K1646" s="83"/>
      <c r="L1646" s="83"/>
      <c r="M1646" s="83"/>
      <c r="N1646" s="83"/>
      <c r="O1646" s="83"/>
      <c r="P1646" s="83"/>
      <c r="Q1646" s="83"/>
      <c r="R1646" s="83"/>
      <c r="S1646" s="83"/>
      <c r="T1646" s="83"/>
      <c r="U1646" s="83"/>
      <c r="V1646" s="83"/>
      <c r="W1646" s="83"/>
    </row>
    <row r="1647">
      <c r="A1647" s="91"/>
      <c r="B1647" s="91"/>
      <c r="C1647" s="91"/>
      <c r="D1647" s="91"/>
      <c r="E1647" s="91"/>
      <c r="F1647" s="92"/>
      <c r="G1647" s="83"/>
      <c r="H1647" s="83"/>
      <c r="I1647" s="83"/>
      <c r="J1647" s="83"/>
      <c r="K1647" s="83"/>
      <c r="L1647" s="83"/>
      <c r="M1647" s="83"/>
      <c r="N1647" s="83"/>
      <c r="O1647" s="83"/>
      <c r="P1647" s="83"/>
      <c r="Q1647" s="83"/>
      <c r="R1647" s="83"/>
      <c r="S1647" s="83"/>
      <c r="T1647" s="83"/>
      <c r="U1647" s="83"/>
      <c r="V1647" s="83"/>
      <c r="W1647" s="83"/>
    </row>
    <row r="1648">
      <c r="A1648" s="91"/>
      <c r="B1648" s="91"/>
      <c r="C1648" s="91"/>
      <c r="D1648" s="91"/>
      <c r="E1648" s="91"/>
      <c r="F1648" s="92"/>
      <c r="G1648" s="83"/>
      <c r="H1648" s="83"/>
      <c r="I1648" s="83"/>
      <c r="J1648" s="83"/>
      <c r="K1648" s="83"/>
      <c r="L1648" s="83"/>
      <c r="M1648" s="83"/>
      <c r="N1648" s="83"/>
      <c r="O1648" s="83"/>
      <c r="P1648" s="83"/>
      <c r="Q1648" s="83"/>
      <c r="R1648" s="83"/>
      <c r="S1648" s="83"/>
      <c r="T1648" s="83"/>
      <c r="U1648" s="83"/>
      <c r="V1648" s="83"/>
      <c r="W1648" s="83"/>
    </row>
    <row r="1649">
      <c r="A1649" s="91"/>
      <c r="B1649" s="91"/>
      <c r="C1649" s="91"/>
      <c r="D1649" s="91"/>
      <c r="E1649" s="91"/>
      <c r="F1649" s="92"/>
      <c r="G1649" s="83"/>
      <c r="H1649" s="83"/>
      <c r="I1649" s="83"/>
      <c r="J1649" s="83"/>
      <c r="K1649" s="83"/>
      <c r="L1649" s="83"/>
      <c r="M1649" s="83"/>
      <c r="N1649" s="83"/>
      <c r="O1649" s="83"/>
      <c r="P1649" s="83"/>
      <c r="Q1649" s="83"/>
      <c r="R1649" s="83"/>
      <c r="S1649" s="83"/>
      <c r="T1649" s="83"/>
      <c r="U1649" s="83"/>
      <c r="V1649" s="83"/>
      <c r="W1649" s="83"/>
    </row>
    <row r="1650">
      <c r="A1650" s="91"/>
      <c r="B1650" s="91"/>
      <c r="C1650" s="91"/>
      <c r="D1650" s="91"/>
      <c r="E1650" s="91"/>
      <c r="F1650" s="92"/>
      <c r="G1650" s="83"/>
      <c r="H1650" s="83"/>
      <c r="I1650" s="83"/>
      <c r="J1650" s="83"/>
      <c r="K1650" s="83"/>
      <c r="L1650" s="83"/>
      <c r="M1650" s="83"/>
      <c r="N1650" s="83"/>
      <c r="O1650" s="83"/>
      <c r="P1650" s="83"/>
      <c r="Q1650" s="83"/>
      <c r="R1650" s="83"/>
      <c r="S1650" s="83"/>
      <c r="T1650" s="83"/>
      <c r="U1650" s="83"/>
      <c r="V1650" s="83"/>
      <c r="W1650" s="83"/>
    </row>
    <row r="1651">
      <c r="A1651" s="91"/>
      <c r="B1651" s="91"/>
      <c r="C1651" s="91"/>
      <c r="D1651" s="91"/>
      <c r="E1651" s="91"/>
      <c r="F1651" s="92"/>
      <c r="G1651" s="83"/>
      <c r="H1651" s="83"/>
      <c r="I1651" s="83"/>
      <c r="J1651" s="83"/>
      <c r="K1651" s="83"/>
      <c r="L1651" s="83"/>
      <c r="M1651" s="83"/>
      <c r="N1651" s="83"/>
      <c r="O1651" s="83"/>
      <c r="P1651" s="83"/>
      <c r="Q1651" s="83"/>
      <c r="R1651" s="83"/>
      <c r="S1651" s="83"/>
      <c r="T1651" s="83"/>
      <c r="U1651" s="83"/>
      <c r="V1651" s="83"/>
      <c r="W1651" s="83"/>
    </row>
    <row r="1652">
      <c r="A1652" s="91"/>
      <c r="B1652" s="91"/>
      <c r="C1652" s="91"/>
      <c r="D1652" s="91"/>
      <c r="E1652" s="91"/>
      <c r="F1652" s="92"/>
      <c r="G1652" s="83"/>
      <c r="H1652" s="83"/>
      <c r="I1652" s="83"/>
      <c r="J1652" s="83"/>
      <c r="K1652" s="83"/>
      <c r="L1652" s="83"/>
      <c r="M1652" s="83"/>
      <c r="N1652" s="83"/>
      <c r="O1652" s="83"/>
      <c r="P1652" s="83"/>
      <c r="Q1652" s="83"/>
      <c r="R1652" s="83"/>
      <c r="S1652" s="83"/>
      <c r="T1652" s="83"/>
      <c r="U1652" s="83"/>
      <c r="V1652" s="83"/>
      <c r="W1652" s="83"/>
    </row>
    <row r="1653">
      <c r="A1653" s="91"/>
      <c r="B1653" s="91"/>
      <c r="C1653" s="91"/>
      <c r="D1653" s="91"/>
      <c r="E1653" s="91"/>
      <c r="F1653" s="92"/>
      <c r="G1653" s="83"/>
      <c r="H1653" s="83"/>
      <c r="I1653" s="83"/>
      <c r="J1653" s="83"/>
      <c r="K1653" s="83"/>
      <c r="L1653" s="83"/>
      <c r="M1653" s="83"/>
      <c r="N1653" s="83"/>
      <c r="O1653" s="83"/>
      <c r="P1653" s="83"/>
      <c r="Q1653" s="83"/>
      <c r="R1653" s="83"/>
      <c r="S1653" s="83"/>
      <c r="T1653" s="83"/>
      <c r="U1653" s="83"/>
      <c r="V1653" s="83"/>
      <c r="W1653" s="83"/>
    </row>
    <row r="1654">
      <c r="A1654" s="91"/>
      <c r="B1654" s="91"/>
      <c r="C1654" s="91"/>
      <c r="D1654" s="91"/>
      <c r="E1654" s="91"/>
      <c r="F1654" s="92"/>
      <c r="G1654" s="83"/>
      <c r="H1654" s="83"/>
      <c r="I1654" s="83"/>
      <c r="J1654" s="83"/>
      <c r="K1654" s="83"/>
      <c r="L1654" s="83"/>
      <c r="M1654" s="83"/>
      <c r="N1654" s="83"/>
      <c r="O1654" s="83"/>
      <c r="P1654" s="83"/>
      <c r="Q1654" s="83"/>
      <c r="R1654" s="83"/>
      <c r="S1654" s="83"/>
      <c r="T1654" s="83"/>
      <c r="U1654" s="83"/>
      <c r="V1654" s="83"/>
      <c r="W1654" s="83"/>
    </row>
    <row r="1655">
      <c r="A1655" s="91"/>
      <c r="B1655" s="91"/>
      <c r="C1655" s="91"/>
      <c r="D1655" s="91"/>
      <c r="E1655" s="91"/>
      <c r="F1655" s="92"/>
      <c r="G1655" s="83"/>
      <c r="H1655" s="83"/>
      <c r="I1655" s="83"/>
      <c r="J1655" s="83"/>
      <c r="K1655" s="83"/>
      <c r="L1655" s="83"/>
      <c r="M1655" s="83"/>
      <c r="N1655" s="83"/>
      <c r="O1655" s="83"/>
      <c r="P1655" s="83"/>
      <c r="Q1655" s="83"/>
      <c r="R1655" s="83"/>
      <c r="S1655" s="83"/>
      <c r="T1655" s="83"/>
      <c r="U1655" s="83"/>
      <c r="V1655" s="83"/>
      <c r="W1655" s="83"/>
    </row>
    <row r="1656">
      <c r="A1656" s="91"/>
      <c r="B1656" s="91"/>
      <c r="C1656" s="91"/>
      <c r="D1656" s="91"/>
      <c r="E1656" s="91"/>
      <c r="F1656" s="92"/>
      <c r="G1656" s="83"/>
      <c r="H1656" s="83"/>
      <c r="I1656" s="83"/>
      <c r="J1656" s="83"/>
      <c r="K1656" s="83"/>
      <c r="L1656" s="83"/>
      <c r="M1656" s="83"/>
      <c r="N1656" s="83"/>
      <c r="O1656" s="83"/>
      <c r="P1656" s="83"/>
      <c r="Q1656" s="83"/>
      <c r="R1656" s="83"/>
      <c r="S1656" s="83"/>
      <c r="T1656" s="83"/>
      <c r="U1656" s="83"/>
      <c r="V1656" s="83"/>
      <c r="W1656" s="83"/>
    </row>
    <row r="1657">
      <c r="A1657" s="91"/>
      <c r="B1657" s="91"/>
      <c r="C1657" s="91"/>
      <c r="D1657" s="91"/>
      <c r="E1657" s="91"/>
      <c r="F1657" s="92"/>
      <c r="G1657" s="83"/>
      <c r="H1657" s="83"/>
      <c r="I1657" s="83"/>
      <c r="J1657" s="83"/>
      <c r="K1657" s="83"/>
      <c r="L1657" s="83"/>
      <c r="M1657" s="83"/>
      <c r="N1657" s="83"/>
      <c r="O1657" s="83"/>
      <c r="P1657" s="83"/>
      <c r="Q1657" s="83"/>
      <c r="R1657" s="83"/>
      <c r="S1657" s="83"/>
      <c r="T1657" s="83"/>
      <c r="U1657" s="83"/>
      <c r="V1657" s="83"/>
      <c r="W1657" s="83"/>
    </row>
    <row r="1658">
      <c r="A1658" s="91"/>
      <c r="B1658" s="91"/>
      <c r="C1658" s="91"/>
      <c r="D1658" s="91"/>
      <c r="E1658" s="91"/>
      <c r="F1658" s="92"/>
      <c r="G1658" s="83"/>
      <c r="H1658" s="83"/>
      <c r="I1658" s="83"/>
      <c r="J1658" s="83"/>
      <c r="K1658" s="83"/>
      <c r="L1658" s="83"/>
      <c r="M1658" s="83"/>
      <c r="N1658" s="83"/>
      <c r="O1658" s="83"/>
      <c r="P1658" s="83"/>
      <c r="Q1658" s="83"/>
      <c r="R1658" s="83"/>
      <c r="S1658" s="83"/>
      <c r="T1658" s="83"/>
      <c r="U1658" s="83"/>
      <c r="V1658" s="83"/>
      <c r="W1658" s="83"/>
    </row>
    <row r="1659">
      <c r="A1659" s="91"/>
      <c r="B1659" s="91"/>
      <c r="C1659" s="91"/>
      <c r="D1659" s="91"/>
      <c r="E1659" s="91"/>
      <c r="F1659" s="92"/>
      <c r="G1659" s="83"/>
      <c r="H1659" s="83"/>
      <c r="I1659" s="83"/>
      <c r="J1659" s="83"/>
      <c r="K1659" s="83"/>
      <c r="L1659" s="83"/>
      <c r="M1659" s="83"/>
      <c r="N1659" s="83"/>
      <c r="O1659" s="83"/>
      <c r="P1659" s="83"/>
      <c r="Q1659" s="83"/>
      <c r="R1659" s="83"/>
      <c r="S1659" s="83"/>
      <c r="T1659" s="83"/>
      <c r="U1659" s="83"/>
      <c r="V1659" s="83"/>
      <c r="W1659" s="83"/>
    </row>
    <row r="1660">
      <c r="A1660" s="91"/>
      <c r="B1660" s="91"/>
      <c r="C1660" s="91"/>
      <c r="D1660" s="91"/>
      <c r="E1660" s="91"/>
      <c r="F1660" s="92"/>
      <c r="G1660" s="83"/>
      <c r="H1660" s="83"/>
      <c r="I1660" s="83"/>
      <c r="J1660" s="83"/>
      <c r="K1660" s="83"/>
      <c r="L1660" s="83"/>
      <c r="M1660" s="83"/>
      <c r="N1660" s="83"/>
      <c r="O1660" s="83"/>
      <c r="P1660" s="83"/>
      <c r="Q1660" s="83"/>
      <c r="R1660" s="83"/>
      <c r="S1660" s="83"/>
      <c r="T1660" s="83"/>
      <c r="U1660" s="83"/>
      <c r="V1660" s="83"/>
      <c r="W1660" s="83"/>
    </row>
    <row r="1661">
      <c r="A1661" s="91"/>
      <c r="B1661" s="91"/>
      <c r="C1661" s="91"/>
      <c r="D1661" s="91"/>
      <c r="E1661" s="91"/>
      <c r="F1661" s="92"/>
      <c r="G1661" s="83"/>
      <c r="H1661" s="83"/>
      <c r="I1661" s="83"/>
      <c r="J1661" s="83"/>
      <c r="K1661" s="83"/>
      <c r="L1661" s="83"/>
      <c r="M1661" s="83"/>
      <c r="N1661" s="83"/>
      <c r="O1661" s="83"/>
      <c r="P1661" s="83"/>
      <c r="Q1661" s="83"/>
      <c r="R1661" s="83"/>
      <c r="S1661" s="83"/>
      <c r="T1661" s="83"/>
      <c r="U1661" s="83"/>
      <c r="V1661" s="83"/>
      <c r="W1661" s="83"/>
    </row>
    <row r="1662">
      <c r="A1662" s="91"/>
      <c r="B1662" s="91"/>
      <c r="C1662" s="91"/>
      <c r="D1662" s="91"/>
      <c r="E1662" s="91"/>
      <c r="F1662" s="92"/>
      <c r="G1662" s="83"/>
      <c r="H1662" s="83"/>
      <c r="I1662" s="83"/>
      <c r="J1662" s="83"/>
      <c r="K1662" s="83"/>
      <c r="L1662" s="83"/>
      <c r="M1662" s="83"/>
      <c r="N1662" s="83"/>
      <c r="O1662" s="83"/>
      <c r="P1662" s="83"/>
      <c r="Q1662" s="83"/>
      <c r="R1662" s="83"/>
      <c r="S1662" s="83"/>
      <c r="T1662" s="83"/>
      <c r="U1662" s="83"/>
      <c r="V1662" s="83"/>
      <c r="W1662" s="83"/>
    </row>
    <row r="1663">
      <c r="A1663" s="91"/>
      <c r="B1663" s="91"/>
      <c r="C1663" s="91"/>
      <c r="D1663" s="91"/>
      <c r="E1663" s="91"/>
      <c r="F1663" s="92"/>
      <c r="G1663" s="83"/>
      <c r="H1663" s="83"/>
      <c r="I1663" s="83"/>
      <c r="J1663" s="83"/>
      <c r="K1663" s="83"/>
      <c r="L1663" s="83"/>
      <c r="M1663" s="83"/>
      <c r="N1663" s="83"/>
      <c r="O1663" s="83"/>
      <c r="P1663" s="83"/>
      <c r="Q1663" s="83"/>
      <c r="R1663" s="83"/>
      <c r="S1663" s="83"/>
      <c r="T1663" s="83"/>
      <c r="U1663" s="83"/>
      <c r="V1663" s="83"/>
      <c r="W1663" s="83"/>
    </row>
    <row r="1664">
      <c r="A1664" s="91"/>
      <c r="B1664" s="91"/>
      <c r="C1664" s="91"/>
      <c r="D1664" s="91"/>
      <c r="E1664" s="91"/>
      <c r="F1664" s="92"/>
      <c r="G1664" s="83"/>
      <c r="H1664" s="83"/>
      <c r="I1664" s="83"/>
      <c r="J1664" s="83"/>
      <c r="K1664" s="83"/>
      <c r="L1664" s="83"/>
      <c r="M1664" s="83"/>
      <c r="N1664" s="83"/>
      <c r="O1664" s="83"/>
      <c r="P1664" s="83"/>
      <c r="Q1664" s="83"/>
      <c r="R1664" s="83"/>
      <c r="S1664" s="83"/>
      <c r="T1664" s="83"/>
      <c r="U1664" s="83"/>
      <c r="V1664" s="83"/>
      <c r="W1664" s="83"/>
    </row>
    <row r="1665">
      <c r="A1665" s="91"/>
      <c r="B1665" s="91"/>
      <c r="C1665" s="91"/>
      <c r="D1665" s="91"/>
      <c r="E1665" s="91"/>
      <c r="F1665" s="92"/>
      <c r="G1665" s="83"/>
      <c r="H1665" s="83"/>
      <c r="I1665" s="83"/>
      <c r="J1665" s="83"/>
      <c r="K1665" s="83"/>
      <c r="L1665" s="83"/>
      <c r="M1665" s="83"/>
      <c r="N1665" s="83"/>
      <c r="O1665" s="83"/>
      <c r="P1665" s="83"/>
      <c r="Q1665" s="83"/>
      <c r="R1665" s="83"/>
      <c r="S1665" s="83"/>
      <c r="T1665" s="83"/>
      <c r="U1665" s="83"/>
      <c r="V1665" s="83"/>
      <c r="W1665" s="83"/>
    </row>
    <row r="1666">
      <c r="A1666" s="91"/>
      <c r="B1666" s="91"/>
      <c r="C1666" s="91"/>
      <c r="D1666" s="91"/>
      <c r="E1666" s="91"/>
      <c r="F1666" s="92"/>
      <c r="G1666" s="83"/>
      <c r="H1666" s="83"/>
      <c r="I1666" s="83"/>
      <c r="J1666" s="83"/>
      <c r="K1666" s="83"/>
      <c r="L1666" s="83"/>
      <c r="M1666" s="83"/>
      <c r="N1666" s="83"/>
      <c r="O1666" s="83"/>
      <c r="P1666" s="83"/>
      <c r="Q1666" s="83"/>
      <c r="R1666" s="83"/>
      <c r="S1666" s="83"/>
      <c r="T1666" s="83"/>
      <c r="U1666" s="83"/>
      <c r="V1666" s="83"/>
      <c r="W1666" s="83"/>
    </row>
    <row r="1667">
      <c r="A1667" s="91"/>
      <c r="B1667" s="91"/>
      <c r="C1667" s="91"/>
      <c r="D1667" s="91"/>
      <c r="E1667" s="91"/>
      <c r="F1667" s="92"/>
      <c r="G1667" s="83"/>
      <c r="H1667" s="83"/>
      <c r="I1667" s="83"/>
      <c r="J1667" s="83"/>
      <c r="K1667" s="83"/>
      <c r="L1667" s="83"/>
      <c r="M1667" s="83"/>
      <c r="N1667" s="83"/>
      <c r="O1667" s="83"/>
      <c r="P1667" s="83"/>
      <c r="Q1667" s="83"/>
      <c r="R1667" s="83"/>
      <c r="S1667" s="83"/>
      <c r="T1667" s="83"/>
      <c r="U1667" s="83"/>
      <c r="V1667" s="83"/>
      <c r="W1667" s="83"/>
    </row>
    <row r="1668">
      <c r="A1668" s="91"/>
      <c r="B1668" s="91"/>
      <c r="C1668" s="91"/>
      <c r="D1668" s="91"/>
      <c r="E1668" s="91"/>
      <c r="F1668" s="92"/>
      <c r="G1668" s="83"/>
      <c r="H1668" s="83"/>
      <c r="I1668" s="83"/>
      <c r="J1668" s="83"/>
      <c r="K1668" s="83"/>
      <c r="L1668" s="83"/>
      <c r="M1668" s="83"/>
      <c r="N1668" s="83"/>
      <c r="O1668" s="83"/>
      <c r="P1668" s="83"/>
      <c r="Q1668" s="83"/>
      <c r="R1668" s="83"/>
      <c r="S1668" s="83"/>
      <c r="T1668" s="83"/>
      <c r="U1668" s="83"/>
      <c r="V1668" s="83"/>
      <c r="W1668" s="83"/>
    </row>
    <row r="1669">
      <c r="A1669" s="91"/>
      <c r="B1669" s="91"/>
      <c r="C1669" s="91"/>
      <c r="D1669" s="91"/>
      <c r="E1669" s="91"/>
      <c r="F1669" s="92"/>
      <c r="G1669" s="83"/>
      <c r="H1669" s="83"/>
      <c r="I1669" s="83"/>
      <c r="J1669" s="83"/>
      <c r="K1669" s="83"/>
      <c r="L1669" s="83"/>
      <c r="M1669" s="83"/>
      <c r="N1669" s="83"/>
      <c r="O1669" s="83"/>
      <c r="P1669" s="83"/>
      <c r="Q1669" s="83"/>
      <c r="R1669" s="83"/>
      <c r="S1669" s="83"/>
      <c r="T1669" s="83"/>
      <c r="U1669" s="83"/>
      <c r="V1669" s="83"/>
      <c r="W1669" s="83"/>
    </row>
    <row r="1670">
      <c r="A1670" s="91"/>
      <c r="B1670" s="91"/>
      <c r="C1670" s="91"/>
      <c r="D1670" s="91"/>
      <c r="E1670" s="91"/>
      <c r="F1670" s="92"/>
      <c r="G1670" s="83"/>
      <c r="H1670" s="83"/>
      <c r="I1670" s="83"/>
      <c r="J1670" s="83"/>
      <c r="K1670" s="83"/>
      <c r="L1670" s="83"/>
      <c r="M1670" s="83"/>
      <c r="N1670" s="83"/>
      <c r="O1670" s="83"/>
      <c r="P1670" s="83"/>
      <c r="Q1670" s="83"/>
      <c r="R1670" s="83"/>
      <c r="S1670" s="83"/>
      <c r="T1670" s="83"/>
      <c r="U1670" s="83"/>
      <c r="V1670" s="83"/>
      <c r="W1670" s="83"/>
    </row>
    <row r="1671">
      <c r="A1671" s="91"/>
      <c r="B1671" s="91"/>
      <c r="C1671" s="91"/>
      <c r="D1671" s="91"/>
      <c r="E1671" s="91"/>
      <c r="F1671" s="92"/>
      <c r="G1671" s="83"/>
      <c r="H1671" s="83"/>
      <c r="I1671" s="83"/>
      <c r="J1671" s="83"/>
      <c r="K1671" s="83"/>
      <c r="L1671" s="83"/>
      <c r="M1671" s="83"/>
      <c r="N1671" s="83"/>
      <c r="O1671" s="83"/>
      <c r="P1671" s="83"/>
      <c r="Q1671" s="83"/>
      <c r="R1671" s="83"/>
      <c r="S1671" s="83"/>
      <c r="T1671" s="83"/>
      <c r="U1671" s="83"/>
      <c r="V1671" s="83"/>
      <c r="W1671" s="83"/>
    </row>
    <row r="1672">
      <c r="A1672" s="91"/>
      <c r="B1672" s="91"/>
      <c r="C1672" s="91"/>
      <c r="D1672" s="91"/>
      <c r="E1672" s="91"/>
      <c r="F1672" s="92"/>
      <c r="G1672" s="83"/>
      <c r="H1672" s="83"/>
      <c r="I1672" s="83"/>
      <c r="J1672" s="83"/>
      <c r="K1672" s="83"/>
      <c r="L1672" s="83"/>
      <c r="M1672" s="83"/>
      <c r="N1672" s="83"/>
      <c r="O1672" s="83"/>
      <c r="P1672" s="83"/>
      <c r="Q1672" s="83"/>
      <c r="R1672" s="83"/>
      <c r="S1672" s="83"/>
      <c r="T1672" s="83"/>
      <c r="U1672" s="83"/>
      <c r="V1672" s="83"/>
      <c r="W1672" s="83"/>
    </row>
    <row r="1673">
      <c r="A1673" s="91"/>
      <c r="B1673" s="91"/>
      <c r="C1673" s="91"/>
      <c r="D1673" s="91"/>
      <c r="E1673" s="91"/>
      <c r="F1673" s="92"/>
      <c r="G1673" s="83"/>
      <c r="H1673" s="83"/>
      <c r="I1673" s="83"/>
      <c r="J1673" s="83"/>
      <c r="K1673" s="83"/>
      <c r="L1673" s="83"/>
      <c r="M1673" s="83"/>
      <c r="N1673" s="83"/>
      <c r="O1673" s="83"/>
      <c r="P1673" s="83"/>
      <c r="Q1673" s="83"/>
      <c r="R1673" s="83"/>
      <c r="S1673" s="83"/>
      <c r="T1673" s="83"/>
      <c r="U1673" s="83"/>
      <c r="V1673" s="83"/>
      <c r="W1673" s="83"/>
    </row>
    <row r="1674">
      <c r="A1674" s="91"/>
      <c r="B1674" s="91"/>
      <c r="C1674" s="91"/>
      <c r="D1674" s="91"/>
      <c r="E1674" s="91"/>
      <c r="F1674" s="92"/>
      <c r="G1674" s="83"/>
      <c r="H1674" s="83"/>
      <c r="I1674" s="83"/>
      <c r="J1674" s="83"/>
      <c r="K1674" s="83"/>
      <c r="L1674" s="83"/>
      <c r="M1674" s="83"/>
      <c r="N1674" s="83"/>
      <c r="O1674" s="83"/>
      <c r="P1674" s="83"/>
      <c r="Q1674" s="83"/>
      <c r="R1674" s="83"/>
      <c r="S1674" s="83"/>
      <c r="T1674" s="83"/>
      <c r="U1674" s="83"/>
      <c r="V1674" s="83"/>
      <c r="W1674" s="83"/>
    </row>
    <row r="1675">
      <c r="A1675" s="91"/>
      <c r="B1675" s="91"/>
      <c r="C1675" s="91"/>
      <c r="D1675" s="91"/>
      <c r="E1675" s="91"/>
      <c r="F1675" s="92"/>
      <c r="G1675" s="83"/>
      <c r="H1675" s="83"/>
      <c r="I1675" s="83"/>
      <c r="J1675" s="83"/>
      <c r="K1675" s="83"/>
      <c r="L1675" s="83"/>
      <c r="M1675" s="83"/>
      <c r="N1675" s="83"/>
      <c r="O1675" s="83"/>
      <c r="P1675" s="83"/>
      <c r="Q1675" s="83"/>
      <c r="R1675" s="83"/>
      <c r="S1675" s="83"/>
      <c r="T1675" s="83"/>
      <c r="U1675" s="83"/>
      <c r="V1675" s="83"/>
      <c r="W1675" s="83"/>
    </row>
    <row r="1676">
      <c r="A1676" s="91"/>
      <c r="B1676" s="91"/>
      <c r="C1676" s="91"/>
      <c r="D1676" s="91"/>
      <c r="E1676" s="91"/>
      <c r="F1676" s="92"/>
      <c r="G1676" s="83"/>
      <c r="H1676" s="83"/>
      <c r="I1676" s="83"/>
      <c r="J1676" s="83"/>
      <c r="K1676" s="83"/>
      <c r="L1676" s="83"/>
      <c r="M1676" s="83"/>
      <c r="N1676" s="83"/>
      <c r="O1676" s="83"/>
      <c r="P1676" s="83"/>
      <c r="Q1676" s="83"/>
      <c r="R1676" s="83"/>
      <c r="S1676" s="83"/>
      <c r="T1676" s="83"/>
      <c r="U1676" s="83"/>
      <c r="V1676" s="83"/>
      <c r="W1676" s="83"/>
    </row>
    <row r="1677">
      <c r="A1677" s="91"/>
      <c r="B1677" s="91"/>
      <c r="C1677" s="91"/>
      <c r="D1677" s="91"/>
      <c r="E1677" s="91"/>
      <c r="F1677" s="92"/>
      <c r="G1677" s="83"/>
      <c r="H1677" s="83"/>
      <c r="I1677" s="83"/>
      <c r="J1677" s="83"/>
      <c r="K1677" s="83"/>
      <c r="L1677" s="83"/>
      <c r="M1677" s="83"/>
      <c r="N1677" s="83"/>
      <c r="O1677" s="83"/>
      <c r="P1677" s="83"/>
      <c r="Q1677" s="83"/>
      <c r="R1677" s="83"/>
      <c r="S1677" s="83"/>
      <c r="T1677" s="83"/>
      <c r="U1677" s="83"/>
      <c r="V1677" s="83"/>
      <c r="W1677" s="83"/>
    </row>
    <row r="1678">
      <c r="A1678" s="91"/>
      <c r="B1678" s="91"/>
      <c r="C1678" s="91"/>
      <c r="D1678" s="91"/>
      <c r="E1678" s="91"/>
      <c r="F1678" s="92"/>
      <c r="G1678" s="83"/>
      <c r="H1678" s="83"/>
      <c r="I1678" s="83"/>
      <c r="J1678" s="83"/>
      <c r="K1678" s="83"/>
      <c r="L1678" s="83"/>
      <c r="M1678" s="83"/>
      <c r="N1678" s="83"/>
      <c r="O1678" s="83"/>
      <c r="P1678" s="83"/>
      <c r="Q1678" s="83"/>
      <c r="R1678" s="83"/>
      <c r="S1678" s="83"/>
      <c r="T1678" s="83"/>
      <c r="U1678" s="83"/>
      <c r="V1678" s="83"/>
      <c r="W1678" s="83"/>
    </row>
    <row r="1679">
      <c r="A1679" s="91"/>
      <c r="B1679" s="91"/>
      <c r="C1679" s="91"/>
      <c r="D1679" s="91"/>
      <c r="E1679" s="91"/>
      <c r="F1679" s="92"/>
      <c r="G1679" s="83"/>
      <c r="H1679" s="83"/>
      <c r="I1679" s="83"/>
      <c r="J1679" s="83"/>
      <c r="K1679" s="83"/>
      <c r="L1679" s="83"/>
      <c r="M1679" s="83"/>
      <c r="N1679" s="83"/>
      <c r="O1679" s="83"/>
      <c r="P1679" s="83"/>
      <c r="Q1679" s="83"/>
      <c r="R1679" s="83"/>
      <c r="S1679" s="83"/>
      <c r="T1679" s="83"/>
      <c r="U1679" s="83"/>
      <c r="V1679" s="83"/>
      <c r="W1679" s="83"/>
    </row>
    <row r="1680">
      <c r="A1680" s="91"/>
      <c r="B1680" s="91"/>
      <c r="C1680" s="91"/>
      <c r="D1680" s="91"/>
      <c r="E1680" s="91"/>
      <c r="F1680" s="92"/>
      <c r="G1680" s="83"/>
      <c r="H1680" s="83"/>
      <c r="I1680" s="83"/>
      <c r="J1680" s="83"/>
      <c r="K1680" s="83"/>
      <c r="L1680" s="83"/>
      <c r="M1680" s="83"/>
      <c r="N1680" s="83"/>
      <c r="O1680" s="83"/>
      <c r="P1680" s="83"/>
      <c r="Q1680" s="83"/>
      <c r="R1680" s="83"/>
      <c r="S1680" s="83"/>
      <c r="T1680" s="83"/>
      <c r="U1680" s="83"/>
      <c r="V1680" s="83"/>
      <c r="W1680" s="83"/>
    </row>
    <row r="1681">
      <c r="A1681" s="91"/>
      <c r="B1681" s="91"/>
      <c r="C1681" s="91"/>
      <c r="D1681" s="91"/>
      <c r="E1681" s="91"/>
      <c r="F1681" s="92"/>
      <c r="G1681" s="83"/>
      <c r="H1681" s="83"/>
      <c r="I1681" s="83"/>
      <c r="J1681" s="83"/>
      <c r="K1681" s="83"/>
      <c r="L1681" s="83"/>
      <c r="M1681" s="83"/>
      <c r="N1681" s="83"/>
      <c r="O1681" s="83"/>
      <c r="P1681" s="83"/>
      <c r="Q1681" s="83"/>
      <c r="R1681" s="83"/>
      <c r="S1681" s="83"/>
      <c r="T1681" s="83"/>
      <c r="U1681" s="83"/>
      <c r="V1681" s="83"/>
      <c r="W1681" s="83"/>
    </row>
    <row r="1682">
      <c r="A1682" s="91"/>
      <c r="B1682" s="91"/>
      <c r="C1682" s="91"/>
      <c r="D1682" s="91"/>
      <c r="E1682" s="91"/>
      <c r="F1682" s="92"/>
      <c r="G1682" s="83"/>
      <c r="H1682" s="83"/>
      <c r="I1682" s="83"/>
      <c r="J1682" s="83"/>
      <c r="K1682" s="83"/>
      <c r="L1682" s="83"/>
      <c r="M1682" s="83"/>
      <c r="N1682" s="83"/>
      <c r="O1682" s="83"/>
      <c r="P1682" s="83"/>
      <c r="Q1682" s="83"/>
      <c r="R1682" s="83"/>
      <c r="S1682" s="83"/>
      <c r="T1682" s="83"/>
      <c r="U1682" s="83"/>
      <c r="V1682" s="83"/>
      <c r="W1682" s="83"/>
    </row>
    <row r="1683">
      <c r="A1683" s="91"/>
      <c r="B1683" s="91"/>
      <c r="C1683" s="91"/>
      <c r="D1683" s="91"/>
      <c r="E1683" s="91"/>
      <c r="F1683" s="92"/>
      <c r="G1683" s="83"/>
      <c r="H1683" s="83"/>
      <c r="I1683" s="83"/>
      <c r="J1683" s="83"/>
      <c r="K1683" s="83"/>
      <c r="L1683" s="83"/>
      <c r="M1683" s="83"/>
      <c r="N1683" s="83"/>
      <c r="O1683" s="83"/>
      <c r="P1683" s="83"/>
      <c r="Q1683" s="83"/>
      <c r="R1683" s="83"/>
      <c r="S1683" s="83"/>
      <c r="T1683" s="83"/>
      <c r="U1683" s="83"/>
      <c r="V1683" s="83"/>
      <c r="W1683" s="83"/>
    </row>
    <row r="1684">
      <c r="A1684" s="91"/>
      <c r="B1684" s="91"/>
      <c r="C1684" s="91"/>
      <c r="D1684" s="91"/>
      <c r="E1684" s="91"/>
      <c r="F1684" s="92"/>
      <c r="G1684" s="83"/>
      <c r="H1684" s="83"/>
      <c r="I1684" s="83"/>
      <c r="J1684" s="83"/>
      <c r="K1684" s="83"/>
      <c r="L1684" s="83"/>
      <c r="M1684" s="83"/>
      <c r="N1684" s="83"/>
      <c r="O1684" s="83"/>
      <c r="P1684" s="83"/>
      <c r="Q1684" s="83"/>
      <c r="R1684" s="83"/>
      <c r="S1684" s="83"/>
      <c r="T1684" s="83"/>
      <c r="U1684" s="83"/>
      <c r="V1684" s="83"/>
      <c r="W1684" s="83"/>
    </row>
    <row r="1685">
      <c r="A1685" s="91"/>
      <c r="B1685" s="91"/>
      <c r="C1685" s="91"/>
      <c r="D1685" s="91"/>
      <c r="E1685" s="91"/>
      <c r="F1685" s="92"/>
      <c r="G1685" s="83"/>
      <c r="H1685" s="83"/>
      <c r="I1685" s="83"/>
      <c r="J1685" s="83"/>
      <c r="K1685" s="83"/>
      <c r="L1685" s="83"/>
      <c r="M1685" s="83"/>
      <c r="N1685" s="83"/>
      <c r="O1685" s="83"/>
      <c r="P1685" s="83"/>
      <c r="Q1685" s="83"/>
      <c r="R1685" s="83"/>
      <c r="S1685" s="83"/>
      <c r="T1685" s="83"/>
      <c r="U1685" s="83"/>
      <c r="V1685" s="83"/>
      <c r="W1685" s="83"/>
    </row>
    <row r="1686">
      <c r="A1686" s="91"/>
      <c r="B1686" s="91"/>
      <c r="C1686" s="91"/>
      <c r="D1686" s="91"/>
      <c r="E1686" s="91"/>
      <c r="F1686" s="92"/>
      <c r="G1686" s="83"/>
      <c r="H1686" s="83"/>
      <c r="I1686" s="83"/>
      <c r="J1686" s="83"/>
      <c r="K1686" s="83"/>
      <c r="L1686" s="83"/>
      <c r="M1686" s="83"/>
      <c r="N1686" s="83"/>
      <c r="O1686" s="83"/>
      <c r="P1686" s="83"/>
      <c r="Q1686" s="83"/>
      <c r="R1686" s="83"/>
      <c r="S1686" s="83"/>
      <c r="T1686" s="83"/>
      <c r="U1686" s="83"/>
      <c r="V1686" s="83"/>
      <c r="W1686" s="83"/>
    </row>
    <row r="1687">
      <c r="A1687" s="91"/>
      <c r="B1687" s="91"/>
      <c r="C1687" s="91"/>
      <c r="D1687" s="91"/>
      <c r="E1687" s="91"/>
      <c r="F1687" s="92"/>
      <c r="G1687" s="83"/>
      <c r="H1687" s="83"/>
      <c r="I1687" s="83"/>
      <c r="J1687" s="83"/>
      <c r="K1687" s="83"/>
      <c r="L1687" s="83"/>
      <c r="M1687" s="83"/>
      <c r="N1687" s="83"/>
      <c r="O1687" s="83"/>
      <c r="P1687" s="83"/>
      <c r="Q1687" s="83"/>
      <c r="R1687" s="83"/>
      <c r="S1687" s="83"/>
      <c r="T1687" s="83"/>
      <c r="U1687" s="83"/>
      <c r="V1687" s="83"/>
      <c r="W1687" s="83"/>
    </row>
    <row r="1688">
      <c r="A1688" s="91"/>
      <c r="B1688" s="91"/>
      <c r="C1688" s="91"/>
      <c r="D1688" s="91"/>
      <c r="E1688" s="91"/>
      <c r="F1688" s="92"/>
      <c r="G1688" s="83"/>
      <c r="H1688" s="83"/>
      <c r="I1688" s="83"/>
      <c r="J1688" s="83"/>
      <c r="K1688" s="83"/>
      <c r="L1688" s="83"/>
      <c r="M1688" s="83"/>
      <c r="N1688" s="83"/>
      <c r="O1688" s="83"/>
      <c r="P1688" s="83"/>
      <c r="Q1688" s="83"/>
      <c r="R1688" s="83"/>
      <c r="S1688" s="83"/>
      <c r="T1688" s="83"/>
      <c r="U1688" s="83"/>
      <c r="V1688" s="83"/>
      <c r="W1688" s="83"/>
    </row>
    <row r="1689">
      <c r="A1689" s="91"/>
      <c r="B1689" s="91"/>
      <c r="C1689" s="91"/>
      <c r="D1689" s="91"/>
      <c r="E1689" s="91"/>
      <c r="F1689" s="92"/>
      <c r="G1689" s="83"/>
      <c r="H1689" s="83"/>
      <c r="I1689" s="83"/>
      <c r="J1689" s="83"/>
      <c r="K1689" s="83"/>
      <c r="L1689" s="83"/>
      <c r="M1689" s="83"/>
      <c r="N1689" s="83"/>
      <c r="O1689" s="83"/>
      <c r="P1689" s="83"/>
      <c r="Q1689" s="83"/>
      <c r="R1689" s="83"/>
      <c r="S1689" s="83"/>
      <c r="T1689" s="83"/>
      <c r="U1689" s="83"/>
      <c r="V1689" s="83"/>
      <c r="W1689" s="83"/>
    </row>
    <row r="1690">
      <c r="A1690" s="91"/>
      <c r="B1690" s="91"/>
      <c r="C1690" s="91"/>
      <c r="D1690" s="91"/>
      <c r="E1690" s="91"/>
      <c r="F1690" s="92"/>
      <c r="G1690" s="83"/>
      <c r="H1690" s="83"/>
      <c r="I1690" s="83"/>
      <c r="J1690" s="83"/>
      <c r="K1690" s="83"/>
      <c r="L1690" s="83"/>
      <c r="M1690" s="83"/>
      <c r="N1690" s="83"/>
      <c r="O1690" s="83"/>
      <c r="P1690" s="83"/>
      <c r="Q1690" s="83"/>
      <c r="R1690" s="83"/>
      <c r="S1690" s="83"/>
      <c r="T1690" s="83"/>
      <c r="U1690" s="83"/>
      <c r="V1690" s="83"/>
      <c r="W1690" s="83"/>
    </row>
    <row r="1691">
      <c r="A1691" s="91"/>
      <c r="B1691" s="91"/>
      <c r="C1691" s="91"/>
      <c r="D1691" s="91"/>
      <c r="E1691" s="91"/>
      <c r="F1691" s="92"/>
      <c r="G1691" s="83"/>
      <c r="H1691" s="83"/>
      <c r="I1691" s="83"/>
      <c r="J1691" s="83"/>
      <c r="K1691" s="83"/>
      <c r="L1691" s="83"/>
      <c r="M1691" s="83"/>
      <c r="N1691" s="83"/>
      <c r="O1691" s="83"/>
      <c r="P1691" s="83"/>
      <c r="Q1691" s="83"/>
      <c r="R1691" s="83"/>
      <c r="S1691" s="83"/>
      <c r="T1691" s="83"/>
      <c r="U1691" s="83"/>
      <c r="V1691" s="83"/>
      <c r="W1691" s="83"/>
    </row>
    <row r="1692">
      <c r="A1692" s="91"/>
      <c r="B1692" s="91"/>
      <c r="C1692" s="91"/>
      <c r="D1692" s="91"/>
      <c r="E1692" s="91"/>
      <c r="F1692" s="92"/>
      <c r="G1692" s="83"/>
      <c r="H1692" s="83"/>
      <c r="I1692" s="83"/>
      <c r="J1692" s="83"/>
      <c r="K1692" s="83"/>
      <c r="L1692" s="83"/>
      <c r="M1692" s="83"/>
      <c r="N1692" s="83"/>
      <c r="O1692" s="83"/>
      <c r="P1692" s="83"/>
      <c r="Q1692" s="83"/>
      <c r="R1692" s="83"/>
      <c r="S1692" s="83"/>
      <c r="T1692" s="83"/>
      <c r="U1692" s="83"/>
      <c r="V1692" s="83"/>
      <c r="W1692" s="83"/>
    </row>
    <row r="1693">
      <c r="A1693" s="91"/>
      <c r="B1693" s="91"/>
      <c r="C1693" s="91"/>
      <c r="D1693" s="91"/>
      <c r="E1693" s="91"/>
      <c r="F1693" s="92"/>
      <c r="G1693" s="83"/>
      <c r="H1693" s="83"/>
      <c r="I1693" s="83"/>
      <c r="J1693" s="83"/>
      <c r="K1693" s="83"/>
      <c r="L1693" s="83"/>
      <c r="M1693" s="83"/>
      <c r="N1693" s="83"/>
      <c r="O1693" s="83"/>
      <c r="P1693" s="83"/>
      <c r="Q1693" s="83"/>
      <c r="R1693" s="83"/>
      <c r="S1693" s="83"/>
      <c r="T1693" s="83"/>
      <c r="U1693" s="83"/>
      <c r="V1693" s="83"/>
      <c r="W1693" s="83"/>
    </row>
    <row r="1694">
      <c r="A1694" s="91"/>
      <c r="B1694" s="91"/>
      <c r="C1694" s="91"/>
      <c r="D1694" s="91"/>
      <c r="E1694" s="91"/>
      <c r="F1694" s="92"/>
      <c r="G1694" s="83"/>
      <c r="H1694" s="83"/>
      <c r="I1694" s="83"/>
      <c r="J1694" s="83"/>
      <c r="K1694" s="83"/>
      <c r="L1694" s="83"/>
      <c r="M1694" s="83"/>
      <c r="N1694" s="83"/>
      <c r="O1694" s="83"/>
      <c r="P1694" s="83"/>
      <c r="Q1694" s="83"/>
      <c r="R1694" s="83"/>
      <c r="S1694" s="83"/>
      <c r="T1694" s="83"/>
      <c r="U1694" s="83"/>
      <c r="V1694" s="83"/>
      <c r="W1694" s="83"/>
    </row>
    <row r="1695">
      <c r="A1695" s="91"/>
      <c r="B1695" s="91"/>
      <c r="C1695" s="91"/>
      <c r="D1695" s="91"/>
      <c r="E1695" s="91"/>
      <c r="F1695" s="92"/>
      <c r="G1695" s="83"/>
      <c r="H1695" s="83"/>
      <c r="I1695" s="83"/>
      <c r="J1695" s="83"/>
      <c r="K1695" s="83"/>
      <c r="L1695" s="83"/>
      <c r="M1695" s="83"/>
      <c r="N1695" s="83"/>
      <c r="O1695" s="83"/>
      <c r="P1695" s="83"/>
      <c r="Q1695" s="83"/>
      <c r="R1695" s="83"/>
      <c r="S1695" s="83"/>
      <c r="T1695" s="83"/>
      <c r="U1695" s="83"/>
      <c r="V1695" s="83"/>
      <c r="W1695" s="83"/>
    </row>
    <row r="1696">
      <c r="A1696" s="91"/>
      <c r="B1696" s="91"/>
      <c r="C1696" s="91"/>
      <c r="D1696" s="91"/>
      <c r="E1696" s="91"/>
      <c r="F1696" s="92"/>
      <c r="G1696" s="83"/>
      <c r="H1696" s="83"/>
      <c r="I1696" s="83"/>
      <c r="J1696" s="83"/>
      <c r="K1696" s="83"/>
      <c r="L1696" s="83"/>
      <c r="M1696" s="83"/>
      <c r="N1696" s="83"/>
      <c r="O1696" s="83"/>
      <c r="P1696" s="83"/>
      <c r="Q1696" s="83"/>
      <c r="R1696" s="83"/>
      <c r="S1696" s="83"/>
      <c r="T1696" s="83"/>
      <c r="U1696" s="83"/>
      <c r="V1696" s="83"/>
      <c r="W1696" s="83"/>
    </row>
    <row r="1697">
      <c r="A1697" s="91"/>
      <c r="B1697" s="91"/>
      <c r="C1697" s="91"/>
      <c r="D1697" s="91"/>
      <c r="E1697" s="91"/>
      <c r="F1697" s="92"/>
      <c r="G1697" s="83"/>
      <c r="H1697" s="83"/>
      <c r="I1697" s="83"/>
      <c r="J1697" s="83"/>
      <c r="K1697" s="83"/>
      <c r="L1697" s="83"/>
      <c r="M1697" s="83"/>
      <c r="N1697" s="83"/>
      <c r="O1697" s="83"/>
      <c r="P1697" s="83"/>
      <c r="Q1697" s="83"/>
      <c r="R1697" s="83"/>
      <c r="S1697" s="83"/>
      <c r="T1697" s="83"/>
      <c r="U1697" s="83"/>
      <c r="V1697" s="83"/>
      <c r="W1697" s="83"/>
    </row>
    <row r="1698">
      <c r="A1698" s="91"/>
      <c r="B1698" s="91"/>
      <c r="C1698" s="91"/>
      <c r="D1698" s="91"/>
      <c r="E1698" s="91"/>
      <c r="F1698" s="92"/>
      <c r="G1698" s="83"/>
      <c r="H1698" s="83"/>
      <c r="I1698" s="83"/>
      <c r="J1698" s="83"/>
      <c r="K1698" s="83"/>
      <c r="L1698" s="83"/>
      <c r="M1698" s="83"/>
      <c r="N1698" s="83"/>
      <c r="O1698" s="83"/>
      <c r="P1698" s="83"/>
      <c r="Q1698" s="83"/>
      <c r="R1698" s="83"/>
      <c r="S1698" s="83"/>
      <c r="T1698" s="83"/>
      <c r="U1698" s="83"/>
      <c r="V1698" s="83"/>
      <c r="W1698" s="83"/>
    </row>
    <row r="1699">
      <c r="A1699" s="91"/>
      <c r="B1699" s="91"/>
      <c r="C1699" s="91"/>
      <c r="D1699" s="91"/>
      <c r="E1699" s="91"/>
      <c r="F1699" s="92"/>
      <c r="G1699" s="83"/>
      <c r="H1699" s="83"/>
      <c r="I1699" s="83"/>
      <c r="J1699" s="83"/>
      <c r="K1699" s="83"/>
      <c r="L1699" s="83"/>
      <c r="M1699" s="83"/>
      <c r="N1699" s="83"/>
      <c r="O1699" s="83"/>
      <c r="P1699" s="83"/>
      <c r="Q1699" s="83"/>
      <c r="R1699" s="83"/>
      <c r="S1699" s="83"/>
      <c r="T1699" s="83"/>
      <c r="U1699" s="83"/>
      <c r="V1699" s="83"/>
      <c r="W1699" s="83"/>
    </row>
    <row r="1700">
      <c r="A1700" s="91"/>
      <c r="B1700" s="91"/>
      <c r="C1700" s="91"/>
      <c r="D1700" s="91"/>
      <c r="E1700" s="91"/>
      <c r="F1700" s="92"/>
      <c r="G1700" s="83"/>
      <c r="H1700" s="83"/>
      <c r="I1700" s="83"/>
      <c r="J1700" s="83"/>
      <c r="K1700" s="83"/>
      <c r="L1700" s="83"/>
      <c r="M1700" s="83"/>
      <c r="N1700" s="83"/>
      <c r="O1700" s="83"/>
      <c r="P1700" s="83"/>
      <c r="Q1700" s="83"/>
      <c r="R1700" s="83"/>
      <c r="S1700" s="83"/>
      <c r="T1700" s="83"/>
      <c r="U1700" s="83"/>
      <c r="V1700" s="83"/>
      <c r="W1700" s="83"/>
    </row>
    <row r="1701">
      <c r="A1701" s="91"/>
      <c r="B1701" s="91"/>
      <c r="C1701" s="91"/>
      <c r="D1701" s="91"/>
      <c r="E1701" s="91"/>
      <c r="F1701" s="92"/>
      <c r="G1701" s="83"/>
      <c r="H1701" s="83"/>
      <c r="I1701" s="83"/>
      <c r="J1701" s="83"/>
      <c r="K1701" s="83"/>
      <c r="L1701" s="83"/>
      <c r="M1701" s="83"/>
      <c r="N1701" s="83"/>
      <c r="O1701" s="83"/>
      <c r="P1701" s="83"/>
      <c r="Q1701" s="83"/>
      <c r="R1701" s="83"/>
      <c r="S1701" s="83"/>
      <c r="T1701" s="83"/>
      <c r="U1701" s="83"/>
      <c r="V1701" s="83"/>
      <c r="W1701" s="83"/>
    </row>
    <row r="1702">
      <c r="A1702" s="91"/>
      <c r="B1702" s="91"/>
      <c r="C1702" s="91"/>
      <c r="D1702" s="91"/>
      <c r="E1702" s="91"/>
      <c r="F1702" s="92"/>
      <c r="G1702" s="83"/>
      <c r="H1702" s="83"/>
      <c r="I1702" s="83"/>
      <c r="J1702" s="83"/>
      <c r="K1702" s="83"/>
      <c r="L1702" s="83"/>
      <c r="M1702" s="83"/>
      <c r="N1702" s="83"/>
      <c r="O1702" s="83"/>
      <c r="P1702" s="83"/>
      <c r="Q1702" s="83"/>
      <c r="R1702" s="83"/>
      <c r="S1702" s="83"/>
      <c r="T1702" s="83"/>
      <c r="U1702" s="83"/>
      <c r="V1702" s="83"/>
      <c r="W1702" s="83"/>
    </row>
    <row r="1703">
      <c r="A1703" s="91"/>
      <c r="B1703" s="91"/>
      <c r="C1703" s="91"/>
      <c r="D1703" s="91"/>
      <c r="E1703" s="91"/>
      <c r="F1703" s="92"/>
      <c r="G1703" s="83"/>
      <c r="H1703" s="83"/>
      <c r="I1703" s="83"/>
      <c r="J1703" s="83"/>
      <c r="K1703" s="83"/>
      <c r="L1703" s="83"/>
      <c r="M1703" s="83"/>
      <c r="N1703" s="83"/>
      <c r="O1703" s="83"/>
      <c r="P1703" s="83"/>
      <c r="Q1703" s="83"/>
      <c r="R1703" s="83"/>
      <c r="S1703" s="83"/>
      <c r="T1703" s="83"/>
      <c r="U1703" s="83"/>
      <c r="V1703" s="83"/>
      <c r="W1703" s="83"/>
    </row>
    <row r="1704">
      <c r="A1704" s="91"/>
      <c r="B1704" s="91"/>
      <c r="C1704" s="91"/>
      <c r="D1704" s="91"/>
      <c r="E1704" s="91"/>
      <c r="F1704" s="92"/>
      <c r="G1704" s="83"/>
      <c r="H1704" s="83"/>
      <c r="I1704" s="83"/>
      <c r="J1704" s="83"/>
      <c r="K1704" s="83"/>
      <c r="L1704" s="83"/>
      <c r="M1704" s="83"/>
      <c r="N1704" s="83"/>
      <c r="O1704" s="83"/>
      <c r="P1704" s="83"/>
      <c r="Q1704" s="83"/>
      <c r="R1704" s="83"/>
      <c r="S1704" s="83"/>
      <c r="T1704" s="83"/>
      <c r="U1704" s="83"/>
      <c r="V1704" s="83"/>
      <c r="W1704" s="83"/>
    </row>
    <row r="1705">
      <c r="A1705" s="91"/>
      <c r="B1705" s="91"/>
      <c r="C1705" s="91"/>
      <c r="D1705" s="91"/>
      <c r="E1705" s="91"/>
      <c r="F1705" s="92"/>
      <c r="G1705" s="83"/>
      <c r="H1705" s="83"/>
      <c r="I1705" s="83"/>
      <c r="J1705" s="83"/>
      <c r="K1705" s="83"/>
      <c r="L1705" s="83"/>
      <c r="M1705" s="83"/>
      <c r="N1705" s="83"/>
      <c r="O1705" s="83"/>
      <c r="P1705" s="83"/>
      <c r="Q1705" s="83"/>
      <c r="R1705" s="83"/>
      <c r="S1705" s="83"/>
      <c r="T1705" s="83"/>
      <c r="U1705" s="83"/>
      <c r="V1705" s="83"/>
      <c r="W1705" s="83"/>
    </row>
    <row r="1706">
      <c r="A1706" s="91"/>
      <c r="B1706" s="91"/>
      <c r="C1706" s="91"/>
      <c r="D1706" s="91"/>
      <c r="E1706" s="91"/>
      <c r="F1706" s="92"/>
      <c r="G1706" s="83"/>
      <c r="H1706" s="83"/>
      <c r="I1706" s="83"/>
      <c r="J1706" s="83"/>
      <c r="K1706" s="83"/>
      <c r="L1706" s="83"/>
      <c r="M1706" s="83"/>
      <c r="N1706" s="83"/>
      <c r="O1706" s="83"/>
      <c r="P1706" s="83"/>
      <c r="Q1706" s="83"/>
      <c r="R1706" s="83"/>
      <c r="S1706" s="83"/>
      <c r="T1706" s="83"/>
      <c r="U1706" s="83"/>
      <c r="V1706" s="83"/>
      <c r="W1706" s="83"/>
    </row>
    <row r="1707">
      <c r="A1707" s="91"/>
      <c r="B1707" s="91"/>
      <c r="C1707" s="91"/>
      <c r="D1707" s="91"/>
      <c r="E1707" s="91"/>
      <c r="F1707" s="92"/>
      <c r="G1707" s="83"/>
      <c r="H1707" s="83"/>
      <c r="I1707" s="83"/>
      <c r="J1707" s="83"/>
      <c r="K1707" s="83"/>
      <c r="L1707" s="83"/>
      <c r="M1707" s="83"/>
      <c r="N1707" s="83"/>
      <c r="O1707" s="83"/>
      <c r="P1707" s="83"/>
      <c r="Q1707" s="83"/>
      <c r="R1707" s="83"/>
      <c r="S1707" s="83"/>
      <c r="T1707" s="83"/>
      <c r="U1707" s="83"/>
      <c r="V1707" s="83"/>
      <c r="W1707" s="83"/>
    </row>
    <row r="1708">
      <c r="A1708" s="91"/>
      <c r="B1708" s="91"/>
      <c r="C1708" s="91"/>
      <c r="D1708" s="91"/>
      <c r="E1708" s="91"/>
      <c r="F1708" s="92"/>
      <c r="G1708" s="83"/>
      <c r="H1708" s="83"/>
      <c r="I1708" s="83"/>
      <c r="J1708" s="83"/>
      <c r="K1708" s="83"/>
      <c r="L1708" s="83"/>
      <c r="M1708" s="83"/>
      <c r="N1708" s="83"/>
      <c r="O1708" s="83"/>
      <c r="P1708" s="83"/>
      <c r="Q1708" s="83"/>
      <c r="R1708" s="83"/>
      <c r="S1708" s="83"/>
      <c r="T1708" s="83"/>
      <c r="U1708" s="83"/>
      <c r="V1708" s="83"/>
      <c r="W1708" s="83"/>
    </row>
    <row r="1709">
      <c r="A1709" s="91"/>
      <c r="B1709" s="91"/>
      <c r="C1709" s="91"/>
      <c r="D1709" s="91"/>
      <c r="E1709" s="91"/>
      <c r="F1709" s="92"/>
      <c r="G1709" s="83"/>
      <c r="H1709" s="83"/>
      <c r="I1709" s="83"/>
      <c r="J1709" s="83"/>
      <c r="K1709" s="83"/>
      <c r="L1709" s="83"/>
      <c r="M1709" s="83"/>
      <c r="N1709" s="83"/>
      <c r="O1709" s="83"/>
      <c r="P1709" s="83"/>
      <c r="Q1709" s="83"/>
      <c r="R1709" s="83"/>
      <c r="S1709" s="83"/>
      <c r="T1709" s="83"/>
      <c r="U1709" s="83"/>
      <c r="V1709" s="83"/>
      <c r="W1709" s="83"/>
    </row>
    <row r="1710">
      <c r="A1710" s="91"/>
      <c r="B1710" s="91"/>
      <c r="C1710" s="91"/>
      <c r="D1710" s="91"/>
      <c r="E1710" s="91"/>
      <c r="F1710" s="92"/>
      <c r="G1710" s="83"/>
      <c r="H1710" s="83"/>
      <c r="I1710" s="83"/>
      <c r="J1710" s="83"/>
      <c r="K1710" s="83"/>
      <c r="L1710" s="83"/>
      <c r="M1710" s="83"/>
      <c r="N1710" s="83"/>
      <c r="O1710" s="83"/>
      <c r="P1710" s="83"/>
      <c r="Q1710" s="83"/>
      <c r="R1710" s="83"/>
      <c r="S1710" s="83"/>
      <c r="T1710" s="83"/>
      <c r="U1710" s="83"/>
      <c r="V1710" s="83"/>
      <c r="W1710" s="83"/>
    </row>
    <row r="1711">
      <c r="A1711" s="91"/>
      <c r="B1711" s="91"/>
      <c r="C1711" s="91"/>
      <c r="D1711" s="91"/>
      <c r="E1711" s="91"/>
      <c r="F1711" s="92"/>
      <c r="G1711" s="83"/>
      <c r="H1711" s="83"/>
      <c r="I1711" s="83"/>
      <c r="J1711" s="83"/>
      <c r="K1711" s="83"/>
      <c r="L1711" s="83"/>
      <c r="M1711" s="83"/>
      <c r="N1711" s="83"/>
      <c r="O1711" s="83"/>
      <c r="P1711" s="83"/>
      <c r="Q1711" s="83"/>
      <c r="R1711" s="83"/>
      <c r="S1711" s="83"/>
      <c r="T1711" s="83"/>
      <c r="U1711" s="83"/>
      <c r="V1711" s="83"/>
      <c r="W1711" s="83"/>
    </row>
    <row r="1712">
      <c r="A1712" s="91"/>
      <c r="B1712" s="91"/>
      <c r="C1712" s="91"/>
      <c r="D1712" s="91"/>
      <c r="E1712" s="91"/>
      <c r="F1712" s="92"/>
      <c r="G1712" s="83"/>
      <c r="H1712" s="83"/>
      <c r="I1712" s="83"/>
      <c r="J1712" s="83"/>
      <c r="K1712" s="83"/>
      <c r="L1712" s="83"/>
      <c r="M1712" s="83"/>
      <c r="N1712" s="83"/>
      <c r="O1712" s="83"/>
      <c r="P1712" s="83"/>
      <c r="Q1712" s="83"/>
      <c r="R1712" s="83"/>
      <c r="S1712" s="83"/>
      <c r="T1712" s="83"/>
      <c r="U1712" s="83"/>
      <c r="V1712" s="83"/>
      <c r="W1712" s="83"/>
    </row>
    <row r="1713">
      <c r="A1713" s="91"/>
      <c r="B1713" s="91"/>
      <c r="C1713" s="91"/>
      <c r="D1713" s="91"/>
      <c r="E1713" s="91"/>
      <c r="F1713" s="92"/>
      <c r="G1713" s="83"/>
      <c r="H1713" s="83"/>
      <c r="I1713" s="83"/>
      <c r="J1713" s="83"/>
      <c r="K1713" s="83"/>
      <c r="L1713" s="83"/>
      <c r="M1713" s="83"/>
      <c r="N1713" s="83"/>
      <c r="O1713" s="83"/>
      <c r="P1713" s="83"/>
      <c r="Q1713" s="83"/>
      <c r="R1713" s="83"/>
      <c r="S1713" s="83"/>
      <c r="T1713" s="83"/>
      <c r="U1713" s="83"/>
      <c r="V1713" s="83"/>
      <c r="W1713" s="83"/>
    </row>
    <row r="1714">
      <c r="A1714" s="91"/>
      <c r="B1714" s="91"/>
      <c r="C1714" s="91"/>
      <c r="D1714" s="91"/>
      <c r="E1714" s="91"/>
      <c r="F1714" s="92"/>
      <c r="G1714" s="83"/>
      <c r="H1714" s="83"/>
      <c r="I1714" s="83"/>
      <c r="J1714" s="83"/>
      <c r="K1714" s="83"/>
      <c r="L1714" s="83"/>
      <c r="M1714" s="83"/>
      <c r="N1714" s="83"/>
      <c r="O1714" s="83"/>
      <c r="P1714" s="83"/>
      <c r="Q1714" s="83"/>
      <c r="R1714" s="83"/>
      <c r="S1714" s="83"/>
      <c r="T1714" s="83"/>
      <c r="U1714" s="83"/>
      <c r="V1714" s="83"/>
      <c r="W1714" s="83"/>
    </row>
    <row r="1715">
      <c r="A1715" s="91"/>
      <c r="B1715" s="91"/>
      <c r="C1715" s="91"/>
      <c r="D1715" s="91"/>
      <c r="E1715" s="91"/>
      <c r="F1715" s="92"/>
      <c r="G1715" s="83"/>
      <c r="H1715" s="83"/>
      <c r="I1715" s="83"/>
      <c r="J1715" s="83"/>
      <c r="K1715" s="83"/>
      <c r="L1715" s="83"/>
      <c r="M1715" s="83"/>
      <c r="N1715" s="83"/>
      <c r="O1715" s="83"/>
      <c r="P1715" s="83"/>
      <c r="Q1715" s="83"/>
      <c r="R1715" s="83"/>
      <c r="S1715" s="83"/>
      <c r="T1715" s="83"/>
      <c r="U1715" s="83"/>
      <c r="V1715" s="83"/>
      <c r="W1715" s="83"/>
    </row>
    <row r="1716">
      <c r="A1716" s="91"/>
      <c r="B1716" s="91"/>
      <c r="C1716" s="91"/>
      <c r="D1716" s="91"/>
      <c r="E1716" s="91"/>
      <c r="F1716" s="92"/>
      <c r="G1716" s="83"/>
      <c r="H1716" s="83"/>
      <c r="I1716" s="83"/>
      <c r="J1716" s="83"/>
      <c r="K1716" s="83"/>
      <c r="L1716" s="83"/>
      <c r="M1716" s="83"/>
      <c r="N1716" s="83"/>
      <c r="O1716" s="83"/>
      <c r="P1716" s="83"/>
      <c r="Q1716" s="83"/>
      <c r="R1716" s="83"/>
      <c r="S1716" s="83"/>
      <c r="T1716" s="83"/>
      <c r="U1716" s="83"/>
      <c r="V1716" s="83"/>
      <c r="W1716" s="83"/>
    </row>
    <row r="1717">
      <c r="A1717" s="91"/>
      <c r="B1717" s="91"/>
      <c r="C1717" s="91"/>
      <c r="D1717" s="91"/>
      <c r="E1717" s="91"/>
      <c r="F1717" s="92"/>
      <c r="G1717" s="83"/>
      <c r="H1717" s="83"/>
      <c r="I1717" s="83"/>
      <c r="J1717" s="83"/>
      <c r="K1717" s="83"/>
      <c r="L1717" s="83"/>
      <c r="M1717" s="83"/>
      <c r="N1717" s="83"/>
      <c r="O1717" s="83"/>
      <c r="P1717" s="83"/>
      <c r="Q1717" s="83"/>
      <c r="R1717" s="83"/>
      <c r="S1717" s="83"/>
      <c r="T1717" s="83"/>
      <c r="U1717" s="83"/>
      <c r="V1717" s="83"/>
      <c r="W1717" s="83"/>
    </row>
    <row r="1718">
      <c r="A1718" s="91"/>
      <c r="B1718" s="91"/>
      <c r="C1718" s="91"/>
      <c r="D1718" s="91"/>
      <c r="E1718" s="91"/>
      <c r="F1718" s="92"/>
      <c r="G1718" s="83"/>
      <c r="H1718" s="83"/>
      <c r="I1718" s="83"/>
      <c r="J1718" s="83"/>
      <c r="K1718" s="83"/>
      <c r="L1718" s="83"/>
      <c r="M1718" s="83"/>
      <c r="N1718" s="83"/>
      <c r="O1718" s="83"/>
      <c r="P1718" s="83"/>
      <c r="Q1718" s="83"/>
      <c r="R1718" s="83"/>
      <c r="S1718" s="83"/>
      <c r="T1718" s="83"/>
      <c r="U1718" s="83"/>
      <c r="V1718" s="83"/>
      <c r="W1718" s="83"/>
    </row>
    <row r="1719">
      <c r="A1719" s="91"/>
      <c r="B1719" s="91"/>
      <c r="C1719" s="91"/>
      <c r="D1719" s="91"/>
      <c r="E1719" s="91"/>
      <c r="F1719" s="92"/>
      <c r="G1719" s="83"/>
      <c r="H1719" s="83"/>
      <c r="I1719" s="83"/>
      <c r="J1719" s="83"/>
      <c r="K1719" s="83"/>
      <c r="L1719" s="83"/>
      <c r="M1719" s="83"/>
      <c r="N1719" s="83"/>
      <c r="O1719" s="83"/>
      <c r="P1719" s="83"/>
      <c r="Q1719" s="83"/>
      <c r="R1719" s="83"/>
      <c r="S1719" s="83"/>
      <c r="T1719" s="83"/>
      <c r="U1719" s="83"/>
      <c r="V1719" s="83"/>
      <c r="W1719" s="83"/>
    </row>
    <row r="1720">
      <c r="A1720" s="91"/>
      <c r="B1720" s="91"/>
      <c r="C1720" s="91"/>
      <c r="D1720" s="91"/>
      <c r="E1720" s="91"/>
      <c r="F1720" s="92"/>
      <c r="G1720" s="83"/>
      <c r="H1720" s="83"/>
      <c r="I1720" s="83"/>
      <c r="J1720" s="83"/>
      <c r="K1720" s="83"/>
      <c r="L1720" s="83"/>
      <c r="M1720" s="83"/>
      <c r="N1720" s="83"/>
      <c r="O1720" s="83"/>
      <c r="P1720" s="83"/>
      <c r="Q1720" s="83"/>
      <c r="R1720" s="83"/>
      <c r="S1720" s="83"/>
      <c r="T1720" s="83"/>
      <c r="U1720" s="83"/>
      <c r="V1720" s="83"/>
      <c r="W1720" s="83"/>
    </row>
    <row r="1721">
      <c r="A1721" s="91"/>
      <c r="B1721" s="91"/>
      <c r="C1721" s="91"/>
      <c r="D1721" s="91"/>
      <c r="E1721" s="91"/>
      <c r="F1721" s="92"/>
      <c r="G1721" s="83"/>
      <c r="H1721" s="83"/>
      <c r="I1721" s="83"/>
      <c r="J1721" s="83"/>
      <c r="K1721" s="83"/>
      <c r="L1721" s="83"/>
      <c r="M1721" s="83"/>
      <c r="N1721" s="83"/>
      <c r="O1721" s="83"/>
      <c r="P1721" s="83"/>
      <c r="Q1721" s="83"/>
      <c r="R1721" s="83"/>
      <c r="S1721" s="83"/>
      <c r="T1721" s="83"/>
      <c r="U1721" s="83"/>
      <c r="V1721" s="83"/>
      <c r="W1721" s="83"/>
    </row>
    <row r="1722">
      <c r="A1722" s="91"/>
      <c r="B1722" s="91"/>
      <c r="C1722" s="91"/>
      <c r="D1722" s="91"/>
      <c r="E1722" s="91"/>
      <c r="F1722" s="92"/>
      <c r="G1722" s="83"/>
      <c r="H1722" s="83"/>
      <c r="I1722" s="83"/>
      <c r="J1722" s="83"/>
      <c r="K1722" s="83"/>
      <c r="L1722" s="83"/>
      <c r="M1722" s="83"/>
      <c r="N1722" s="83"/>
      <c r="O1722" s="83"/>
      <c r="P1722" s="83"/>
      <c r="Q1722" s="83"/>
      <c r="R1722" s="83"/>
      <c r="S1722" s="83"/>
      <c r="T1722" s="83"/>
      <c r="U1722" s="83"/>
      <c r="V1722" s="83"/>
      <c r="W1722" s="83"/>
    </row>
    <row r="1723">
      <c r="A1723" s="91"/>
      <c r="B1723" s="91"/>
      <c r="C1723" s="91"/>
      <c r="D1723" s="91"/>
      <c r="E1723" s="91"/>
      <c r="F1723" s="92"/>
      <c r="G1723" s="83"/>
      <c r="H1723" s="83"/>
      <c r="I1723" s="83"/>
      <c r="J1723" s="83"/>
      <c r="K1723" s="83"/>
      <c r="L1723" s="83"/>
      <c r="M1723" s="83"/>
      <c r="N1723" s="83"/>
      <c r="O1723" s="83"/>
      <c r="P1723" s="83"/>
      <c r="Q1723" s="83"/>
      <c r="R1723" s="83"/>
      <c r="S1723" s="83"/>
      <c r="T1723" s="83"/>
      <c r="U1723" s="83"/>
      <c r="V1723" s="83"/>
      <c r="W1723" s="83"/>
    </row>
    <row r="1724">
      <c r="A1724" s="91"/>
      <c r="B1724" s="91"/>
      <c r="C1724" s="91"/>
      <c r="D1724" s="91"/>
      <c r="E1724" s="91"/>
      <c r="F1724" s="92"/>
      <c r="G1724" s="83"/>
      <c r="H1724" s="83"/>
      <c r="I1724" s="83"/>
      <c r="J1724" s="83"/>
      <c r="K1724" s="83"/>
      <c r="L1724" s="83"/>
      <c r="M1724" s="83"/>
      <c r="N1724" s="83"/>
      <c r="O1724" s="83"/>
      <c r="P1724" s="83"/>
      <c r="Q1724" s="83"/>
      <c r="R1724" s="83"/>
      <c r="S1724" s="83"/>
      <c r="T1724" s="83"/>
      <c r="U1724" s="83"/>
      <c r="V1724" s="83"/>
      <c r="W1724" s="83"/>
    </row>
    <row r="1725">
      <c r="A1725" s="91"/>
      <c r="B1725" s="91"/>
      <c r="C1725" s="91"/>
      <c r="D1725" s="91"/>
      <c r="E1725" s="91"/>
      <c r="F1725" s="92"/>
      <c r="G1725" s="83"/>
      <c r="H1725" s="83"/>
      <c r="I1725" s="83"/>
      <c r="J1725" s="83"/>
      <c r="K1725" s="83"/>
      <c r="L1725" s="83"/>
      <c r="M1725" s="83"/>
      <c r="N1725" s="83"/>
      <c r="O1725" s="83"/>
      <c r="P1725" s="83"/>
      <c r="Q1725" s="83"/>
      <c r="R1725" s="83"/>
      <c r="S1725" s="83"/>
      <c r="T1725" s="83"/>
      <c r="U1725" s="83"/>
      <c r="V1725" s="83"/>
      <c r="W1725" s="83"/>
    </row>
    <row r="1726">
      <c r="A1726" s="91"/>
      <c r="B1726" s="91"/>
      <c r="C1726" s="91"/>
      <c r="D1726" s="91"/>
      <c r="E1726" s="91"/>
      <c r="F1726" s="92"/>
      <c r="G1726" s="83"/>
      <c r="H1726" s="83"/>
      <c r="I1726" s="83"/>
      <c r="J1726" s="83"/>
      <c r="K1726" s="83"/>
      <c r="L1726" s="83"/>
      <c r="M1726" s="83"/>
      <c r="N1726" s="83"/>
      <c r="O1726" s="83"/>
      <c r="P1726" s="83"/>
      <c r="Q1726" s="83"/>
      <c r="R1726" s="83"/>
      <c r="S1726" s="83"/>
      <c r="T1726" s="83"/>
      <c r="U1726" s="83"/>
      <c r="V1726" s="83"/>
      <c r="W1726" s="83"/>
    </row>
    <row r="1727">
      <c r="A1727" s="91"/>
      <c r="B1727" s="91"/>
      <c r="C1727" s="91"/>
      <c r="D1727" s="91"/>
      <c r="E1727" s="91"/>
      <c r="F1727" s="92"/>
      <c r="G1727" s="83"/>
      <c r="H1727" s="83"/>
      <c r="I1727" s="83"/>
      <c r="J1727" s="83"/>
      <c r="K1727" s="83"/>
      <c r="L1727" s="83"/>
      <c r="M1727" s="83"/>
      <c r="N1727" s="83"/>
      <c r="O1727" s="83"/>
      <c r="P1727" s="83"/>
      <c r="Q1727" s="83"/>
      <c r="R1727" s="83"/>
      <c r="S1727" s="83"/>
      <c r="T1727" s="83"/>
      <c r="U1727" s="83"/>
      <c r="V1727" s="83"/>
      <c r="W1727" s="83"/>
    </row>
    <row r="1728">
      <c r="A1728" s="91"/>
      <c r="B1728" s="91"/>
      <c r="C1728" s="91"/>
      <c r="D1728" s="91"/>
      <c r="E1728" s="91"/>
      <c r="F1728" s="92"/>
      <c r="G1728" s="83"/>
      <c r="H1728" s="83"/>
      <c r="I1728" s="83"/>
      <c r="J1728" s="83"/>
      <c r="K1728" s="83"/>
      <c r="L1728" s="83"/>
      <c r="M1728" s="83"/>
      <c r="N1728" s="83"/>
      <c r="O1728" s="83"/>
      <c r="P1728" s="83"/>
      <c r="Q1728" s="83"/>
      <c r="R1728" s="83"/>
      <c r="S1728" s="83"/>
      <c r="T1728" s="83"/>
      <c r="U1728" s="83"/>
      <c r="V1728" s="83"/>
      <c r="W1728" s="83"/>
    </row>
    <row r="1729">
      <c r="A1729" s="91"/>
      <c r="B1729" s="91"/>
      <c r="C1729" s="91"/>
      <c r="D1729" s="91"/>
      <c r="E1729" s="91"/>
      <c r="F1729" s="92"/>
      <c r="G1729" s="83"/>
      <c r="H1729" s="83"/>
      <c r="I1729" s="83"/>
      <c r="J1729" s="83"/>
      <c r="K1729" s="83"/>
      <c r="L1729" s="83"/>
      <c r="M1729" s="83"/>
      <c r="N1729" s="83"/>
      <c r="O1729" s="83"/>
      <c r="P1729" s="83"/>
      <c r="Q1729" s="83"/>
      <c r="R1729" s="83"/>
      <c r="S1729" s="83"/>
      <c r="T1729" s="83"/>
      <c r="U1729" s="83"/>
      <c r="V1729" s="83"/>
      <c r="W1729" s="83"/>
    </row>
    <row r="1730">
      <c r="A1730" s="91"/>
      <c r="B1730" s="91"/>
      <c r="C1730" s="91"/>
      <c r="D1730" s="91"/>
      <c r="E1730" s="91"/>
      <c r="F1730" s="92"/>
      <c r="G1730" s="83"/>
      <c r="H1730" s="83"/>
      <c r="I1730" s="83"/>
      <c r="J1730" s="83"/>
      <c r="K1730" s="83"/>
      <c r="L1730" s="83"/>
      <c r="M1730" s="83"/>
      <c r="N1730" s="83"/>
      <c r="O1730" s="83"/>
      <c r="P1730" s="83"/>
      <c r="Q1730" s="83"/>
      <c r="R1730" s="83"/>
      <c r="S1730" s="83"/>
      <c r="T1730" s="83"/>
      <c r="U1730" s="83"/>
      <c r="V1730" s="83"/>
      <c r="W1730" s="83"/>
    </row>
    <row r="1731">
      <c r="A1731" s="91"/>
      <c r="B1731" s="91"/>
      <c r="C1731" s="91"/>
      <c r="D1731" s="91"/>
      <c r="E1731" s="91"/>
      <c r="F1731" s="92"/>
      <c r="G1731" s="83"/>
      <c r="H1731" s="83"/>
      <c r="I1731" s="83"/>
      <c r="J1731" s="83"/>
      <c r="K1731" s="83"/>
      <c r="L1731" s="83"/>
      <c r="M1731" s="83"/>
      <c r="N1731" s="83"/>
      <c r="O1731" s="83"/>
      <c r="P1731" s="83"/>
      <c r="Q1731" s="83"/>
      <c r="R1731" s="83"/>
      <c r="S1731" s="83"/>
      <c r="T1731" s="83"/>
      <c r="U1731" s="83"/>
      <c r="V1731" s="83"/>
      <c r="W1731" s="83"/>
    </row>
    <row r="1732">
      <c r="A1732" s="91"/>
      <c r="B1732" s="91"/>
      <c r="C1732" s="91"/>
      <c r="D1732" s="91"/>
      <c r="E1732" s="91"/>
      <c r="F1732" s="92"/>
      <c r="G1732" s="83"/>
      <c r="H1732" s="83"/>
      <c r="I1732" s="83"/>
      <c r="J1732" s="83"/>
      <c r="K1732" s="83"/>
      <c r="L1732" s="83"/>
      <c r="M1732" s="83"/>
      <c r="N1732" s="83"/>
      <c r="O1732" s="83"/>
      <c r="P1732" s="83"/>
      <c r="Q1732" s="83"/>
      <c r="R1732" s="83"/>
      <c r="S1732" s="83"/>
      <c r="T1732" s="83"/>
      <c r="U1732" s="83"/>
      <c r="V1732" s="83"/>
      <c r="W1732" s="83"/>
    </row>
    <row r="1733">
      <c r="A1733" s="91"/>
      <c r="B1733" s="91"/>
      <c r="C1733" s="91"/>
      <c r="D1733" s="91"/>
      <c r="E1733" s="91"/>
      <c r="F1733" s="92"/>
      <c r="G1733" s="83"/>
      <c r="H1733" s="83"/>
      <c r="I1733" s="83"/>
      <c r="J1733" s="83"/>
      <c r="K1733" s="83"/>
      <c r="L1733" s="83"/>
      <c r="M1733" s="83"/>
      <c r="N1733" s="83"/>
      <c r="O1733" s="83"/>
      <c r="P1733" s="83"/>
      <c r="Q1733" s="83"/>
      <c r="R1733" s="83"/>
      <c r="S1733" s="83"/>
      <c r="T1733" s="83"/>
      <c r="U1733" s="83"/>
      <c r="V1733" s="83"/>
      <c r="W1733" s="83"/>
    </row>
    <row r="1734">
      <c r="A1734" s="91"/>
      <c r="B1734" s="91"/>
      <c r="C1734" s="91"/>
      <c r="D1734" s="91"/>
      <c r="E1734" s="91"/>
      <c r="F1734" s="92"/>
      <c r="G1734" s="83"/>
      <c r="H1734" s="83"/>
      <c r="I1734" s="83"/>
      <c r="J1734" s="83"/>
      <c r="K1734" s="83"/>
      <c r="L1734" s="83"/>
      <c r="M1734" s="83"/>
      <c r="N1734" s="83"/>
      <c r="O1734" s="83"/>
      <c r="P1734" s="83"/>
      <c r="Q1734" s="83"/>
      <c r="R1734" s="83"/>
      <c r="S1734" s="83"/>
      <c r="T1734" s="83"/>
      <c r="U1734" s="83"/>
      <c r="V1734" s="83"/>
      <c r="W1734" s="83"/>
    </row>
    <row r="1735">
      <c r="A1735" s="91"/>
      <c r="B1735" s="91"/>
      <c r="C1735" s="91"/>
      <c r="D1735" s="91"/>
      <c r="E1735" s="91"/>
      <c r="F1735" s="92"/>
      <c r="G1735" s="83"/>
      <c r="H1735" s="83"/>
      <c r="I1735" s="83"/>
      <c r="J1735" s="83"/>
      <c r="K1735" s="83"/>
      <c r="L1735" s="83"/>
      <c r="M1735" s="83"/>
      <c r="N1735" s="83"/>
      <c r="O1735" s="83"/>
      <c r="P1735" s="83"/>
      <c r="Q1735" s="83"/>
      <c r="R1735" s="83"/>
      <c r="S1735" s="83"/>
      <c r="T1735" s="83"/>
      <c r="U1735" s="83"/>
      <c r="V1735" s="83"/>
      <c r="W1735" s="83"/>
    </row>
    <row r="1736">
      <c r="A1736" s="91"/>
      <c r="B1736" s="91"/>
      <c r="C1736" s="91"/>
      <c r="D1736" s="91"/>
      <c r="E1736" s="91"/>
      <c r="F1736" s="92"/>
      <c r="G1736" s="83"/>
      <c r="H1736" s="83"/>
      <c r="I1736" s="83"/>
      <c r="J1736" s="83"/>
      <c r="K1736" s="83"/>
      <c r="L1736" s="83"/>
      <c r="M1736" s="83"/>
      <c r="N1736" s="83"/>
      <c r="O1736" s="83"/>
      <c r="P1736" s="83"/>
      <c r="Q1736" s="83"/>
      <c r="R1736" s="83"/>
      <c r="S1736" s="83"/>
      <c r="T1736" s="83"/>
      <c r="U1736" s="83"/>
      <c r="V1736" s="83"/>
      <c r="W1736" s="83"/>
    </row>
    <row r="1737">
      <c r="A1737" s="91"/>
      <c r="B1737" s="91"/>
      <c r="C1737" s="91"/>
      <c r="D1737" s="91"/>
      <c r="E1737" s="91"/>
      <c r="F1737" s="92"/>
      <c r="G1737" s="83"/>
      <c r="H1737" s="83"/>
      <c r="I1737" s="83"/>
      <c r="J1737" s="83"/>
      <c r="K1737" s="83"/>
      <c r="L1737" s="83"/>
      <c r="M1737" s="83"/>
      <c r="N1737" s="83"/>
      <c r="O1737" s="83"/>
      <c r="P1737" s="83"/>
      <c r="Q1737" s="83"/>
      <c r="R1737" s="83"/>
      <c r="S1737" s="83"/>
      <c r="T1737" s="83"/>
      <c r="U1737" s="83"/>
      <c r="V1737" s="83"/>
      <c r="W1737" s="83"/>
    </row>
    <row r="1738">
      <c r="A1738" s="91"/>
      <c r="B1738" s="91"/>
      <c r="C1738" s="91"/>
      <c r="D1738" s="91"/>
      <c r="E1738" s="91"/>
      <c r="F1738" s="92"/>
      <c r="G1738" s="83"/>
      <c r="H1738" s="83"/>
      <c r="I1738" s="83"/>
      <c r="J1738" s="83"/>
      <c r="K1738" s="83"/>
      <c r="L1738" s="83"/>
      <c r="M1738" s="83"/>
      <c r="N1738" s="83"/>
      <c r="O1738" s="83"/>
      <c r="P1738" s="83"/>
      <c r="Q1738" s="83"/>
      <c r="R1738" s="83"/>
      <c r="S1738" s="83"/>
      <c r="T1738" s="83"/>
      <c r="U1738" s="83"/>
      <c r="V1738" s="83"/>
      <c r="W1738" s="83"/>
    </row>
    <row r="1739">
      <c r="A1739" s="91"/>
      <c r="B1739" s="91"/>
      <c r="C1739" s="91"/>
      <c r="D1739" s="91"/>
      <c r="E1739" s="91"/>
      <c r="F1739" s="92"/>
      <c r="G1739" s="83"/>
      <c r="H1739" s="83"/>
      <c r="I1739" s="83"/>
      <c r="J1739" s="83"/>
      <c r="K1739" s="83"/>
      <c r="L1739" s="83"/>
      <c r="M1739" s="83"/>
      <c r="N1739" s="83"/>
      <c r="O1739" s="83"/>
      <c r="P1739" s="83"/>
      <c r="Q1739" s="83"/>
      <c r="R1739" s="83"/>
      <c r="S1739" s="83"/>
      <c r="T1739" s="83"/>
      <c r="U1739" s="83"/>
      <c r="V1739" s="83"/>
      <c r="W1739" s="83"/>
    </row>
    <row r="1740">
      <c r="A1740" s="91"/>
      <c r="B1740" s="91"/>
      <c r="C1740" s="91"/>
      <c r="D1740" s="91"/>
      <c r="E1740" s="91"/>
      <c r="F1740" s="92"/>
      <c r="G1740" s="83"/>
      <c r="H1740" s="83"/>
      <c r="I1740" s="83"/>
      <c r="J1740" s="83"/>
      <c r="K1740" s="83"/>
      <c r="L1740" s="83"/>
      <c r="M1740" s="83"/>
      <c r="N1740" s="83"/>
      <c r="O1740" s="83"/>
      <c r="P1740" s="83"/>
      <c r="Q1740" s="83"/>
      <c r="R1740" s="83"/>
      <c r="S1740" s="83"/>
      <c r="T1740" s="83"/>
      <c r="U1740" s="83"/>
      <c r="V1740" s="83"/>
      <c r="W1740" s="83"/>
    </row>
    <row r="1741">
      <c r="A1741" s="91"/>
      <c r="B1741" s="91"/>
      <c r="C1741" s="91"/>
      <c r="D1741" s="91"/>
      <c r="E1741" s="91"/>
      <c r="F1741" s="92"/>
      <c r="G1741" s="83"/>
      <c r="H1741" s="83"/>
      <c r="I1741" s="83"/>
      <c r="J1741" s="83"/>
      <c r="K1741" s="83"/>
      <c r="L1741" s="83"/>
      <c r="M1741" s="83"/>
      <c r="N1741" s="83"/>
      <c r="O1741" s="83"/>
      <c r="P1741" s="83"/>
      <c r="Q1741" s="83"/>
      <c r="R1741" s="83"/>
      <c r="S1741" s="83"/>
      <c r="T1741" s="83"/>
      <c r="U1741" s="83"/>
      <c r="V1741" s="83"/>
      <c r="W1741" s="83"/>
    </row>
    <row r="1742">
      <c r="A1742" s="91"/>
      <c r="B1742" s="91"/>
      <c r="C1742" s="91"/>
      <c r="D1742" s="91"/>
      <c r="E1742" s="91"/>
      <c r="F1742" s="92"/>
      <c r="G1742" s="83"/>
      <c r="H1742" s="83"/>
      <c r="I1742" s="83"/>
      <c r="J1742" s="83"/>
      <c r="K1742" s="83"/>
      <c r="L1742" s="83"/>
      <c r="M1742" s="83"/>
      <c r="N1742" s="83"/>
      <c r="O1742" s="83"/>
      <c r="P1742" s="83"/>
      <c r="Q1742" s="83"/>
      <c r="R1742" s="83"/>
      <c r="S1742" s="83"/>
      <c r="T1742" s="83"/>
      <c r="U1742" s="83"/>
      <c r="V1742" s="83"/>
      <c r="W1742" s="83"/>
    </row>
    <row r="1743">
      <c r="A1743" s="91"/>
      <c r="B1743" s="91"/>
      <c r="C1743" s="91"/>
      <c r="D1743" s="91"/>
      <c r="E1743" s="91"/>
      <c r="F1743" s="92"/>
      <c r="G1743" s="83"/>
      <c r="H1743" s="83"/>
      <c r="I1743" s="83"/>
      <c r="J1743" s="83"/>
      <c r="K1743" s="83"/>
      <c r="L1743" s="83"/>
      <c r="M1743" s="83"/>
      <c r="N1743" s="83"/>
      <c r="O1743" s="83"/>
      <c r="P1743" s="83"/>
      <c r="Q1743" s="83"/>
      <c r="R1743" s="83"/>
      <c r="S1743" s="83"/>
      <c r="T1743" s="83"/>
      <c r="U1743" s="83"/>
      <c r="V1743" s="83"/>
      <c r="W1743" s="83"/>
    </row>
    <row r="1744">
      <c r="A1744" s="91"/>
      <c r="B1744" s="91"/>
      <c r="C1744" s="91"/>
      <c r="D1744" s="91"/>
      <c r="E1744" s="91"/>
      <c r="F1744" s="92"/>
      <c r="G1744" s="83"/>
      <c r="H1744" s="83"/>
      <c r="I1744" s="83"/>
      <c r="J1744" s="83"/>
      <c r="K1744" s="83"/>
      <c r="L1744" s="83"/>
      <c r="M1744" s="83"/>
      <c r="N1744" s="83"/>
      <c r="O1744" s="83"/>
      <c r="P1744" s="83"/>
      <c r="Q1744" s="83"/>
      <c r="R1744" s="83"/>
      <c r="S1744" s="83"/>
      <c r="T1744" s="83"/>
      <c r="U1744" s="83"/>
      <c r="V1744" s="83"/>
      <c r="W1744" s="83"/>
    </row>
    <row r="1745">
      <c r="A1745" s="91"/>
      <c r="B1745" s="91"/>
      <c r="C1745" s="91"/>
      <c r="D1745" s="91"/>
      <c r="E1745" s="91"/>
      <c r="F1745" s="92"/>
      <c r="G1745" s="83"/>
      <c r="H1745" s="83"/>
      <c r="I1745" s="83"/>
      <c r="J1745" s="83"/>
      <c r="K1745" s="83"/>
      <c r="L1745" s="83"/>
      <c r="M1745" s="83"/>
      <c r="N1745" s="83"/>
      <c r="O1745" s="83"/>
      <c r="P1745" s="83"/>
      <c r="Q1745" s="83"/>
      <c r="R1745" s="83"/>
      <c r="S1745" s="83"/>
      <c r="T1745" s="83"/>
      <c r="U1745" s="83"/>
      <c r="V1745" s="83"/>
      <c r="W1745" s="83"/>
    </row>
    <row r="1746">
      <c r="A1746" s="91"/>
      <c r="B1746" s="91"/>
      <c r="C1746" s="91"/>
      <c r="D1746" s="91"/>
      <c r="E1746" s="91"/>
      <c r="F1746" s="92"/>
      <c r="G1746" s="83"/>
      <c r="H1746" s="83"/>
      <c r="I1746" s="83"/>
      <c r="J1746" s="83"/>
      <c r="K1746" s="83"/>
      <c r="L1746" s="83"/>
      <c r="M1746" s="83"/>
      <c r="N1746" s="83"/>
      <c r="O1746" s="83"/>
      <c r="P1746" s="83"/>
      <c r="Q1746" s="83"/>
      <c r="R1746" s="83"/>
      <c r="S1746" s="83"/>
      <c r="T1746" s="83"/>
      <c r="U1746" s="83"/>
      <c r="V1746" s="83"/>
      <c r="W1746" s="83"/>
    </row>
    <row r="1747">
      <c r="A1747" s="91"/>
      <c r="B1747" s="91"/>
      <c r="C1747" s="91"/>
      <c r="D1747" s="91"/>
      <c r="E1747" s="91"/>
      <c r="F1747" s="92"/>
      <c r="G1747" s="83"/>
      <c r="H1747" s="83"/>
      <c r="I1747" s="83"/>
      <c r="J1747" s="83"/>
      <c r="K1747" s="83"/>
      <c r="L1747" s="83"/>
      <c r="M1747" s="83"/>
      <c r="N1747" s="83"/>
      <c r="O1747" s="83"/>
      <c r="P1747" s="83"/>
      <c r="Q1747" s="83"/>
      <c r="R1747" s="83"/>
      <c r="S1747" s="83"/>
      <c r="T1747" s="83"/>
      <c r="U1747" s="83"/>
      <c r="V1747" s="83"/>
      <c r="W1747" s="83"/>
    </row>
    <row r="1748">
      <c r="A1748" s="91"/>
      <c r="B1748" s="91"/>
      <c r="C1748" s="91"/>
      <c r="D1748" s="91"/>
      <c r="E1748" s="91"/>
      <c r="F1748" s="92"/>
      <c r="G1748" s="83"/>
      <c r="H1748" s="83"/>
      <c r="I1748" s="83"/>
      <c r="J1748" s="83"/>
      <c r="K1748" s="83"/>
      <c r="L1748" s="83"/>
      <c r="M1748" s="83"/>
      <c r="N1748" s="83"/>
      <c r="O1748" s="83"/>
      <c r="P1748" s="83"/>
      <c r="Q1748" s="83"/>
      <c r="R1748" s="83"/>
      <c r="S1748" s="83"/>
      <c r="T1748" s="83"/>
      <c r="U1748" s="83"/>
      <c r="V1748" s="83"/>
      <c r="W1748" s="83"/>
    </row>
    <row r="1749">
      <c r="A1749" s="91"/>
      <c r="B1749" s="91"/>
      <c r="C1749" s="91"/>
      <c r="D1749" s="91"/>
      <c r="E1749" s="91"/>
      <c r="F1749" s="92"/>
      <c r="G1749" s="83"/>
      <c r="H1749" s="83"/>
      <c r="I1749" s="83"/>
      <c r="J1749" s="83"/>
      <c r="K1749" s="83"/>
      <c r="L1749" s="83"/>
      <c r="M1749" s="83"/>
      <c r="N1749" s="83"/>
      <c r="O1749" s="83"/>
      <c r="P1749" s="83"/>
      <c r="Q1749" s="83"/>
      <c r="R1749" s="83"/>
      <c r="S1749" s="83"/>
      <c r="T1749" s="83"/>
      <c r="U1749" s="83"/>
      <c r="V1749" s="83"/>
      <c r="W1749" s="83"/>
    </row>
    <row r="1750">
      <c r="A1750" s="91"/>
      <c r="B1750" s="91"/>
      <c r="C1750" s="91"/>
      <c r="D1750" s="91"/>
      <c r="E1750" s="91"/>
      <c r="F1750" s="92"/>
      <c r="G1750" s="83"/>
      <c r="H1750" s="83"/>
      <c r="I1750" s="83"/>
      <c r="J1750" s="83"/>
      <c r="K1750" s="83"/>
      <c r="L1750" s="83"/>
      <c r="M1750" s="83"/>
      <c r="N1750" s="83"/>
      <c r="O1750" s="83"/>
      <c r="P1750" s="83"/>
      <c r="Q1750" s="83"/>
      <c r="R1750" s="83"/>
      <c r="S1750" s="83"/>
      <c r="T1750" s="83"/>
      <c r="U1750" s="83"/>
      <c r="V1750" s="83"/>
      <c r="W1750" s="83"/>
    </row>
    <row r="1751">
      <c r="A1751" s="91"/>
      <c r="B1751" s="91"/>
      <c r="C1751" s="91"/>
      <c r="D1751" s="91"/>
      <c r="E1751" s="91"/>
      <c r="F1751" s="92"/>
      <c r="G1751" s="83"/>
      <c r="H1751" s="83"/>
      <c r="I1751" s="83"/>
      <c r="J1751" s="83"/>
      <c r="K1751" s="83"/>
      <c r="L1751" s="83"/>
      <c r="M1751" s="83"/>
      <c r="N1751" s="83"/>
      <c r="O1751" s="83"/>
      <c r="P1751" s="83"/>
      <c r="Q1751" s="83"/>
      <c r="R1751" s="83"/>
      <c r="S1751" s="83"/>
      <c r="T1751" s="83"/>
      <c r="U1751" s="83"/>
      <c r="V1751" s="83"/>
      <c r="W1751" s="83"/>
    </row>
    <row r="1752">
      <c r="A1752" s="91"/>
      <c r="B1752" s="91"/>
      <c r="C1752" s="91"/>
      <c r="D1752" s="91"/>
      <c r="E1752" s="91"/>
      <c r="F1752" s="92"/>
      <c r="G1752" s="83"/>
      <c r="H1752" s="83"/>
      <c r="I1752" s="83"/>
      <c r="J1752" s="83"/>
      <c r="K1752" s="83"/>
      <c r="L1752" s="83"/>
      <c r="M1752" s="83"/>
      <c r="N1752" s="83"/>
      <c r="O1752" s="83"/>
      <c r="P1752" s="83"/>
      <c r="Q1752" s="83"/>
      <c r="R1752" s="83"/>
      <c r="S1752" s="83"/>
      <c r="T1752" s="83"/>
      <c r="U1752" s="83"/>
      <c r="V1752" s="83"/>
      <c r="W1752" s="83"/>
    </row>
    <row r="1753">
      <c r="A1753" s="91"/>
      <c r="B1753" s="91"/>
      <c r="C1753" s="91"/>
      <c r="D1753" s="91"/>
      <c r="E1753" s="91"/>
      <c r="F1753" s="92"/>
      <c r="G1753" s="83"/>
      <c r="H1753" s="83"/>
      <c r="I1753" s="83"/>
      <c r="J1753" s="83"/>
      <c r="K1753" s="83"/>
      <c r="L1753" s="83"/>
      <c r="M1753" s="83"/>
      <c r="N1753" s="83"/>
      <c r="O1753" s="83"/>
      <c r="P1753" s="83"/>
      <c r="Q1753" s="83"/>
      <c r="R1753" s="83"/>
      <c r="S1753" s="83"/>
      <c r="T1753" s="83"/>
      <c r="U1753" s="83"/>
      <c r="V1753" s="83"/>
      <c r="W1753" s="83"/>
    </row>
    <row r="1754">
      <c r="A1754" s="91"/>
      <c r="B1754" s="91"/>
      <c r="C1754" s="91"/>
      <c r="D1754" s="91"/>
      <c r="E1754" s="91"/>
      <c r="F1754" s="92"/>
      <c r="G1754" s="83"/>
      <c r="H1754" s="83"/>
      <c r="I1754" s="83"/>
      <c r="J1754" s="83"/>
      <c r="K1754" s="83"/>
      <c r="L1754" s="83"/>
      <c r="M1754" s="83"/>
      <c r="N1754" s="83"/>
      <c r="O1754" s="83"/>
      <c r="P1754" s="83"/>
      <c r="Q1754" s="83"/>
      <c r="R1754" s="83"/>
      <c r="S1754" s="83"/>
      <c r="T1754" s="83"/>
      <c r="U1754" s="83"/>
      <c r="V1754" s="83"/>
      <c r="W1754" s="83"/>
    </row>
    <row r="1755">
      <c r="A1755" s="91"/>
      <c r="B1755" s="91"/>
      <c r="C1755" s="91"/>
      <c r="D1755" s="91"/>
      <c r="E1755" s="91"/>
      <c r="F1755" s="92"/>
      <c r="G1755" s="83"/>
      <c r="H1755" s="83"/>
      <c r="I1755" s="83"/>
      <c r="J1755" s="83"/>
      <c r="K1755" s="83"/>
      <c r="L1755" s="83"/>
      <c r="M1755" s="83"/>
      <c r="N1755" s="83"/>
      <c r="O1755" s="83"/>
      <c r="P1755" s="83"/>
      <c r="Q1755" s="83"/>
      <c r="R1755" s="83"/>
      <c r="S1755" s="83"/>
      <c r="T1755" s="83"/>
      <c r="U1755" s="83"/>
      <c r="V1755" s="83"/>
      <c r="W1755" s="83"/>
    </row>
    <row r="1756">
      <c r="A1756" s="91"/>
      <c r="B1756" s="91"/>
      <c r="C1756" s="91"/>
      <c r="D1756" s="91"/>
      <c r="E1756" s="91"/>
      <c r="F1756" s="92"/>
      <c r="G1756" s="83"/>
      <c r="H1756" s="83"/>
      <c r="I1756" s="83"/>
      <c r="J1756" s="83"/>
      <c r="K1756" s="83"/>
      <c r="L1756" s="83"/>
      <c r="M1756" s="83"/>
      <c r="N1756" s="83"/>
      <c r="O1756" s="83"/>
      <c r="P1756" s="83"/>
      <c r="Q1756" s="83"/>
      <c r="R1756" s="83"/>
      <c r="S1756" s="83"/>
      <c r="T1756" s="83"/>
      <c r="U1756" s="83"/>
      <c r="V1756" s="83"/>
      <c r="W1756" s="83"/>
    </row>
    <row r="1757">
      <c r="A1757" s="91"/>
      <c r="B1757" s="91"/>
      <c r="C1757" s="91"/>
      <c r="D1757" s="91"/>
      <c r="E1757" s="91"/>
      <c r="F1757" s="92"/>
      <c r="G1757" s="83"/>
      <c r="H1757" s="83"/>
      <c r="I1757" s="83"/>
      <c r="J1757" s="83"/>
      <c r="K1757" s="83"/>
      <c r="L1757" s="83"/>
      <c r="M1757" s="83"/>
      <c r="N1757" s="83"/>
      <c r="O1757" s="83"/>
      <c r="P1757" s="83"/>
      <c r="Q1757" s="83"/>
      <c r="R1757" s="83"/>
      <c r="S1757" s="83"/>
      <c r="T1757" s="83"/>
      <c r="U1757" s="83"/>
      <c r="V1757" s="83"/>
      <c r="W1757" s="83"/>
    </row>
    <row r="1758">
      <c r="A1758" s="91"/>
      <c r="B1758" s="91"/>
      <c r="C1758" s="91"/>
      <c r="D1758" s="91"/>
      <c r="E1758" s="91"/>
      <c r="F1758" s="92"/>
      <c r="G1758" s="83"/>
      <c r="H1758" s="83"/>
      <c r="I1758" s="83"/>
      <c r="J1758" s="83"/>
      <c r="K1758" s="83"/>
      <c r="L1758" s="83"/>
      <c r="M1758" s="83"/>
      <c r="N1758" s="83"/>
      <c r="O1758" s="83"/>
      <c r="P1758" s="83"/>
      <c r="Q1758" s="83"/>
      <c r="R1758" s="83"/>
      <c r="S1758" s="83"/>
      <c r="T1758" s="83"/>
      <c r="U1758" s="83"/>
      <c r="V1758" s="83"/>
      <c r="W1758" s="83"/>
    </row>
    <row r="1759">
      <c r="A1759" s="91"/>
      <c r="B1759" s="91"/>
      <c r="C1759" s="91"/>
      <c r="D1759" s="91"/>
      <c r="E1759" s="91"/>
      <c r="F1759" s="92"/>
      <c r="G1759" s="83"/>
      <c r="H1759" s="83"/>
      <c r="I1759" s="83"/>
      <c r="J1759" s="83"/>
      <c r="K1759" s="83"/>
      <c r="L1759" s="83"/>
      <c r="M1759" s="83"/>
      <c r="N1759" s="83"/>
      <c r="O1759" s="83"/>
      <c r="P1759" s="83"/>
      <c r="Q1759" s="83"/>
      <c r="R1759" s="83"/>
      <c r="S1759" s="83"/>
      <c r="T1759" s="83"/>
      <c r="U1759" s="83"/>
      <c r="V1759" s="83"/>
      <c r="W1759" s="83"/>
    </row>
    <row r="1760">
      <c r="A1760" s="91"/>
      <c r="B1760" s="91"/>
      <c r="C1760" s="91"/>
      <c r="D1760" s="91"/>
      <c r="E1760" s="91"/>
      <c r="F1760" s="92"/>
      <c r="G1760" s="83"/>
      <c r="H1760" s="83"/>
      <c r="I1760" s="83"/>
      <c r="J1760" s="83"/>
      <c r="K1760" s="83"/>
      <c r="L1760" s="83"/>
      <c r="M1760" s="83"/>
      <c r="N1760" s="83"/>
      <c r="O1760" s="83"/>
      <c r="P1760" s="83"/>
      <c r="Q1760" s="83"/>
      <c r="R1760" s="83"/>
      <c r="S1760" s="83"/>
      <c r="T1760" s="83"/>
      <c r="U1760" s="83"/>
      <c r="V1760" s="83"/>
      <c r="W1760" s="83"/>
    </row>
    <row r="1761">
      <c r="A1761" s="91"/>
      <c r="B1761" s="91"/>
      <c r="C1761" s="91"/>
      <c r="D1761" s="91"/>
      <c r="E1761" s="91"/>
      <c r="F1761" s="92"/>
      <c r="G1761" s="83"/>
      <c r="H1761" s="83"/>
      <c r="I1761" s="83"/>
      <c r="J1761" s="83"/>
      <c r="K1761" s="83"/>
      <c r="L1761" s="83"/>
      <c r="M1761" s="83"/>
      <c r="N1761" s="83"/>
      <c r="O1761" s="83"/>
      <c r="P1761" s="83"/>
      <c r="Q1761" s="83"/>
      <c r="R1761" s="83"/>
      <c r="S1761" s="83"/>
      <c r="T1761" s="83"/>
      <c r="U1761" s="83"/>
      <c r="V1761" s="83"/>
      <c r="W1761" s="83"/>
    </row>
    <row r="1762">
      <c r="A1762" s="91"/>
      <c r="B1762" s="91"/>
      <c r="C1762" s="91"/>
      <c r="D1762" s="91"/>
      <c r="E1762" s="91"/>
      <c r="F1762" s="92"/>
      <c r="G1762" s="83"/>
      <c r="H1762" s="83"/>
      <c r="I1762" s="83"/>
      <c r="J1762" s="83"/>
      <c r="K1762" s="83"/>
      <c r="L1762" s="83"/>
      <c r="M1762" s="83"/>
      <c r="N1762" s="83"/>
      <c r="O1762" s="83"/>
      <c r="P1762" s="83"/>
      <c r="Q1762" s="83"/>
      <c r="R1762" s="83"/>
      <c r="S1762" s="83"/>
      <c r="T1762" s="83"/>
      <c r="U1762" s="83"/>
      <c r="V1762" s="83"/>
      <c r="W1762" s="83"/>
    </row>
    <row r="1763">
      <c r="A1763" s="91"/>
      <c r="B1763" s="91"/>
      <c r="C1763" s="91"/>
      <c r="D1763" s="91"/>
      <c r="E1763" s="91"/>
      <c r="F1763" s="92"/>
      <c r="G1763" s="83"/>
      <c r="H1763" s="83"/>
      <c r="I1763" s="83"/>
      <c r="J1763" s="83"/>
      <c r="K1763" s="83"/>
      <c r="L1763" s="83"/>
      <c r="M1763" s="83"/>
      <c r="N1763" s="83"/>
      <c r="O1763" s="83"/>
      <c r="P1763" s="83"/>
      <c r="Q1763" s="83"/>
      <c r="R1763" s="83"/>
      <c r="S1763" s="83"/>
      <c r="T1763" s="83"/>
      <c r="U1763" s="83"/>
      <c r="V1763" s="83"/>
      <c r="W1763" s="83"/>
    </row>
    <row r="1764">
      <c r="A1764" s="91"/>
      <c r="B1764" s="91"/>
      <c r="C1764" s="91"/>
      <c r="D1764" s="91"/>
      <c r="E1764" s="91"/>
      <c r="F1764" s="92"/>
      <c r="G1764" s="83"/>
      <c r="H1764" s="83"/>
      <c r="I1764" s="83"/>
      <c r="J1764" s="83"/>
      <c r="K1764" s="83"/>
      <c r="L1764" s="83"/>
      <c r="M1764" s="83"/>
      <c r="N1764" s="83"/>
      <c r="O1764" s="83"/>
      <c r="P1764" s="83"/>
      <c r="Q1764" s="83"/>
      <c r="R1764" s="83"/>
      <c r="S1764" s="83"/>
      <c r="T1764" s="83"/>
      <c r="U1764" s="83"/>
      <c r="V1764" s="83"/>
      <c r="W1764" s="83"/>
    </row>
    <row r="1765">
      <c r="A1765" s="91"/>
      <c r="B1765" s="91"/>
      <c r="C1765" s="91"/>
      <c r="D1765" s="91"/>
      <c r="E1765" s="91"/>
      <c r="F1765" s="92"/>
      <c r="G1765" s="83"/>
      <c r="H1765" s="83"/>
      <c r="I1765" s="83"/>
      <c r="J1765" s="83"/>
      <c r="K1765" s="83"/>
      <c r="L1765" s="83"/>
      <c r="M1765" s="83"/>
      <c r="N1765" s="83"/>
      <c r="O1765" s="83"/>
      <c r="P1765" s="83"/>
      <c r="Q1765" s="83"/>
      <c r="R1765" s="83"/>
      <c r="S1765" s="83"/>
      <c r="T1765" s="83"/>
      <c r="U1765" s="83"/>
      <c r="V1765" s="83"/>
      <c r="W1765" s="83"/>
    </row>
    <row r="1766">
      <c r="A1766" s="91"/>
      <c r="B1766" s="91"/>
      <c r="C1766" s="91"/>
      <c r="D1766" s="91"/>
      <c r="E1766" s="91"/>
      <c r="F1766" s="92"/>
      <c r="G1766" s="83"/>
      <c r="H1766" s="83"/>
      <c r="I1766" s="83"/>
      <c r="J1766" s="83"/>
      <c r="K1766" s="83"/>
      <c r="L1766" s="83"/>
      <c r="M1766" s="83"/>
      <c r="N1766" s="83"/>
      <c r="O1766" s="83"/>
      <c r="P1766" s="83"/>
      <c r="Q1766" s="83"/>
      <c r="R1766" s="83"/>
      <c r="S1766" s="83"/>
      <c r="T1766" s="83"/>
      <c r="U1766" s="83"/>
      <c r="V1766" s="83"/>
      <c r="W1766" s="83"/>
    </row>
    <row r="1767">
      <c r="A1767" s="91"/>
      <c r="B1767" s="91"/>
      <c r="C1767" s="91"/>
      <c r="D1767" s="91"/>
      <c r="E1767" s="91"/>
      <c r="F1767" s="92"/>
      <c r="G1767" s="83"/>
      <c r="H1767" s="83"/>
      <c r="I1767" s="83"/>
      <c r="J1767" s="83"/>
      <c r="K1767" s="83"/>
      <c r="L1767" s="83"/>
      <c r="M1767" s="83"/>
      <c r="N1767" s="83"/>
      <c r="O1767" s="83"/>
      <c r="P1767" s="83"/>
      <c r="Q1767" s="83"/>
      <c r="R1767" s="83"/>
      <c r="S1767" s="83"/>
      <c r="T1767" s="83"/>
      <c r="U1767" s="83"/>
      <c r="V1767" s="83"/>
      <c r="W1767" s="83"/>
    </row>
    <row r="1768">
      <c r="A1768" s="91"/>
      <c r="B1768" s="91"/>
      <c r="C1768" s="91"/>
      <c r="D1768" s="91"/>
      <c r="E1768" s="91"/>
      <c r="F1768" s="92"/>
      <c r="G1768" s="83"/>
      <c r="H1768" s="83"/>
      <c r="I1768" s="83"/>
      <c r="J1768" s="83"/>
      <c r="K1768" s="83"/>
      <c r="L1768" s="83"/>
      <c r="M1768" s="83"/>
      <c r="N1768" s="83"/>
      <c r="O1768" s="83"/>
      <c r="P1768" s="83"/>
      <c r="Q1768" s="83"/>
      <c r="R1768" s="83"/>
      <c r="S1768" s="83"/>
      <c r="T1768" s="83"/>
      <c r="U1768" s="83"/>
      <c r="V1768" s="83"/>
      <c r="W1768" s="83"/>
    </row>
    <row r="1769">
      <c r="A1769" s="91"/>
      <c r="B1769" s="91"/>
      <c r="C1769" s="91"/>
      <c r="D1769" s="91"/>
      <c r="E1769" s="91"/>
      <c r="F1769" s="92"/>
      <c r="G1769" s="83"/>
      <c r="H1769" s="83"/>
      <c r="I1769" s="83"/>
      <c r="J1769" s="83"/>
      <c r="K1769" s="83"/>
      <c r="L1769" s="83"/>
      <c r="M1769" s="83"/>
      <c r="N1769" s="83"/>
      <c r="O1769" s="83"/>
      <c r="P1769" s="83"/>
      <c r="Q1769" s="83"/>
      <c r="R1769" s="83"/>
      <c r="S1769" s="83"/>
      <c r="T1769" s="83"/>
      <c r="U1769" s="83"/>
      <c r="V1769" s="83"/>
      <c r="W1769" s="83"/>
    </row>
    <row r="1770">
      <c r="A1770" s="91"/>
      <c r="B1770" s="91"/>
      <c r="C1770" s="91"/>
      <c r="D1770" s="91"/>
      <c r="E1770" s="91"/>
      <c r="F1770" s="92"/>
      <c r="G1770" s="83"/>
      <c r="H1770" s="83"/>
      <c r="I1770" s="83"/>
      <c r="J1770" s="83"/>
      <c r="K1770" s="83"/>
      <c r="L1770" s="83"/>
      <c r="M1770" s="83"/>
      <c r="N1770" s="83"/>
      <c r="O1770" s="83"/>
      <c r="P1770" s="83"/>
      <c r="Q1770" s="83"/>
      <c r="R1770" s="83"/>
      <c r="S1770" s="83"/>
      <c r="T1770" s="83"/>
      <c r="U1770" s="83"/>
      <c r="V1770" s="83"/>
      <c r="W1770" s="83"/>
    </row>
    <row r="1771">
      <c r="A1771" s="91"/>
      <c r="B1771" s="91"/>
      <c r="C1771" s="91"/>
      <c r="D1771" s="91"/>
      <c r="E1771" s="91"/>
      <c r="F1771" s="92"/>
      <c r="G1771" s="83"/>
      <c r="H1771" s="83"/>
      <c r="I1771" s="83"/>
      <c r="J1771" s="83"/>
      <c r="K1771" s="83"/>
      <c r="L1771" s="83"/>
      <c r="M1771" s="83"/>
      <c r="N1771" s="83"/>
      <c r="O1771" s="83"/>
      <c r="P1771" s="83"/>
      <c r="Q1771" s="83"/>
      <c r="R1771" s="83"/>
      <c r="S1771" s="83"/>
      <c r="T1771" s="83"/>
      <c r="U1771" s="83"/>
      <c r="V1771" s="83"/>
      <c r="W1771" s="83"/>
    </row>
    <row r="1772">
      <c r="A1772" s="91"/>
      <c r="B1772" s="91"/>
      <c r="C1772" s="91"/>
      <c r="D1772" s="91"/>
      <c r="E1772" s="91"/>
      <c r="F1772" s="92"/>
      <c r="G1772" s="83"/>
      <c r="H1772" s="83"/>
      <c r="I1772" s="83"/>
      <c r="J1772" s="83"/>
      <c r="K1772" s="83"/>
      <c r="L1772" s="83"/>
      <c r="M1772" s="83"/>
      <c r="N1772" s="83"/>
      <c r="O1772" s="83"/>
      <c r="P1772" s="83"/>
      <c r="Q1772" s="83"/>
      <c r="R1772" s="83"/>
      <c r="S1772" s="83"/>
      <c r="T1772" s="83"/>
      <c r="U1772" s="83"/>
      <c r="V1772" s="83"/>
      <c r="W1772" s="83"/>
    </row>
    <row r="1773">
      <c r="A1773" s="91"/>
      <c r="B1773" s="91"/>
      <c r="C1773" s="91"/>
      <c r="D1773" s="91"/>
      <c r="E1773" s="91"/>
      <c r="F1773" s="92"/>
      <c r="G1773" s="83"/>
      <c r="H1773" s="83"/>
      <c r="I1773" s="83"/>
      <c r="J1773" s="83"/>
      <c r="K1773" s="83"/>
      <c r="L1773" s="83"/>
      <c r="M1773" s="83"/>
      <c r="N1773" s="83"/>
      <c r="O1773" s="83"/>
      <c r="P1773" s="83"/>
      <c r="Q1773" s="83"/>
      <c r="R1773" s="83"/>
      <c r="S1773" s="83"/>
      <c r="T1773" s="83"/>
      <c r="U1773" s="83"/>
      <c r="V1773" s="83"/>
      <c r="W1773" s="83"/>
    </row>
    <row r="1774">
      <c r="A1774" s="91"/>
      <c r="B1774" s="91"/>
      <c r="C1774" s="91"/>
      <c r="D1774" s="91"/>
      <c r="E1774" s="91"/>
      <c r="F1774" s="92"/>
      <c r="G1774" s="83"/>
      <c r="H1774" s="83"/>
      <c r="I1774" s="83"/>
      <c r="J1774" s="83"/>
      <c r="K1774" s="83"/>
      <c r="L1774" s="83"/>
      <c r="M1774" s="83"/>
      <c r="N1774" s="83"/>
      <c r="O1774" s="83"/>
      <c r="P1774" s="83"/>
      <c r="Q1774" s="83"/>
      <c r="R1774" s="83"/>
      <c r="S1774" s="83"/>
      <c r="T1774" s="83"/>
      <c r="U1774" s="83"/>
      <c r="V1774" s="83"/>
      <c r="W1774" s="83"/>
    </row>
    <row r="1775">
      <c r="A1775" s="91"/>
      <c r="B1775" s="91"/>
      <c r="C1775" s="91"/>
      <c r="D1775" s="91"/>
      <c r="E1775" s="91"/>
      <c r="F1775" s="92"/>
      <c r="G1775" s="83"/>
      <c r="H1775" s="83"/>
      <c r="I1775" s="83"/>
      <c r="J1775" s="83"/>
      <c r="K1775" s="83"/>
      <c r="L1775" s="83"/>
      <c r="M1775" s="83"/>
      <c r="N1775" s="83"/>
      <c r="O1775" s="83"/>
      <c r="P1775" s="83"/>
      <c r="Q1775" s="83"/>
      <c r="R1775" s="83"/>
      <c r="S1775" s="83"/>
      <c r="T1775" s="83"/>
      <c r="U1775" s="83"/>
      <c r="V1775" s="83"/>
      <c r="W1775" s="83"/>
    </row>
    <row r="1776">
      <c r="A1776" s="91"/>
      <c r="B1776" s="91"/>
      <c r="C1776" s="91"/>
      <c r="D1776" s="91"/>
      <c r="E1776" s="91"/>
      <c r="F1776" s="92"/>
      <c r="G1776" s="83"/>
      <c r="H1776" s="83"/>
      <c r="I1776" s="83"/>
      <c r="J1776" s="83"/>
      <c r="K1776" s="83"/>
      <c r="L1776" s="83"/>
      <c r="M1776" s="83"/>
      <c r="N1776" s="83"/>
      <c r="O1776" s="83"/>
      <c r="P1776" s="83"/>
      <c r="Q1776" s="83"/>
      <c r="R1776" s="83"/>
      <c r="S1776" s="83"/>
      <c r="T1776" s="83"/>
      <c r="U1776" s="83"/>
      <c r="V1776" s="83"/>
      <c r="W1776" s="83"/>
    </row>
    <row r="1777">
      <c r="A1777" s="91"/>
      <c r="B1777" s="91"/>
      <c r="C1777" s="91"/>
      <c r="D1777" s="91"/>
      <c r="E1777" s="91"/>
      <c r="F1777" s="92"/>
      <c r="G1777" s="83"/>
      <c r="H1777" s="83"/>
      <c r="I1777" s="83"/>
      <c r="J1777" s="83"/>
      <c r="K1777" s="83"/>
      <c r="L1777" s="83"/>
      <c r="M1777" s="83"/>
      <c r="N1777" s="83"/>
      <c r="O1777" s="83"/>
      <c r="P1777" s="83"/>
      <c r="Q1777" s="83"/>
      <c r="R1777" s="83"/>
      <c r="S1777" s="83"/>
      <c r="T1777" s="83"/>
      <c r="U1777" s="83"/>
      <c r="V1777" s="83"/>
      <c r="W1777" s="83"/>
    </row>
    <row r="1778">
      <c r="A1778" s="91"/>
      <c r="B1778" s="91"/>
      <c r="C1778" s="91"/>
      <c r="D1778" s="91"/>
      <c r="E1778" s="91"/>
      <c r="F1778" s="92"/>
      <c r="G1778" s="83"/>
      <c r="H1778" s="83"/>
      <c r="I1778" s="83"/>
      <c r="J1778" s="83"/>
      <c r="K1778" s="83"/>
      <c r="L1778" s="83"/>
      <c r="M1778" s="83"/>
      <c r="N1778" s="83"/>
      <c r="O1778" s="83"/>
      <c r="P1778" s="83"/>
      <c r="Q1778" s="83"/>
      <c r="R1778" s="83"/>
      <c r="S1778" s="83"/>
      <c r="T1778" s="83"/>
      <c r="U1778" s="83"/>
      <c r="V1778" s="83"/>
      <c r="W1778" s="83"/>
    </row>
    <row r="1779">
      <c r="A1779" s="91"/>
      <c r="B1779" s="91"/>
      <c r="C1779" s="91"/>
      <c r="D1779" s="91"/>
      <c r="E1779" s="91"/>
      <c r="F1779" s="92"/>
      <c r="G1779" s="83"/>
      <c r="H1779" s="83"/>
      <c r="I1779" s="83"/>
      <c r="J1779" s="83"/>
      <c r="K1779" s="83"/>
      <c r="L1779" s="83"/>
      <c r="M1779" s="83"/>
      <c r="N1779" s="83"/>
      <c r="O1779" s="83"/>
      <c r="P1779" s="83"/>
      <c r="Q1779" s="83"/>
      <c r="R1779" s="83"/>
      <c r="S1779" s="83"/>
      <c r="T1779" s="83"/>
      <c r="U1779" s="83"/>
      <c r="V1779" s="83"/>
      <c r="W1779" s="83"/>
    </row>
    <row r="1780">
      <c r="A1780" s="91"/>
      <c r="B1780" s="91"/>
      <c r="C1780" s="91"/>
      <c r="D1780" s="91"/>
      <c r="E1780" s="91"/>
      <c r="F1780" s="92"/>
      <c r="G1780" s="83"/>
      <c r="H1780" s="83"/>
      <c r="I1780" s="83"/>
      <c r="J1780" s="83"/>
      <c r="K1780" s="83"/>
      <c r="L1780" s="83"/>
      <c r="M1780" s="83"/>
      <c r="N1780" s="83"/>
      <c r="O1780" s="83"/>
      <c r="P1780" s="83"/>
      <c r="Q1780" s="83"/>
      <c r="R1780" s="83"/>
      <c r="S1780" s="83"/>
      <c r="T1780" s="83"/>
      <c r="U1780" s="83"/>
      <c r="V1780" s="83"/>
      <c r="W1780" s="83"/>
    </row>
    <row r="1781">
      <c r="A1781" s="91"/>
      <c r="B1781" s="91"/>
      <c r="C1781" s="91"/>
      <c r="D1781" s="91"/>
      <c r="E1781" s="91"/>
      <c r="F1781" s="92"/>
      <c r="G1781" s="83"/>
      <c r="H1781" s="83"/>
      <c r="I1781" s="83"/>
      <c r="J1781" s="83"/>
      <c r="K1781" s="83"/>
      <c r="L1781" s="83"/>
      <c r="M1781" s="83"/>
      <c r="N1781" s="83"/>
      <c r="O1781" s="83"/>
      <c r="P1781" s="83"/>
      <c r="Q1781" s="83"/>
      <c r="R1781" s="83"/>
      <c r="S1781" s="83"/>
      <c r="T1781" s="83"/>
      <c r="U1781" s="83"/>
      <c r="V1781" s="83"/>
      <c r="W1781" s="83"/>
    </row>
    <row r="1782">
      <c r="A1782" s="91"/>
      <c r="B1782" s="91"/>
      <c r="C1782" s="91"/>
      <c r="D1782" s="91"/>
      <c r="E1782" s="91"/>
      <c r="F1782" s="92"/>
      <c r="G1782" s="83"/>
      <c r="H1782" s="83"/>
      <c r="I1782" s="83"/>
      <c r="J1782" s="83"/>
      <c r="K1782" s="83"/>
      <c r="L1782" s="83"/>
      <c r="M1782" s="83"/>
      <c r="N1782" s="83"/>
      <c r="O1782" s="83"/>
      <c r="P1782" s="83"/>
      <c r="Q1782" s="83"/>
      <c r="R1782" s="83"/>
      <c r="S1782" s="83"/>
      <c r="T1782" s="83"/>
      <c r="U1782" s="83"/>
      <c r="V1782" s="83"/>
      <c r="W1782" s="83"/>
    </row>
    <row r="1783">
      <c r="A1783" s="91"/>
      <c r="B1783" s="91"/>
      <c r="C1783" s="91"/>
      <c r="D1783" s="91"/>
      <c r="E1783" s="91"/>
      <c r="F1783" s="92"/>
      <c r="G1783" s="83"/>
      <c r="H1783" s="83"/>
      <c r="I1783" s="83"/>
      <c r="J1783" s="83"/>
      <c r="K1783" s="83"/>
      <c r="L1783" s="83"/>
      <c r="M1783" s="83"/>
      <c r="N1783" s="83"/>
      <c r="O1783" s="83"/>
      <c r="P1783" s="83"/>
      <c r="Q1783" s="83"/>
      <c r="R1783" s="83"/>
      <c r="S1783" s="83"/>
      <c r="T1783" s="83"/>
      <c r="U1783" s="83"/>
      <c r="V1783" s="83"/>
      <c r="W1783" s="83"/>
    </row>
    <row r="1784">
      <c r="A1784" s="91"/>
      <c r="B1784" s="91"/>
      <c r="C1784" s="91"/>
      <c r="D1784" s="91"/>
      <c r="E1784" s="91"/>
      <c r="F1784" s="92"/>
      <c r="G1784" s="83"/>
      <c r="H1784" s="83"/>
      <c r="I1784" s="83"/>
      <c r="J1784" s="83"/>
      <c r="K1784" s="83"/>
      <c r="L1784" s="83"/>
      <c r="M1784" s="83"/>
      <c r="N1784" s="83"/>
      <c r="O1784" s="83"/>
      <c r="P1784" s="83"/>
      <c r="Q1784" s="83"/>
      <c r="R1784" s="83"/>
      <c r="S1784" s="83"/>
      <c r="T1784" s="83"/>
      <c r="U1784" s="83"/>
      <c r="V1784" s="83"/>
      <c r="W1784" s="83"/>
    </row>
    <row r="1785">
      <c r="A1785" s="91"/>
      <c r="B1785" s="91"/>
      <c r="C1785" s="91"/>
      <c r="D1785" s="91"/>
      <c r="E1785" s="91"/>
      <c r="F1785" s="92"/>
      <c r="G1785" s="83"/>
      <c r="H1785" s="83"/>
      <c r="I1785" s="83"/>
      <c r="J1785" s="83"/>
      <c r="K1785" s="83"/>
      <c r="L1785" s="83"/>
      <c r="M1785" s="83"/>
      <c r="N1785" s="83"/>
      <c r="O1785" s="83"/>
      <c r="P1785" s="83"/>
      <c r="Q1785" s="83"/>
      <c r="R1785" s="83"/>
      <c r="S1785" s="83"/>
      <c r="T1785" s="83"/>
      <c r="U1785" s="83"/>
      <c r="V1785" s="83"/>
      <c r="W1785" s="83"/>
    </row>
    <row r="1786">
      <c r="A1786" s="91"/>
      <c r="B1786" s="91"/>
      <c r="C1786" s="91"/>
      <c r="D1786" s="91"/>
      <c r="E1786" s="91"/>
      <c r="F1786" s="92"/>
      <c r="G1786" s="83"/>
      <c r="H1786" s="83"/>
      <c r="I1786" s="83"/>
      <c r="J1786" s="83"/>
      <c r="K1786" s="83"/>
      <c r="L1786" s="83"/>
      <c r="M1786" s="83"/>
      <c r="N1786" s="83"/>
      <c r="O1786" s="83"/>
      <c r="P1786" s="83"/>
      <c r="Q1786" s="83"/>
      <c r="R1786" s="83"/>
      <c r="S1786" s="83"/>
      <c r="T1786" s="83"/>
      <c r="U1786" s="83"/>
      <c r="V1786" s="83"/>
      <c r="W1786" s="83"/>
    </row>
    <row r="1787">
      <c r="A1787" s="91"/>
      <c r="B1787" s="91"/>
      <c r="C1787" s="91"/>
      <c r="D1787" s="91"/>
      <c r="E1787" s="91"/>
      <c r="F1787" s="92"/>
      <c r="G1787" s="83"/>
      <c r="H1787" s="83"/>
      <c r="I1787" s="83"/>
      <c r="J1787" s="83"/>
      <c r="K1787" s="83"/>
      <c r="L1787" s="83"/>
      <c r="M1787" s="83"/>
      <c r="N1787" s="83"/>
      <c r="O1787" s="83"/>
      <c r="P1787" s="83"/>
      <c r="Q1787" s="83"/>
      <c r="R1787" s="83"/>
      <c r="S1787" s="83"/>
      <c r="T1787" s="83"/>
      <c r="U1787" s="83"/>
      <c r="V1787" s="83"/>
      <c r="W1787" s="83"/>
    </row>
    <row r="1788">
      <c r="A1788" s="91"/>
      <c r="B1788" s="91"/>
      <c r="C1788" s="91"/>
      <c r="D1788" s="91"/>
      <c r="E1788" s="91"/>
      <c r="F1788" s="92"/>
      <c r="G1788" s="83"/>
      <c r="H1788" s="83"/>
      <c r="I1788" s="83"/>
      <c r="J1788" s="83"/>
      <c r="K1788" s="83"/>
      <c r="L1788" s="83"/>
      <c r="M1788" s="83"/>
      <c r="N1788" s="83"/>
      <c r="O1788" s="83"/>
      <c r="P1788" s="83"/>
      <c r="Q1788" s="83"/>
      <c r="R1788" s="83"/>
      <c r="S1788" s="83"/>
      <c r="T1788" s="83"/>
      <c r="U1788" s="83"/>
      <c r="V1788" s="83"/>
      <c r="W1788" s="83"/>
    </row>
    <row r="1789">
      <c r="A1789" s="91"/>
      <c r="B1789" s="91"/>
      <c r="C1789" s="91"/>
      <c r="D1789" s="91"/>
      <c r="E1789" s="91"/>
      <c r="F1789" s="92"/>
      <c r="G1789" s="83"/>
      <c r="H1789" s="83"/>
      <c r="I1789" s="83"/>
      <c r="J1789" s="83"/>
      <c r="K1789" s="83"/>
      <c r="L1789" s="83"/>
      <c r="M1789" s="83"/>
      <c r="N1789" s="83"/>
      <c r="O1789" s="83"/>
      <c r="P1789" s="83"/>
      <c r="Q1789" s="83"/>
      <c r="R1789" s="83"/>
      <c r="S1789" s="83"/>
      <c r="T1789" s="83"/>
      <c r="U1789" s="83"/>
      <c r="V1789" s="83"/>
      <c r="W1789" s="83"/>
    </row>
    <row r="1790">
      <c r="A1790" s="91"/>
      <c r="B1790" s="91"/>
      <c r="C1790" s="91"/>
      <c r="D1790" s="91"/>
      <c r="E1790" s="91"/>
      <c r="F1790" s="92"/>
      <c r="G1790" s="83"/>
      <c r="H1790" s="83"/>
      <c r="I1790" s="83"/>
      <c r="J1790" s="83"/>
      <c r="K1790" s="83"/>
      <c r="L1790" s="83"/>
      <c r="M1790" s="83"/>
      <c r="N1790" s="83"/>
      <c r="O1790" s="83"/>
      <c r="P1790" s="83"/>
      <c r="Q1790" s="83"/>
      <c r="R1790" s="83"/>
      <c r="S1790" s="83"/>
      <c r="T1790" s="83"/>
      <c r="U1790" s="83"/>
      <c r="V1790" s="83"/>
      <c r="W1790" s="83"/>
    </row>
    <row r="1791">
      <c r="A1791" s="91"/>
      <c r="B1791" s="91"/>
      <c r="C1791" s="91"/>
      <c r="D1791" s="91"/>
      <c r="E1791" s="91"/>
      <c r="F1791" s="92"/>
      <c r="G1791" s="83"/>
      <c r="H1791" s="83"/>
      <c r="I1791" s="83"/>
      <c r="J1791" s="83"/>
      <c r="K1791" s="83"/>
      <c r="L1791" s="83"/>
      <c r="M1791" s="83"/>
      <c r="N1791" s="83"/>
      <c r="O1791" s="83"/>
      <c r="P1791" s="83"/>
      <c r="Q1791" s="83"/>
      <c r="R1791" s="83"/>
      <c r="S1791" s="83"/>
      <c r="T1791" s="83"/>
      <c r="U1791" s="83"/>
      <c r="V1791" s="83"/>
      <c r="W1791" s="83"/>
    </row>
    <row r="1792">
      <c r="A1792" s="91"/>
      <c r="B1792" s="91"/>
      <c r="C1792" s="91"/>
      <c r="D1792" s="91"/>
      <c r="E1792" s="91"/>
      <c r="F1792" s="92"/>
      <c r="G1792" s="83"/>
      <c r="H1792" s="83"/>
      <c r="I1792" s="83"/>
      <c r="J1792" s="83"/>
      <c r="K1792" s="83"/>
      <c r="L1792" s="83"/>
      <c r="M1792" s="83"/>
      <c r="N1792" s="83"/>
      <c r="O1792" s="83"/>
      <c r="P1792" s="83"/>
      <c r="Q1792" s="83"/>
      <c r="R1792" s="83"/>
      <c r="S1792" s="83"/>
      <c r="T1792" s="83"/>
      <c r="U1792" s="83"/>
      <c r="V1792" s="83"/>
      <c r="W1792" s="83"/>
    </row>
    <row r="1793">
      <c r="A1793" s="91"/>
      <c r="B1793" s="91"/>
      <c r="C1793" s="91"/>
      <c r="D1793" s="91"/>
      <c r="E1793" s="91"/>
      <c r="F1793" s="92"/>
      <c r="G1793" s="83"/>
      <c r="H1793" s="83"/>
      <c r="I1793" s="83"/>
      <c r="J1793" s="83"/>
      <c r="K1793" s="83"/>
      <c r="L1793" s="83"/>
      <c r="M1793" s="83"/>
      <c r="N1793" s="83"/>
      <c r="O1793" s="83"/>
      <c r="P1793" s="83"/>
      <c r="Q1793" s="83"/>
      <c r="R1793" s="83"/>
      <c r="S1793" s="83"/>
      <c r="T1793" s="83"/>
      <c r="U1793" s="83"/>
      <c r="V1793" s="83"/>
      <c r="W1793" s="83"/>
    </row>
    <row r="1794">
      <c r="A1794" s="91"/>
      <c r="B1794" s="91"/>
      <c r="C1794" s="91"/>
      <c r="D1794" s="91"/>
      <c r="E1794" s="91"/>
      <c r="F1794" s="92"/>
      <c r="G1794" s="83"/>
      <c r="H1794" s="83"/>
      <c r="I1794" s="83"/>
      <c r="J1794" s="83"/>
      <c r="K1794" s="83"/>
      <c r="L1794" s="83"/>
      <c r="M1794" s="83"/>
      <c r="N1794" s="83"/>
      <c r="O1794" s="83"/>
      <c r="P1794" s="83"/>
      <c r="Q1794" s="83"/>
      <c r="R1794" s="83"/>
      <c r="S1794" s="83"/>
      <c r="T1794" s="83"/>
      <c r="U1794" s="83"/>
      <c r="V1794" s="83"/>
      <c r="W1794" s="83"/>
    </row>
    <row r="1795">
      <c r="A1795" s="91"/>
      <c r="B1795" s="91"/>
      <c r="C1795" s="91"/>
      <c r="D1795" s="91"/>
      <c r="E1795" s="91"/>
      <c r="F1795" s="92"/>
      <c r="G1795" s="83"/>
      <c r="H1795" s="83"/>
      <c r="I1795" s="83"/>
      <c r="J1795" s="83"/>
      <c r="K1795" s="83"/>
      <c r="L1795" s="83"/>
      <c r="M1795" s="83"/>
      <c r="N1795" s="83"/>
      <c r="O1795" s="83"/>
      <c r="P1795" s="83"/>
      <c r="Q1795" s="83"/>
      <c r="R1795" s="83"/>
      <c r="S1795" s="83"/>
      <c r="T1795" s="83"/>
      <c r="U1795" s="83"/>
      <c r="V1795" s="83"/>
      <c r="W1795" s="83"/>
    </row>
    <row r="1796">
      <c r="A1796" s="91"/>
      <c r="B1796" s="91"/>
      <c r="C1796" s="91"/>
      <c r="D1796" s="91"/>
      <c r="E1796" s="91"/>
      <c r="F1796" s="92"/>
      <c r="G1796" s="83"/>
      <c r="H1796" s="83"/>
      <c r="I1796" s="83"/>
      <c r="J1796" s="83"/>
      <c r="K1796" s="83"/>
      <c r="L1796" s="83"/>
      <c r="M1796" s="83"/>
      <c r="N1796" s="83"/>
      <c r="O1796" s="83"/>
      <c r="P1796" s="83"/>
      <c r="Q1796" s="83"/>
      <c r="R1796" s="83"/>
      <c r="S1796" s="83"/>
      <c r="T1796" s="83"/>
      <c r="U1796" s="83"/>
      <c r="V1796" s="83"/>
      <c r="W1796" s="83"/>
    </row>
    <row r="1797">
      <c r="A1797" s="91"/>
      <c r="B1797" s="91"/>
      <c r="C1797" s="91"/>
      <c r="D1797" s="91"/>
      <c r="E1797" s="91"/>
      <c r="F1797" s="92"/>
      <c r="G1797" s="83"/>
      <c r="H1797" s="83"/>
      <c r="I1797" s="83"/>
      <c r="J1797" s="83"/>
      <c r="K1797" s="83"/>
      <c r="L1797" s="83"/>
      <c r="M1797" s="83"/>
      <c r="N1797" s="83"/>
      <c r="O1797" s="83"/>
      <c r="P1797" s="83"/>
      <c r="Q1797" s="83"/>
      <c r="R1797" s="83"/>
      <c r="S1797" s="83"/>
      <c r="T1797" s="83"/>
      <c r="U1797" s="83"/>
      <c r="V1797" s="83"/>
      <c r="W1797" s="83"/>
    </row>
    <row r="1798">
      <c r="A1798" s="91"/>
      <c r="B1798" s="91"/>
      <c r="C1798" s="91"/>
      <c r="D1798" s="91"/>
      <c r="E1798" s="91"/>
      <c r="F1798" s="92"/>
      <c r="G1798" s="83"/>
      <c r="H1798" s="83"/>
      <c r="I1798" s="83"/>
      <c r="J1798" s="83"/>
      <c r="K1798" s="83"/>
      <c r="L1798" s="83"/>
      <c r="M1798" s="83"/>
      <c r="N1798" s="83"/>
      <c r="O1798" s="83"/>
      <c r="P1798" s="83"/>
      <c r="Q1798" s="83"/>
      <c r="R1798" s="83"/>
      <c r="S1798" s="83"/>
      <c r="T1798" s="83"/>
      <c r="U1798" s="83"/>
      <c r="V1798" s="83"/>
      <c r="W1798" s="83"/>
    </row>
    <row r="1799">
      <c r="A1799" s="91"/>
      <c r="B1799" s="91"/>
      <c r="C1799" s="91"/>
      <c r="D1799" s="91"/>
      <c r="E1799" s="91"/>
      <c r="F1799" s="92"/>
      <c r="G1799" s="83"/>
      <c r="H1799" s="83"/>
      <c r="I1799" s="83"/>
      <c r="J1799" s="83"/>
      <c r="K1799" s="83"/>
      <c r="L1799" s="83"/>
      <c r="M1799" s="83"/>
      <c r="N1799" s="83"/>
      <c r="O1799" s="83"/>
      <c r="P1799" s="83"/>
      <c r="Q1799" s="83"/>
      <c r="R1799" s="83"/>
      <c r="S1799" s="83"/>
      <c r="T1799" s="83"/>
      <c r="U1799" s="83"/>
      <c r="V1799" s="83"/>
      <c r="W1799" s="83"/>
    </row>
    <row r="1800">
      <c r="A1800" s="91"/>
      <c r="B1800" s="91"/>
      <c r="C1800" s="91"/>
      <c r="D1800" s="91"/>
      <c r="E1800" s="91"/>
      <c r="F1800" s="92"/>
      <c r="G1800" s="83"/>
      <c r="H1800" s="83"/>
      <c r="I1800" s="83"/>
      <c r="J1800" s="83"/>
      <c r="K1800" s="83"/>
      <c r="L1800" s="83"/>
      <c r="M1800" s="83"/>
      <c r="N1800" s="83"/>
      <c r="O1800" s="83"/>
      <c r="P1800" s="83"/>
      <c r="Q1800" s="83"/>
      <c r="R1800" s="83"/>
      <c r="S1800" s="83"/>
      <c r="T1800" s="83"/>
      <c r="U1800" s="83"/>
      <c r="V1800" s="83"/>
      <c r="W1800" s="83"/>
    </row>
    <row r="1801">
      <c r="A1801" s="91"/>
      <c r="B1801" s="91"/>
      <c r="C1801" s="91"/>
      <c r="D1801" s="91"/>
      <c r="E1801" s="91"/>
      <c r="F1801" s="92"/>
      <c r="G1801" s="83"/>
      <c r="H1801" s="83"/>
      <c r="I1801" s="83"/>
      <c r="J1801" s="83"/>
      <c r="K1801" s="83"/>
      <c r="L1801" s="83"/>
      <c r="M1801" s="83"/>
      <c r="N1801" s="83"/>
      <c r="O1801" s="83"/>
      <c r="P1801" s="83"/>
      <c r="Q1801" s="83"/>
      <c r="R1801" s="83"/>
      <c r="S1801" s="83"/>
      <c r="T1801" s="83"/>
      <c r="U1801" s="83"/>
      <c r="V1801" s="83"/>
      <c r="W1801" s="83"/>
    </row>
    <row r="1802">
      <c r="A1802" s="91"/>
      <c r="B1802" s="91"/>
      <c r="C1802" s="91"/>
      <c r="D1802" s="91"/>
      <c r="E1802" s="91"/>
      <c r="F1802" s="92"/>
      <c r="G1802" s="83"/>
      <c r="H1802" s="83"/>
      <c r="I1802" s="83"/>
      <c r="J1802" s="83"/>
      <c r="K1802" s="83"/>
      <c r="L1802" s="83"/>
      <c r="M1802" s="83"/>
      <c r="N1802" s="83"/>
      <c r="O1802" s="83"/>
      <c r="P1802" s="83"/>
      <c r="Q1802" s="83"/>
      <c r="R1802" s="83"/>
      <c r="S1802" s="83"/>
      <c r="T1802" s="83"/>
      <c r="U1802" s="83"/>
      <c r="V1802" s="83"/>
      <c r="W1802" s="83"/>
    </row>
    <row r="1803">
      <c r="A1803" s="91"/>
      <c r="B1803" s="91"/>
      <c r="C1803" s="91"/>
      <c r="D1803" s="91"/>
      <c r="E1803" s="91"/>
      <c r="F1803" s="92"/>
      <c r="G1803" s="83"/>
      <c r="H1803" s="83"/>
      <c r="I1803" s="83"/>
      <c r="J1803" s="83"/>
      <c r="K1803" s="83"/>
      <c r="L1803" s="83"/>
      <c r="M1803" s="83"/>
      <c r="N1803" s="83"/>
      <c r="O1803" s="83"/>
      <c r="P1803" s="83"/>
      <c r="Q1803" s="83"/>
      <c r="R1803" s="83"/>
      <c r="S1803" s="83"/>
      <c r="T1803" s="83"/>
      <c r="U1803" s="83"/>
      <c r="V1803" s="83"/>
      <c r="W1803" s="83"/>
    </row>
    <row r="1804">
      <c r="A1804" s="91"/>
      <c r="B1804" s="91"/>
      <c r="C1804" s="91"/>
      <c r="D1804" s="91"/>
      <c r="E1804" s="91"/>
      <c r="F1804" s="92"/>
      <c r="G1804" s="83"/>
      <c r="H1804" s="83"/>
      <c r="I1804" s="83"/>
      <c r="J1804" s="83"/>
      <c r="K1804" s="83"/>
      <c r="L1804" s="83"/>
      <c r="M1804" s="83"/>
      <c r="N1804" s="83"/>
      <c r="O1804" s="83"/>
      <c r="P1804" s="83"/>
      <c r="Q1804" s="83"/>
      <c r="R1804" s="83"/>
      <c r="S1804" s="83"/>
      <c r="T1804" s="83"/>
      <c r="U1804" s="83"/>
      <c r="V1804" s="83"/>
      <c r="W1804" s="83"/>
    </row>
    <row r="1805">
      <c r="A1805" s="91"/>
      <c r="B1805" s="91"/>
      <c r="C1805" s="91"/>
      <c r="D1805" s="91"/>
      <c r="E1805" s="91"/>
      <c r="F1805" s="92"/>
      <c r="G1805" s="83"/>
      <c r="H1805" s="83"/>
      <c r="I1805" s="83"/>
      <c r="J1805" s="83"/>
      <c r="K1805" s="83"/>
      <c r="L1805" s="83"/>
      <c r="M1805" s="83"/>
      <c r="N1805" s="83"/>
      <c r="O1805" s="83"/>
      <c r="P1805" s="83"/>
      <c r="Q1805" s="83"/>
      <c r="R1805" s="83"/>
      <c r="S1805" s="83"/>
      <c r="T1805" s="83"/>
      <c r="U1805" s="83"/>
      <c r="V1805" s="83"/>
      <c r="W1805" s="83"/>
    </row>
    <row r="1806">
      <c r="A1806" s="91"/>
      <c r="B1806" s="91"/>
      <c r="C1806" s="91"/>
      <c r="D1806" s="91"/>
      <c r="E1806" s="91"/>
      <c r="F1806" s="92"/>
      <c r="G1806" s="83"/>
      <c r="H1806" s="83"/>
      <c r="I1806" s="83"/>
      <c r="J1806" s="83"/>
      <c r="K1806" s="83"/>
      <c r="L1806" s="83"/>
      <c r="M1806" s="83"/>
      <c r="N1806" s="83"/>
      <c r="O1806" s="83"/>
      <c r="P1806" s="83"/>
      <c r="Q1806" s="83"/>
      <c r="R1806" s="83"/>
      <c r="S1806" s="83"/>
      <c r="T1806" s="83"/>
      <c r="U1806" s="83"/>
      <c r="V1806" s="83"/>
      <c r="W1806" s="83"/>
    </row>
    <row r="1807">
      <c r="A1807" s="91"/>
      <c r="B1807" s="91"/>
      <c r="C1807" s="91"/>
      <c r="D1807" s="91"/>
      <c r="E1807" s="91"/>
      <c r="F1807" s="92"/>
      <c r="G1807" s="83"/>
      <c r="H1807" s="83"/>
      <c r="I1807" s="83"/>
      <c r="J1807" s="83"/>
      <c r="K1807" s="83"/>
      <c r="L1807" s="83"/>
      <c r="M1807" s="83"/>
      <c r="N1807" s="83"/>
      <c r="O1807" s="83"/>
      <c r="P1807" s="83"/>
      <c r="Q1807" s="83"/>
      <c r="R1807" s="83"/>
      <c r="S1807" s="83"/>
      <c r="T1807" s="83"/>
      <c r="U1807" s="83"/>
      <c r="V1807" s="83"/>
      <c r="W1807" s="83"/>
    </row>
    <row r="1808">
      <c r="A1808" s="91"/>
      <c r="B1808" s="91"/>
      <c r="C1808" s="91"/>
      <c r="D1808" s="91"/>
      <c r="E1808" s="91"/>
      <c r="F1808" s="92"/>
      <c r="G1808" s="83"/>
      <c r="H1808" s="83"/>
      <c r="I1808" s="83"/>
      <c r="J1808" s="83"/>
      <c r="K1808" s="83"/>
      <c r="L1808" s="83"/>
      <c r="M1808" s="83"/>
      <c r="N1808" s="83"/>
      <c r="O1808" s="83"/>
      <c r="P1808" s="83"/>
      <c r="Q1808" s="83"/>
      <c r="R1808" s="83"/>
      <c r="S1808" s="83"/>
      <c r="T1808" s="83"/>
      <c r="U1808" s="83"/>
      <c r="V1808" s="83"/>
      <c r="W1808" s="83"/>
    </row>
    <row r="1809">
      <c r="A1809" s="91"/>
      <c r="B1809" s="91"/>
      <c r="C1809" s="91"/>
      <c r="D1809" s="91"/>
      <c r="E1809" s="91"/>
      <c r="F1809" s="92"/>
      <c r="G1809" s="83"/>
      <c r="H1809" s="83"/>
      <c r="I1809" s="83"/>
      <c r="J1809" s="83"/>
      <c r="K1809" s="83"/>
      <c r="L1809" s="83"/>
      <c r="M1809" s="83"/>
      <c r="N1809" s="83"/>
      <c r="O1809" s="83"/>
      <c r="P1809" s="83"/>
      <c r="Q1809" s="83"/>
      <c r="R1809" s="83"/>
      <c r="S1809" s="83"/>
      <c r="T1809" s="83"/>
      <c r="U1809" s="83"/>
      <c r="V1809" s="83"/>
      <c r="W1809" s="83"/>
    </row>
    <row r="1810">
      <c r="A1810" s="91"/>
      <c r="B1810" s="91"/>
      <c r="C1810" s="91"/>
      <c r="D1810" s="91"/>
      <c r="E1810" s="91"/>
      <c r="F1810" s="92"/>
      <c r="G1810" s="83"/>
      <c r="H1810" s="83"/>
      <c r="I1810" s="83"/>
      <c r="J1810" s="83"/>
      <c r="K1810" s="83"/>
      <c r="L1810" s="83"/>
      <c r="M1810" s="83"/>
      <c r="N1810" s="83"/>
      <c r="O1810" s="83"/>
      <c r="P1810" s="83"/>
      <c r="Q1810" s="83"/>
      <c r="R1810" s="83"/>
      <c r="S1810" s="83"/>
      <c r="T1810" s="83"/>
      <c r="U1810" s="83"/>
      <c r="V1810" s="83"/>
      <c r="W1810" s="83"/>
    </row>
    <row r="1811">
      <c r="A1811" s="91"/>
      <c r="B1811" s="91"/>
      <c r="C1811" s="91"/>
      <c r="D1811" s="91"/>
      <c r="E1811" s="91"/>
      <c r="F1811" s="92"/>
      <c r="G1811" s="83"/>
      <c r="H1811" s="83"/>
      <c r="I1811" s="83"/>
      <c r="J1811" s="83"/>
      <c r="K1811" s="83"/>
      <c r="L1811" s="83"/>
      <c r="M1811" s="83"/>
      <c r="N1811" s="83"/>
      <c r="O1811" s="83"/>
      <c r="P1811" s="83"/>
      <c r="Q1811" s="83"/>
      <c r="R1811" s="83"/>
      <c r="S1811" s="83"/>
      <c r="T1811" s="83"/>
      <c r="U1811" s="83"/>
      <c r="V1811" s="83"/>
      <c r="W1811" s="83"/>
    </row>
    <row r="1812">
      <c r="A1812" s="91"/>
      <c r="B1812" s="91"/>
      <c r="C1812" s="91"/>
      <c r="D1812" s="91"/>
      <c r="E1812" s="91"/>
      <c r="F1812" s="92"/>
      <c r="G1812" s="83"/>
      <c r="H1812" s="83"/>
      <c r="I1812" s="83"/>
      <c r="J1812" s="83"/>
      <c r="K1812" s="83"/>
      <c r="L1812" s="83"/>
      <c r="M1812" s="83"/>
      <c r="N1812" s="83"/>
      <c r="O1812" s="83"/>
      <c r="P1812" s="83"/>
      <c r="Q1812" s="83"/>
      <c r="R1812" s="83"/>
      <c r="S1812" s="83"/>
      <c r="T1812" s="83"/>
      <c r="U1812" s="83"/>
      <c r="V1812" s="83"/>
      <c r="W1812" s="83"/>
    </row>
    <row r="1813">
      <c r="A1813" s="91"/>
      <c r="B1813" s="91"/>
      <c r="C1813" s="91"/>
      <c r="D1813" s="91"/>
      <c r="E1813" s="91"/>
      <c r="F1813" s="92"/>
      <c r="G1813" s="83"/>
      <c r="H1813" s="83"/>
      <c r="I1813" s="83"/>
      <c r="J1813" s="83"/>
      <c r="K1813" s="83"/>
      <c r="L1813" s="83"/>
      <c r="M1813" s="83"/>
      <c r="N1813" s="83"/>
      <c r="O1813" s="83"/>
      <c r="P1813" s="83"/>
      <c r="Q1813" s="83"/>
      <c r="R1813" s="83"/>
      <c r="S1813" s="83"/>
      <c r="T1813" s="83"/>
      <c r="U1813" s="83"/>
      <c r="V1813" s="83"/>
      <c r="W1813" s="83"/>
    </row>
    <row r="1814">
      <c r="A1814" s="91"/>
      <c r="B1814" s="91"/>
      <c r="C1814" s="91"/>
      <c r="D1814" s="91"/>
      <c r="E1814" s="91"/>
      <c r="F1814" s="92"/>
      <c r="G1814" s="83"/>
      <c r="H1814" s="83"/>
      <c r="I1814" s="83"/>
      <c r="J1814" s="83"/>
      <c r="K1814" s="83"/>
      <c r="L1814" s="83"/>
      <c r="M1814" s="83"/>
      <c r="N1814" s="83"/>
      <c r="O1814" s="83"/>
      <c r="P1814" s="83"/>
      <c r="Q1814" s="83"/>
      <c r="R1814" s="83"/>
      <c r="S1814" s="83"/>
      <c r="T1814" s="83"/>
      <c r="U1814" s="83"/>
      <c r="V1814" s="83"/>
      <c r="W1814" s="83"/>
    </row>
    <row r="1815">
      <c r="A1815" s="91"/>
      <c r="B1815" s="91"/>
      <c r="C1815" s="91"/>
      <c r="D1815" s="91"/>
      <c r="E1815" s="91"/>
      <c r="F1815" s="92"/>
      <c r="G1815" s="83"/>
      <c r="H1815" s="83"/>
      <c r="I1815" s="83"/>
      <c r="J1815" s="83"/>
      <c r="K1815" s="83"/>
      <c r="L1815" s="83"/>
      <c r="M1815" s="83"/>
      <c r="N1815" s="83"/>
      <c r="O1815" s="83"/>
      <c r="P1815" s="83"/>
      <c r="Q1815" s="83"/>
      <c r="R1815" s="83"/>
      <c r="S1815" s="83"/>
      <c r="T1815" s="83"/>
      <c r="U1815" s="83"/>
      <c r="V1815" s="83"/>
      <c r="W1815" s="83"/>
    </row>
    <row r="1816">
      <c r="A1816" s="91"/>
      <c r="B1816" s="91"/>
      <c r="C1816" s="91"/>
      <c r="D1816" s="91"/>
      <c r="E1816" s="91"/>
      <c r="F1816" s="92"/>
      <c r="G1816" s="83"/>
      <c r="H1816" s="83"/>
      <c r="I1816" s="83"/>
      <c r="J1816" s="83"/>
      <c r="K1816" s="83"/>
      <c r="L1816" s="83"/>
      <c r="M1816" s="83"/>
      <c r="N1816" s="83"/>
      <c r="O1816" s="83"/>
      <c r="P1816" s="83"/>
      <c r="Q1816" s="83"/>
      <c r="R1816" s="83"/>
      <c r="S1816" s="83"/>
      <c r="T1816" s="83"/>
      <c r="U1816" s="83"/>
      <c r="V1816" s="83"/>
      <c r="W1816" s="83"/>
    </row>
    <row r="1817">
      <c r="A1817" s="91"/>
      <c r="B1817" s="91"/>
      <c r="C1817" s="91"/>
      <c r="D1817" s="91"/>
      <c r="E1817" s="91"/>
      <c r="F1817" s="92"/>
      <c r="G1817" s="83"/>
      <c r="H1817" s="83"/>
      <c r="I1817" s="83"/>
      <c r="J1817" s="83"/>
      <c r="K1817" s="83"/>
      <c r="L1817" s="83"/>
      <c r="M1817" s="83"/>
      <c r="N1817" s="83"/>
      <c r="O1817" s="83"/>
      <c r="P1817" s="83"/>
      <c r="Q1817" s="83"/>
      <c r="R1817" s="83"/>
      <c r="S1817" s="83"/>
      <c r="T1817" s="83"/>
      <c r="U1817" s="83"/>
      <c r="V1817" s="83"/>
      <c r="W1817" s="83"/>
    </row>
    <row r="1818">
      <c r="A1818" s="91"/>
      <c r="B1818" s="91"/>
      <c r="C1818" s="91"/>
      <c r="D1818" s="91"/>
      <c r="E1818" s="91"/>
      <c r="F1818" s="92"/>
      <c r="G1818" s="83"/>
      <c r="H1818" s="83"/>
      <c r="I1818" s="83"/>
      <c r="J1818" s="83"/>
      <c r="K1818" s="83"/>
      <c r="L1818" s="83"/>
      <c r="M1818" s="83"/>
      <c r="N1818" s="83"/>
      <c r="O1818" s="83"/>
      <c r="P1818" s="83"/>
      <c r="Q1818" s="83"/>
      <c r="R1818" s="83"/>
      <c r="S1818" s="83"/>
      <c r="T1818" s="83"/>
      <c r="U1818" s="83"/>
      <c r="V1818" s="83"/>
      <c r="W1818" s="83"/>
    </row>
    <row r="1819">
      <c r="A1819" s="91"/>
      <c r="B1819" s="91"/>
      <c r="C1819" s="91"/>
      <c r="D1819" s="91"/>
      <c r="E1819" s="91"/>
      <c r="F1819" s="92"/>
      <c r="G1819" s="83"/>
      <c r="H1819" s="83"/>
      <c r="I1819" s="83"/>
      <c r="J1819" s="83"/>
      <c r="K1819" s="83"/>
      <c r="L1819" s="83"/>
      <c r="M1819" s="83"/>
      <c r="N1819" s="83"/>
      <c r="O1819" s="83"/>
      <c r="P1819" s="83"/>
      <c r="Q1819" s="83"/>
      <c r="R1819" s="83"/>
      <c r="S1819" s="83"/>
      <c r="T1819" s="83"/>
      <c r="U1819" s="83"/>
      <c r="V1819" s="83"/>
      <c r="W1819" s="83"/>
    </row>
    <row r="1820">
      <c r="A1820" s="91"/>
      <c r="B1820" s="91"/>
      <c r="C1820" s="91"/>
      <c r="D1820" s="91"/>
      <c r="E1820" s="91"/>
      <c r="F1820" s="92"/>
      <c r="G1820" s="83"/>
      <c r="H1820" s="83"/>
      <c r="I1820" s="83"/>
      <c r="J1820" s="83"/>
      <c r="K1820" s="83"/>
      <c r="L1820" s="83"/>
      <c r="M1820" s="83"/>
      <c r="N1820" s="83"/>
      <c r="O1820" s="83"/>
      <c r="P1820" s="83"/>
      <c r="Q1820" s="83"/>
      <c r="R1820" s="83"/>
      <c r="S1820" s="83"/>
      <c r="T1820" s="83"/>
      <c r="U1820" s="83"/>
      <c r="V1820" s="83"/>
      <c r="W1820" s="83"/>
    </row>
    <row r="1821">
      <c r="A1821" s="91"/>
      <c r="B1821" s="91"/>
      <c r="C1821" s="91"/>
      <c r="D1821" s="91"/>
      <c r="E1821" s="91"/>
      <c r="F1821" s="92"/>
      <c r="G1821" s="83"/>
      <c r="H1821" s="83"/>
      <c r="I1821" s="83"/>
      <c r="J1821" s="83"/>
      <c r="K1821" s="83"/>
      <c r="L1821" s="83"/>
      <c r="M1821" s="83"/>
      <c r="N1821" s="83"/>
      <c r="O1821" s="83"/>
      <c r="P1821" s="83"/>
      <c r="Q1821" s="83"/>
      <c r="R1821" s="83"/>
      <c r="S1821" s="83"/>
      <c r="T1821" s="83"/>
      <c r="U1821" s="83"/>
      <c r="V1821" s="83"/>
      <c r="W1821" s="83"/>
    </row>
    <row r="1822">
      <c r="A1822" s="91"/>
      <c r="B1822" s="91"/>
      <c r="C1822" s="91"/>
      <c r="D1822" s="91"/>
      <c r="E1822" s="91"/>
      <c r="F1822" s="92"/>
      <c r="G1822" s="83"/>
      <c r="H1822" s="83"/>
      <c r="I1822" s="83"/>
      <c r="J1822" s="83"/>
      <c r="K1822" s="83"/>
      <c r="L1822" s="83"/>
      <c r="M1822" s="83"/>
      <c r="N1822" s="83"/>
      <c r="O1822" s="83"/>
      <c r="P1822" s="83"/>
      <c r="Q1822" s="83"/>
      <c r="R1822" s="83"/>
      <c r="S1822" s="83"/>
      <c r="T1822" s="83"/>
      <c r="U1822" s="83"/>
      <c r="V1822" s="83"/>
      <c r="W1822" s="83"/>
    </row>
    <row r="1823">
      <c r="A1823" s="91"/>
      <c r="B1823" s="91"/>
      <c r="C1823" s="91"/>
      <c r="D1823" s="91"/>
      <c r="E1823" s="91"/>
      <c r="F1823" s="92"/>
      <c r="G1823" s="83"/>
      <c r="H1823" s="83"/>
      <c r="I1823" s="83"/>
      <c r="J1823" s="83"/>
      <c r="K1823" s="83"/>
      <c r="L1823" s="83"/>
      <c r="M1823" s="83"/>
      <c r="N1823" s="83"/>
      <c r="O1823" s="83"/>
      <c r="P1823" s="83"/>
      <c r="Q1823" s="83"/>
      <c r="R1823" s="83"/>
      <c r="S1823" s="83"/>
      <c r="T1823" s="83"/>
      <c r="U1823" s="83"/>
      <c r="V1823" s="83"/>
      <c r="W1823" s="83"/>
    </row>
    <row r="1824">
      <c r="A1824" s="91"/>
      <c r="B1824" s="91"/>
      <c r="C1824" s="91"/>
      <c r="D1824" s="91"/>
      <c r="E1824" s="91"/>
      <c r="F1824" s="92"/>
      <c r="G1824" s="83"/>
      <c r="H1824" s="83"/>
      <c r="I1824" s="83"/>
      <c r="J1824" s="83"/>
      <c r="K1824" s="83"/>
      <c r="L1824" s="83"/>
      <c r="M1824" s="83"/>
      <c r="N1824" s="83"/>
      <c r="O1824" s="83"/>
      <c r="P1824" s="83"/>
      <c r="Q1824" s="83"/>
      <c r="R1824" s="83"/>
      <c r="S1824" s="83"/>
      <c r="T1824" s="83"/>
      <c r="U1824" s="83"/>
      <c r="V1824" s="83"/>
      <c r="W1824" s="83"/>
    </row>
    <row r="1825">
      <c r="A1825" s="91"/>
      <c r="B1825" s="91"/>
      <c r="C1825" s="91"/>
      <c r="D1825" s="91"/>
      <c r="E1825" s="91"/>
      <c r="F1825" s="92"/>
      <c r="G1825" s="83"/>
      <c r="H1825" s="83"/>
      <c r="I1825" s="83"/>
      <c r="J1825" s="83"/>
      <c r="K1825" s="83"/>
      <c r="L1825" s="83"/>
      <c r="M1825" s="83"/>
      <c r="N1825" s="83"/>
      <c r="O1825" s="83"/>
      <c r="P1825" s="83"/>
      <c r="Q1825" s="83"/>
      <c r="R1825" s="83"/>
      <c r="S1825" s="83"/>
      <c r="T1825" s="83"/>
      <c r="U1825" s="83"/>
      <c r="V1825" s="83"/>
      <c r="W1825" s="83"/>
    </row>
    <row r="1826">
      <c r="A1826" s="91"/>
      <c r="B1826" s="91"/>
      <c r="C1826" s="91"/>
      <c r="D1826" s="91"/>
      <c r="E1826" s="91"/>
      <c r="F1826" s="92"/>
      <c r="G1826" s="83"/>
      <c r="H1826" s="83"/>
      <c r="I1826" s="83"/>
      <c r="J1826" s="83"/>
      <c r="K1826" s="83"/>
      <c r="L1826" s="83"/>
      <c r="M1826" s="83"/>
      <c r="N1826" s="83"/>
      <c r="O1826" s="83"/>
      <c r="P1826" s="83"/>
      <c r="Q1826" s="83"/>
      <c r="R1826" s="83"/>
      <c r="S1826" s="83"/>
      <c r="T1826" s="83"/>
      <c r="U1826" s="83"/>
      <c r="V1826" s="83"/>
      <c r="W1826" s="83"/>
    </row>
    <row r="1827">
      <c r="A1827" s="91"/>
      <c r="B1827" s="91"/>
      <c r="C1827" s="91"/>
      <c r="D1827" s="91"/>
      <c r="E1827" s="91"/>
      <c r="F1827" s="92"/>
      <c r="G1827" s="83"/>
      <c r="H1827" s="83"/>
      <c r="I1827" s="83"/>
      <c r="J1827" s="83"/>
      <c r="K1827" s="83"/>
      <c r="L1827" s="83"/>
      <c r="M1827" s="83"/>
      <c r="N1827" s="83"/>
      <c r="O1827" s="83"/>
      <c r="P1827" s="83"/>
      <c r="Q1827" s="83"/>
      <c r="R1827" s="83"/>
      <c r="S1827" s="83"/>
      <c r="T1827" s="83"/>
      <c r="U1827" s="83"/>
      <c r="V1827" s="83"/>
      <c r="W1827" s="83"/>
    </row>
    <row r="1828">
      <c r="A1828" s="91"/>
      <c r="B1828" s="91"/>
      <c r="C1828" s="91"/>
      <c r="D1828" s="91"/>
      <c r="E1828" s="91"/>
      <c r="F1828" s="92"/>
      <c r="G1828" s="83"/>
      <c r="H1828" s="83"/>
      <c r="I1828" s="83"/>
      <c r="J1828" s="83"/>
      <c r="K1828" s="83"/>
      <c r="L1828" s="83"/>
      <c r="M1828" s="83"/>
      <c r="N1828" s="83"/>
      <c r="O1828" s="83"/>
      <c r="P1828" s="83"/>
      <c r="Q1828" s="83"/>
      <c r="R1828" s="83"/>
      <c r="S1828" s="83"/>
      <c r="T1828" s="83"/>
      <c r="U1828" s="83"/>
      <c r="V1828" s="83"/>
      <c r="W1828" s="83"/>
    </row>
    <row r="1829">
      <c r="A1829" s="91"/>
      <c r="B1829" s="91"/>
      <c r="C1829" s="91"/>
      <c r="D1829" s="91"/>
      <c r="E1829" s="91"/>
      <c r="F1829" s="92"/>
      <c r="G1829" s="83"/>
      <c r="H1829" s="83"/>
      <c r="I1829" s="83"/>
      <c r="J1829" s="83"/>
      <c r="K1829" s="83"/>
      <c r="L1829" s="83"/>
      <c r="M1829" s="83"/>
      <c r="N1829" s="83"/>
      <c r="O1829" s="83"/>
      <c r="P1829" s="83"/>
      <c r="Q1829" s="83"/>
      <c r="R1829" s="83"/>
      <c r="S1829" s="83"/>
      <c r="T1829" s="83"/>
      <c r="U1829" s="83"/>
      <c r="V1829" s="83"/>
      <c r="W1829" s="83"/>
    </row>
    <row r="1830">
      <c r="A1830" s="91"/>
      <c r="B1830" s="91"/>
      <c r="C1830" s="91"/>
      <c r="D1830" s="91"/>
      <c r="E1830" s="91"/>
      <c r="F1830" s="92"/>
      <c r="G1830" s="83"/>
      <c r="H1830" s="83"/>
      <c r="I1830" s="83"/>
      <c r="J1830" s="83"/>
      <c r="K1830" s="83"/>
      <c r="L1830" s="83"/>
      <c r="M1830" s="83"/>
      <c r="N1830" s="83"/>
      <c r="O1830" s="83"/>
      <c r="P1830" s="83"/>
      <c r="Q1830" s="83"/>
      <c r="R1830" s="83"/>
      <c r="S1830" s="83"/>
      <c r="T1830" s="83"/>
      <c r="U1830" s="83"/>
      <c r="V1830" s="83"/>
      <c r="W1830" s="83"/>
    </row>
    <row r="1831">
      <c r="A1831" s="91"/>
      <c r="B1831" s="91"/>
      <c r="C1831" s="91"/>
      <c r="D1831" s="91"/>
      <c r="E1831" s="91"/>
      <c r="F1831" s="92"/>
      <c r="G1831" s="83"/>
      <c r="H1831" s="83"/>
      <c r="I1831" s="83"/>
      <c r="J1831" s="83"/>
      <c r="K1831" s="83"/>
      <c r="L1831" s="83"/>
      <c r="M1831" s="83"/>
      <c r="N1831" s="83"/>
      <c r="O1831" s="83"/>
      <c r="P1831" s="83"/>
      <c r="Q1831" s="83"/>
      <c r="R1831" s="83"/>
      <c r="S1831" s="83"/>
      <c r="T1831" s="83"/>
      <c r="U1831" s="83"/>
      <c r="V1831" s="83"/>
      <c r="W1831" s="83"/>
    </row>
    <row r="1832">
      <c r="A1832" s="91"/>
      <c r="B1832" s="91"/>
      <c r="C1832" s="91"/>
      <c r="D1832" s="91"/>
      <c r="E1832" s="91"/>
      <c r="F1832" s="92"/>
      <c r="G1832" s="83"/>
      <c r="H1832" s="83"/>
      <c r="I1832" s="83"/>
      <c r="J1832" s="83"/>
      <c r="K1832" s="83"/>
      <c r="L1832" s="83"/>
      <c r="M1832" s="83"/>
      <c r="N1832" s="83"/>
      <c r="O1832" s="83"/>
      <c r="P1832" s="83"/>
      <c r="Q1832" s="83"/>
      <c r="R1832" s="83"/>
      <c r="S1832" s="83"/>
      <c r="T1832" s="83"/>
      <c r="U1832" s="83"/>
      <c r="V1832" s="83"/>
      <c r="W1832" s="83"/>
    </row>
    <row r="1833">
      <c r="A1833" s="91"/>
      <c r="B1833" s="91"/>
      <c r="C1833" s="91"/>
      <c r="D1833" s="91"/>
      <c r="E1833" s="91"/>
      <c r="F1833" s="92"/>
      <c r="G1833" s="83"/>
      <c r="H1833" s="83"/>
      <c r="I1833" s="83"/>
      <c r="J1833" s="83"/>
      <c r="K1833" s="83"/>
      <c r="L1833" s="83"/>
      <c r="M1833" s="83"/>
      <c r="N1833" s="83"/>
      <c r="O1833" s="83"/>
      <c r="P1833" s="83"/>
      <c r="Q1833" s="83"/>
      <c r="R1833" s="83"/>
      <c r="S1833" s="83"/>
      <c r="T1833" s="83"/>
      <c r="U1833" s="83"/>
      <c r="V1833" s="83"/>
      <c r="W1833" s="83"/>
    </row>
    <row r="1834">
      <c r="A1834" s="91"/>
      <c r="B1834" s="91"/>
      <c r="C1834" s="91"/>
      <c r="D1834" s="91"/>
      <c r="E1834" s="91"/>
      <c r="F1834" s="92"/>
      <c r="G1834" s="83"/>
      <c r="H1834" s="83"/>
      <c r="I1834" s="83"/>
      <c r="J1834" s="83"/>
      <c r="K1834" s="83"/>
      <c r="L1834" s="83"/>
      <c r="M1834" s="83"/>
      <c r="N1834" s="83"/>
      <c r="O1834" s="83"/>
      <c r="P1834" s="83"/>
      <c r="Q1834" s="83"/>
      <c r="R1834" s="83"/>
      <c r="S1834" s="83"/>
      <c r="T1834" s="83"/>
      <c r="U1834" s="83"/>
      <c r="V1834" s="83"/>
      <c r="W1834" s="83"/>
    </row>
    <row r="1835">
      <c r="A1835" s="91"/>
      <c r="B1835" s="91"/>
      <c r="C1835" s="91"/>
      <c r="D1835" s="91"/>
      <c r="E1835" s="91"/>
      <c r="F1835" s="92"/>
      <c r="G1835" s="83"/>
      <c r="H1835" s="83"/>
      <c r="I1835" s="83"/>
      <c r="J1835" s="83"/>
      <c r="K1835" s="83"/>
      <c r="L1835" s="83"/>
      <c r="M1835" s="83"/>
      <c r="N1835" s="83"/>
      <c r="O1835" s="83"/>
      <c r="P1835" s="83"/>
      <c r="Q1835" s="83"/>
      <c r="R1835" s="83"/>
      <c r="S1835" s="83"/>
      <c r="T1835" s="83"/>
      <c r="U1835" s="83"/>
      <c r="V1835" s="83"/>
      <c r="W1835" s="83"/>
    </row>
    <row r="1836">
      <c r="A1836" s="91"/>
      <c r="B1836" s="91"/>
      <c r="C1836" s="91"/>
      <c r="D1836" s="91"/>
      <c r="E1836" s="91"/>
      <c r="F1836" s="92"/>
      <c r="G1836" s="83"/>
      <c r="H1836" s="83"/>
      <c r="I1836" s="83"/>
      <c r="J1836" s="83"/>
      <c r="K1836" s="83"/>
      <c r="L1836" s="83"/>
      <c r="M1836" s="83"/>
      <c r="N1836" s="83"/>
      <c r="O1836" s="83"/>
      <c r="P1836" s="83"/>
      <c r="Q1836" s="83"/>
      <c r="R1836" s="83"/>
      <c r="S1836" s="83"/>
      <c r="T1836" s="83"/>
      <c r="U1836" s="83"/>
      <c r="V1836" s="83"/>
      <c r="W1836" s="83"/>
    </row>
    <row r="1837">
      <c r="A1837" s="91"/>
      <c r="B1837" s="91"/>
      <c r="C1837" s="91"/>
      <c r="D1837" s="91"/>
      <c r="E1837" s="91"/>
      <c r="F1837" s="92"/>
      <c r="G1837" s="83"/>
      <c r="H1837" s="83"/>
      <c r="I1837" s="83"/>
      <c r="J1837" s="83"/>
      <c r="K1837" s="83"/>
      <c r="L1837" s="83"/>
      <c r="M1837" s="83"/>
      <c r="N1837" s="83"/>
      <c r="O1837" s="83"/>
      <c r="P1837" s="83"/>
      <c r="Q1837" s="83"/>
      <c r="R1837" s="83"/>
      <c r="S1837" s="83"/>
      <c r="T1837" s="83"/>
      <c r="U1837" s="83"/>
      <c r="V1837" s="83"/>
      <c r="W1837" s="83"/>
    </row>
    <row r="1838">
      <c r="A1838" s="91"/>
      <c r="B1838" s="91"/>
      <c r="C1838" s="91"/>
      <c r="D1838" s="91"/>
      <c r="E1838" s="91"/>
      <c r="F1838" s="92"/>
      <c r="G1838" s="83"/>
      <c r="H1838" s="83"/>
      <c r="I1838" s="83"/>
      <c r="J1838" s="83"/>
      <c r="K1838" s="83"/>
      <c r="L1838" s="83"/>
      <c r="M1838" s="83"/>
      <c r="N1838" s="83"/>
      <c r="O1838" s="83"/>
      <c r="P1838" s="83"/>
      <c r="Q1838" s="83"/>
      <c r="R1838" s="83"/>
      <c r="S1838" s="83"/>
      <c r="T1838" s="83"/>
      <c r="U1838" s="83"/>
      <c r="V1838" s="83"/>
      <c r="W1838" s="83"/>
    </row>
    <row r="1839">
      <c r="A1839" s="91"/>
      <c r="B1839" s="91"/>
      <c r="C1839" s="91"/>
      <c r="D1839" s="91"/>
      <c r="E1839" s="91"/>
      <c r="F1839" s="92"/>
      <c r="G1839" s="83"/>
      <c r="H1839" s="83"/>
      <c r="I1839" s="83"/>
      <c r="J1839" s="83"/>
      <c r="K1839" s="83"/>
      <c r="L1839" s="83"/>
      <c r="M1839" s="83"/>
      <c r="N1839" s="83"/>
      <c r="O1839" s="83"/>
      <c r="P1839" s="83"/>
      <c r="Q1839" s="83"/>
      <c r="R1839" s="83"/>
      <c r="S1839" s="83"/>
      <c r="T1839" s="83"/>
      <c r="U1839" s="83"/>
      <c r="V1839" s="83"/>
      <c r="W1839" s="83"/>
    </row>
    <row r="1840">
      <c r="A1840" s="91"/>
      <c r="B1840" s="91"/>
      <c r="C1840" s="91"/>
      <c r="D1840" s="91"/>
      <c r="E1840" s="91"/>
      <c r="F1840" s="92"/>
      <c r="G1840" s="83"/>
      <c r="H1840" s="83"/>
      <c r="I1840" s="83"/>
      <c r="J1840" s="83"/>
      <c r="K1840" s="83"/>
      <c r="L1840" s="83"/>
      <c r="M1840" s="83"/>
      <c r="N1840" s="83"/>
      <c r="O1840" s="83"/>
      <c r="P1840" s="83"/>
      <c r="Q1840" s="83"/>
      <c r="R1840" s="83"/>
      <c r="S1840" s="83"/>
      <c r="T1840" s="83"/>
      <c r="U1840" s="83"/>
      <c r="V1840" s="83"/>
      <c r="W1840" s="83"/>
    </row>
    <row r="1841">
      <c r="A1841" s="91"/>
      <c r="B1841" s="91"/>
      <c r="C1841" s="91"/>
      <c r="D1841" s="91"/>
      <c r="E1841" s="91"/>
      <c r="F1841" s="92"/>
      <c r="G1841" s="83"/>
      <c r="H1841" s="83"/>
      <c r="I1841" s="83"/>
      <c r="J1841" s="83"/>
      <c r="K1841" s="83"/>
      <c r="L1841" s="83"/>
      <c r="M1841" s="83"/>
      <c r="N1841" s="83"/>
      <c r="O1841" s="83"/>
      <c r="P1841" s="83"/>
      <c r="Q1841" s="83"/>
      <c r="R1841" s="83"/>
      <c r="S1841" s="83"/>
      <c r="T1841" s="83"/>
      <c r="U1841" s="83"/>
      <c r="V1841" s="83"/>
      <c r="W1841" s="83"/>
    </row>
    <row r="1842">
      <c r="A1842" s="91"/>
      <c r="B1842" s="91"/>
      <c r="C1842" s="91"/>
      <c r="D1842" s="91"/>
      <c r="E1842" s="91"/>
      <c r="F1842" s="92"/>
      <c r="G1842" s="83"/>
      <c r="H1842" s="83"/>
      <c r="I1842" s="83"/>
      <c r="J1842" s="83"/>
      <c r="K1842" s="83"/>
      <c r="L1842" s="83"/>
      <c r="M1842" s="83"/>
      <c r="N1842" s="83"/>
      <c r="O1842" s="83"/>
      <c r="P1842" s="83"/>
      <c r="Q1842" s="83"/>
      <c r="R1842" s="83"/>
      <c r="S1842" s="83"/>
      <c r="T1842" s="83"/>
      <c r="U1842" s="83"/>
      <c r="V1842" s="83"/>
      <c r="W1842" s="83"/>
    </row>
    <row r="1843">
      <c r="A1843" s="91"/>
      <c r="B1843" s="91"/>
      <c r="C1843" s="91"/>
      <c r="D1843" s="91"/>
      <c r="E1843" s="91"/>
      <c r="F1843" s="92"/>
      <c r="G1843" s="83"/>
      <c r="H1843" s="83"/>
      <c r="I1843" s="83"/>
      <c r="J1843" s="83"/>
      <c r="K1843" s="83"/>
      <c r="L1843" s="83"/>
      <c r="M1843" s="83"/>
      <c r="N1843" s="83"/>
      <c r="O1843" s="83"/>
      <c r="P1843" s="83"/>
      <c r="Q1843" s="83"/>
      <c r="R1843" s="83"/>
      <c r="S1843" s="83"/>
      <c r="T1843" s="83"/>
      <c r="U1843" s="83"/>
      <c r="V1843" s="83"/>
      <c r="W1843" s="83"/>
    </row>
    <row r="1844">
      <c r="A1844" s="91"/>
      <c r="B1844" s="91"/>
      <c r="C1844" s="91"/>
      <c r="D1844" s="91"/>
      <c r="E1844" s="91"/>
      <c r="F1844" s="92"/>
      <c r="G1844" s="83"/>
      <c r="H1844" s="83"/>
      <c r="I1844" s="83"/>
      <c r="J1844" s="83"/>
      <c r="K1844" s="83"/>
      <c r="L1844" s="83"/>
      <c r="M1844" s="83"/>
      <c r="N1844" s="83"/>
      <c r="O1844" s="83"/>
      <c r="P1844" s="83"/>
      <c r="Q1844" s="83"/>
      <c r="R1844" s="83"/>
      <c r="S1844" s="83"/>
      <c r="T1844" s="83"/>
      <c r="U1844" s="83"/>
      <c r="V1844" s="83"/>
      <c r="W1844" s="83"/>
    </row>
    <row r="1845">
      <c r="A1845" s="91"/>
      <c r="B1845" s="91"/>
      <c r="C1845" s="91"/>
      <c r="D1845" s="91"/>
      <c r="E1845" s="91"/>
      <c r="F1845" s="92"/>
      <c r="G1845" s="83"/>
      <c r="H1845" s="83"/>
      <c r="I1845" s="83"/>
      <c r="J1845" s="83"/>
      <c r="K1845" s="83"/>
      <c r="L1845" s="83"/>
      <c r="M1845" s="83"/>
      <c r="N1845" s="83"/>
      <c r="O1845" s="83"/>
      <c r="P1845" s="83"/>
      <c r="Q1845" s="83"/>
      <c r="R1845" s="83"/>
      <c r="S1845" s="83"/>
      <c r="T1845" s="83"/>
      <c r="U1845" s="83"/>
      <c r="V1845" s="83"/>
      <c r="W1845" s="83"/>
    </row>
    <row r="1846">
      <c r="A1846" s="91"/>
      <c r="B1846" s="91"/>
      <c r="C1846" s="91"/>
      <c r="D1846" s="91"/>
      <c r="E1846" s="91"/>
      <c r="F1846" s="92"/>
      <c r="G1846" s="83"/>
      <c r="H1846" s="83"/>
      <c r="I1846" s="83"/>
      <c r="J1846" s="83"/>
      <c r="K1846" s="83"/>
      <c r="L1846" s="83"/>
      <c r="M1846" s="83"/>
      <c r="N1846" s="83"/>
      <c r="O1846" s="83"/>
      <c r="P1846" s="83"/>
      <c r="Q1846" s="83"/>
      <c r="R1846" s="83"/>
      <c r="S1846" s="83"/>
      <c r="T1846" s="83"/>
      <c r="U1846" s="83"/>
      <c r="V1846" s="83"/>
      <c r="W1846" s="83"/>
    </row>
    <row r="1847">
      <c r="A1847" s="91"/>
      <c r="B1847" s="91"/>
      <c r="C1847" s="91"/>
      <c r="D1847" s="91"/>
      <c r="E1847" s="91"/>
      <c r="F1847" s="92"/>
      <c r="G1847" s="83"/>
      <c r="H1847" s="83"/>
      <c r="I1847" s="83"/>
      <c r="J1847" s="83"/>
      <c r="K1847" s="83"/>
      <c r="L1847" s="83"/>
      <c r="M1847" s="83"/>
      <c r="N1847" s="83"/>
      <c r="O1847" s="83"/>
      <c r="P1847" s="83"/>
      <c r="Q1847" s="83"/>
      <c r="R1847" s="83"/>
      <c r="S1847" s="83"/>
      <c r="T1847" s="83"/>
      <c r="U1847" s="83"/>
      <c r="V1847" s="83"/>
      <c r="W1847" s="83"/>
    </row>
    <row r="1848">
      <c r="A1848" s="91"/>
      <c r="B1848" s="91"/>
      <c r="C1848" s="91"/>
      <c r="D1848" s="91"/>
      <c r="E1848" s="91"/>
      <c r="F1848" s="92"/>
      <c r="G1848" s="83"/>
      <c r="H1848" s="83"/>
      <c r="I1848" s="83"/>
      <c r="J1848" s="83"/>
      <c r="K1848" s="83"/>
      <c r="L1848" s="83"/>
      <c r="M1848" s="83"/>
      <c r="N1848" s="83"/>
      <c r="O1848" s="83"/>
      <c r="P1848" s="83"/>
      <c r="Q1848" s="83"/>
      <c r="R1848" s="83"/>
      <c r="S1848" s="83"/>
      <c r="T1848" s="83"/>
      <c r="U1848" s="83"/>
      <c r="V1848" s="83"/>
      <c r="W1848" s="83"/>
    </row>
    <row r="1849">
      <c r="A1849" s="91"/>
      <c r="B1849" s="91"/>
      <c r="C1849" s="91"/>
      <c r="D1849" s="91"/>
      <c r="E1849" s="91"/>
      <c r="F1849" s="92"/>
      <c r="G1849" s="83"/>
      <c r="H1849" s="83"/>
      <c r="I1849" s="83"/>
      <c r="J1849" s="83"/>
      <c r="K1849" s="83"/>
      <c r="L1849" s="83"/>
      <c r="M1849" s="83"/>
      <c r="N1849" s="83"/>
      <c r="O1849" s="83"/>
      <c r="P1849" s="83"/>
      <c r="Q1849" s="83"/>
      <c r="R1849" s="83"/>
      <c r="S1849" s="83"/>
      <c r="T1849" s="83"/>
      <c r="U1849" s="83"/>
      <c r="V1849" s="83"/>
      <c r="W1849" s="83"/>
    </row>
    <row r="1850">
      <c r="A1850" s="91"/>
      <c r="B1850" s="91"/>
      <c r="C1850" s="91"/>
      <c r="D1850" s="91"/>
      <c r="E1850" s="91"/>
      <c r="F1850" s="92"/>
      <c r="G1850" s="83"/>
      <c r="H1850" s="83"/>
      <c r="I1850" s="83"/>
      <c r="J1850" s="83"/>
      <c r="K1850" s="83"/>
      <c r="L1850" s="83"/>
      <c r="M1850" s="83"/>
      <c r="N1850" s="83"/>
      <c r="O1850" s="83"/>
      <c r="P1850" s="83"/>
      <c r="Q1850" s="83"/>
      <c r="R1850" s="83"/>
      <c r="S1850" s="83"/>
      <c r="T1850" s="83"/>
      <c r="U1850" s="83"/>
      <c r="V1850" s="83"/>
      <c r="W1850" s="83"/>
    </row>
    <row r="1851">
      <c r="A1851" s="91"/>
      <c r="B1851" s="91"/>
      <c r="C1851" s="91"/>
      <c r="D1851" s="91"/>
      <c r="E1851" s="91"/>
      <c r="F1851" s="92"/>
      <c r="G1851" s="83"/>
      <c r="H1851" s="83"/>
      <c r="I1851" s="83"/>
      <c r="J1851" s="83"/>
      <c r="K1851" s="83"/>
      <c r="L1851" s="83"/>
      <c r="M1851" s="83"/>
      <c r="N1851" s="83"/>
      <c r="O1851" s="83"/>
      <c r="P1851" s="83"/>
      <c r="Q1851" s="83"/>
      <c r="R1851" s="83"/>
      <c r="S1851" s="83"/>
      <c r="T1851" s="83"/>
      <c r="U1851" s="83"/>
      <c r="V1851" s="83"/>
      <c r="W1851" s="83"/>
    </row>
    <row r="1852">
      <c r="A1852" s="91"/>
      <c r="B1852" s="91"/>
      <c r="C1852" s="91"/>
      <c r="D1852" s="91"/>
      <c r="E1852" s="91"/>
      <c r="F1852" s="92"/>
      <c r="G1852" s="83"/>
      <c r="H1852" s="83"/>
      <c r="I1852" s="83"/>
      <c r="J1852" s="83"/>
      <c r="K1852" s="83"/>
      <c r="L1852" s="83"/>
      <c r="M1852" s="83"/>
      <c r="N1852" s="83"/>
      <c r="O1852" s="83"/>
      <c r="P1852" s="83"/>
      <c r="Q1852" s="83"/>
      <c r="R1852" s="83"/>
      <c r="S1852" s="83"/>
      <c r="T1852" s="83"/>
      <c r="U1852" s="83"/>
      <c r="V1852" s="83"/>
      <c r="W1852" s="83"/>
    </row>
    <row r="1853">
      <c r="A1853" s="91"/>
      <c r="B1853" s="91"/>
      <c r="C1853" s="91"/>
      <c r="D1853" s="91"/>
      <c r="E1853" s="91"/>
      <c r="F1853" s="92"/>
      <c r="G1853" s="83"/>
      <c r="H1853" s="83"/>
      <c r="I1853" s="83"/>
      <c r="J1853" s="83"/>
      <c r="K1853" s="83"/>
      <c r="L1853" s="83"/>
      <c r="M1853" s="83"/>
      <c r="N1853" s="83"/>
      <c r="O1853" s="83"/>
      <c r="P1853" s="83"/>
      <c r="Q1853" s="83"/>
      <c r="R1853" s="83"/>
      <c r="S1853" s="83"/>
      <c r="T1853" s="83"/>
      <c r="U1853" s="83"/>
      <c r="V1853" s="83"/>
      <c r="W1853" s="83"/>
    </row>
    <row r="1854">
      <c r="A1854" s="91"/>
      <c r="B1854" s="91"/>
      <c r="C1854" s="91"/>
      <c r="D1854" s="91"/>
      <c r="E1854" s="91"/>
      <c r="F1854" s="92"/>
      <c r="G1854" s="83"/>
      <c r="H1854" s="83"/>
      <c r="I1854" s="83"/>
      <c r="J1854" s="83"/>
      <c r="K1854" s="83"/>
      <c r="L1854" s="83"/>
      <c r="M1854" s="83"/>
      <c r="N1854" s="83"/>
      <c r="O1854" s="83"/>
      <c r="P1854" s="83"/>
      <c r="Q1854" s="83"/>
      <c r="R1854" s="83"/>
      <c r="S1854" s="83"/>
      <c r="T1854" s="83"/>
      <c r="U1854" s="83"/>
      <c r="V1854" s="83"/>
      <c r="W1854" s="83"/>
    </row>
    <row r="1855">
      <c r="A1855" s="91"/>
      <c r="B1855" s="91"/>
      <c r="C1855" s="91"/>
      <c r="D1855" s="91"/>
      <c r="E1855" s="91"/>
      <c r="F1855" s="92"/>
      <c r="G1855" s="83"/>
      <c r="H1855" s="83"/>
      <c r="I1855" s="83"/>
      <c r="J1855" s="83"/>
      <c r="K1855" s="83"/>
      <c r="L1855" s="83"/>
      <c r="M1855" s="83"/>
      <c r="N1855" s="83"/>
      <c r="O1855" s="83"/>
      <c r="P1855" s="83"/>
      <c r="Q1855" s="83"/>
      <c r="R1855" s="83"/>
      <c r="S1855" s="83"/>
      <c r="T1855" s="83"/>
      <c r="U1855" s="83"/>
      <c r="V1855" s="83"/>
      <c r="W1855" s="83"/>
    </row>
    <row r="1856">
      <c r="A1856" s="91"/>
      <c r="B1856" s="91"/>
      <c r="C1856" s="91"/>
      <c r="D1856" s="91"/>
      <c r="E1856" s="91"/>
      <c r="F1856" s="92"/>
      <c r="G1856" s="83"/>
      <c r="H1856" s="83"/>
      <c r="I1856" s="83"/>
      <c r="J1856" s="83"/>
      <c r="K1856" s="83"/>
      <c r="L1856" s="83"/>
      <c r="M1856" s="83"/>
      <c r="N1856" s="83"/>
      <c r="O1856" s="83"/>
      <c r="P1856" s="83"/>
      <c r="Q1856" s="83"/>
      <c r="R1856" s="83"/>
      <c r="S1856" s="83"/>
      <c r="T1856" s="83"/>
      <c r="U1856" s="83"/>
      <c r="V1856" s="83"/>
      <c r="W1856" s="83"/>
    </row>
    <row r="1857">
      <c r="A1857" s="91"/>
      <c r="B1857" s="91"/>
      <c r="C1857" s="91"/>
      <c r="D1857" s="91"/>
      <c r="E1857" s="91"/>
      <c r="F1857" s="92"/>
      <c r="G1857" s="83"/>
      <c r="H1857" s="83"/>
      <c r="I1857" s="83"/>
      <c r="J1857" s="83"/>
      <c r="K1857" s="83"/>
      <c r="L1857" s="83"/>
      <c r="M1857" s="83"/>
      <c r="N1857" s="83"/>
      <c r="O1857" s="83"/>
      <c r="P1857" s="83"/>
      <c r="Q1857" s="83"/>
      <c r="R1857" s="83"/>
      <c r="S1857" s="83"/>
      <c r="T1857" s="83"/>
      <c r="U1857" s="83"/>
      <c r="V1857" s="83"/>
      <c r="W1857" s="83"/>
    </row>
    <row r="1858">
      <c r="A1858" s="91"/>
      <c r="B1858" s="91"/>
      <c r="C1858" s="91"/>
      <c r="D1858" s="91"/>
      <c r="E1858" s="91"/>
      <c r="F1858" s="92"/>
      <c r="G1858" s="83"/>
      <c r="H1858" s="83"/>
      <c r="I1858" s="83"/>
      <c r="J1858" s="83"/>
      <c r="K1858" s="83"/>
      <c r="L1858" s="83"/>
      <c r="M1858" s="83"/>
      <c r="N1858" s="83"/>
      <c r="O1858" s="83"/>
      <c r="P1858" s="83"/>
      <c r="Q1858" s="83"/>
      <c r="R1858" s="83"/>
      <c r="S1858" s="83"/>
      <c r="T1858" s="83"/>
      <c r="U1858" s="83"/>
      <c r="V1858" s="83"/>
      <c r="W1858" s="83"/>
    </row>
    <row r="1859">
      <c r="A1859" s="91"/>
      <c r="B1859" s="91"/>
      <c r="C1859" s="91"/>
      <c r="D1859" s="91"/>
      <c r="E1859" s="91"/>
      <c r="F1859" s="92"/>
      <c r="G1859" s="83"/>
      <c r="H1859" s="83"/>
      <c r="I1859" s="83"/>
      <c r="J1859" s="83"/>
      <c r="K1859" s="83"/>
      <c r="L1859" s="83"/>
      <c r="M1859" s="83"/>
      <c r="N1859" s="83"/>
      <c r="O1859" s="83"/>
      <c r="P1859" s="83"/>
      <c r="Q1859" s="83"/>
      <c r="R1859" s="83"/>
      <c r="S1859" s="83"/>
      <c r="T1859" s="83"/>
      <c r="U1859" s="83"/>
      <c r="V1859" s="83"/>
      <c r="W1859" s="83"/>
    </row>
    <row r="1860">
      <c r="A1860" s="91"/>
      <c r="B1860" s="91"/>
      <c r="C1860" s="91"/>
      <c r="D1860" s="91"/>
      <c r="E1860" s="91"/>
      <c r="F1860" s="92"/>
      <c r="G1860" s="83"/>
      <c r="H1860" s="83"/>
      <c r="I1860" s="83"/>
      <c r="J1860" s="83"/>
      <c r="K1860" s="83"/>
      <c r="L1860" s="83"/>
      <c r="M1860" s="83"/>
      <c r="N1860" s="83"/>
      <c r="O1860" s="83"/>
      <c r="P1860" s="83"/>
      <c r="Q1860" s="83"/>
      <c r="R1860" s="83"/>
      <c r="S1860" s="83"/>
      <c r="T1860" s="83"/>
      <c r="U1860" s="83"/>
      <c r="V1860" s="83"/>
      <c r="W1860" s="83"/>
    </row>
    <row r="1861">
      <c r="A1861" s="91"/>
      <c r="B1861" s="91"/>
      <c r="C1861" s="91"/>
      <c r="D1861" s="91"/>
      <c r="E1861" s="91"/>
      <c r="F1861" s="92"/>
      <c r="G1861" s="83"/>
      <c r="H1861" s="83"/>
      <c r="I1861" s="83"/>
      <c r="J1861" s="83"/>
      <c r="K1861" s="83"/>
      <c r="L1861" s="83"/>
      <c r="M1861" s="83"/>
      <c r="N1861" s="83"/>
      <c r="O1861" s="83"/>
      <c r="P1861" s="83"/>
      <c r="Q1861" s="83"/>
      <c r="R1861" s="83"/>
      <c r="S1861" s="83"/>
      <c r="T1861" s="83"/>
      <c r="U1861" s="83"/>
      <c r="V1861" s="83"/>
      <c r="W1861" s="83"/>
    </row>
    <row r="1862">
      <c r="A1862" s="91"/>
      <c r="B1862" s="91"/>
      <c r="C1862" s="91"/>
      <c r="D1862" s="91"/>
      <c r="E1862" s="91"/>
      <c r="F1862" s="92"/>
      <c r="G1862" s="83"/>
      <c r="H1862" s="83"/>
      <c r="I1862" s="83"/>
      <c r="J1862" s="83"/>
      <c r="K1862" s="83"/>
      <c r="L1862" s="83"/>
      <c r="M1862" s="83"/>
      <c r="N1862" s="83"/>
      <c r="O1862" s="83"/>
      <c r="P1862" s="83"/>
      <c r="Q1862" s="83"/>
      <c r="R1862" s="83"/>
      <c r="S1862" s="83"/>
      <c r="T1862" s="83"/>
      <c r="U1862" s="83"/>
      <c r="V1862" s="83"/>
      <c r="W1862" s="83"/>
    </row>
    <row r="1863">
      <c r="A1863" s="91"/>
      <c r="B1863" s="91"/>
      <c r="C1863" s="91"/>
      <c r="D1863" s="91"/>
      <c r="E1863" s="91"/>
      <c r="F1863" s="92"/>
      <c r="G1863" s="83"/>
      <c r="H1863" s="83"/>
      <c r="I1863" s="83"/>
      <c r="J1863" s="83"/>
      <c r="K1863" s="83"/>
      <c r="L1863" s="83"/>
      <c r="M1863" s="83"/>
      <c r="N1863" s="83"/>
      <c r="O1863" s="83"/>
      <c r="P1863" s="83"/>
      <c r="Q1863" s="83"/>
      <c r="R1863" s="83"/>
      <c r="S1863" s="83"/>
      <c r="T1863" s="83"/>
      <c r="U1863" s="83"/>
      <c r="V1863" s="83"/>
      <c r="W1863" s="83"/>
    </row>
    <row r="1864">
      <c r="A1864" s="91"/>
      <c r="B1864" s="91"/>
      <c r="C1864" s="91"/>
      <c r="D1864" s="91"/>
      <c r="E1864" s="91"/>
      <c r="F1864" s="92"/>
      <c r="G1864" s="83"/>
      <c r="H1864" s="83"/>
      <c r="I1864" s="83"/>
      <c r="J1864" s="83"/>
      <c r="K1864" s="83"/>
      <c r="L1864" s="83"/>
      <c r="M1864" s="83"/>
      <c r="N1864" s="83"/>
      <c r="O1864" s="83"/>
      <c r="P1864" s="83"/>
      <c r="Q1864" s="83"/>
      <c r="R1864" s="83"/>
      <c r="S1864" s="83"/>
      <c r="T1864" s="83"/>
      <c r="U1864" s="83"/>
      <c r="V1864" s="83"/>
      <c r="W1864" s="83"/>
    </row>
    <row r="1865">
      <c r="A1865" s="91"/>
      <c r="B1865" s="91"/>
      <c r="C1865" s="91"/>
      <c r="D1865" s="91"/>
      <c r="E1865" s="91"/>
      <c r="F1865" s="92"/>
      <c r="G1865" s="83"/>
      <c r="H1865" s="83"/>
      <c r="I1865" s="83"/>
      <c r="J1865" s="83"/>
      <c r="K1865" s="83"/>
      <c r="L1865" s="83"/>
      <c r="M1865" s="83"/>
      <c r="N1865" s="83"/>
      <c r="O1865" s="83"/>
      <c r="P1865" s="83"/>
      <c r="Q1865" s="83"/>
      <c r="R1865" s="83"/>
      <c r="S1865" s="83"/>
      <c r="T1865" s="83"/>
      <c r="U1865" s="83"/>
      <c r="V1865" s="83"/>
      <c r="W1865" s="83"/>
    </row>
    <row r="1866">
      <c r="A1866" s="91"/>
      <c r="B1866" s="91"/>
      <c r="C1866" s="91"/>
      <c r="D1866" s="91"/>
      <c r="E1866" s="91"/>
      <c r="F1866" s="92"/>
      <c r="G1866" s="83"/>
      <c r="H1866" s="83"/>
      <c r="I1866" s="83"/>
      <c r="J1866" s="83"/>
      <c r="K1866" s="83"/>
      <c r="L1866" s="83"/>
      <c r="M1866" s="83"/>
      <c r="N1866" s="83"/>
      <c r="O1866" s="83"/>
      <c r="P1866" s="83"/>
      <c r="Q1866" s="83"/>
      <c r="R1866" s="83"/>
      <c r="S1866" s="83"/>
      <c r="T1866" s="83"/>
      <c r="U1866" s="83"/>
      <c r="V1866" s="83"/>
      <c r="W1866" s="83"/>
    </row>
    <row r="1867">
      <c r="A1867" s="91"/>
      <c r="B1867" s="91"/>
      <c r="C1867" s="91"/>
      <c r="D1867" s="91"/>
      <c r="E1867" s="91"/>
      <c r="F1867" s="92"/>
      <c r="G1867" s="83"/>
      <c r="H1867" s="83"/>
      <c r="I1867" s="83"/>
      <c r="J1867" s="83"/>
      <c r="K1867" s="83"/>
      <c r="L1867" s="83"/>
      <c r="M1867" s="83"/>
      <c r="N1867" s="83"/>
      <c r="O1867" s="83"/>
      <c r="P1867" s="83"/>
      <c r="Q1867" s="83"/>
      <c r="R1867" s="83"/>
      <c r="S1867" s="83"/>
      <c r="T1867" s="83"/>
      <c r="U1867" s="83"/>
      <c r="V1867" s="83"/>
      <c r="W1867" s="83"/>
    </row>
    <row r="1868">
      <c r="A1868" s="91"/>
      <c r="B1868" s="91"/>
      <c r="C1868" s="91"/>
      <c r="D1868" s="91"/>
      <c r="E1868" s="91"/>
      <c r="F1868" s="92"/>
      <c r="G1868" s="83"/>
      <c r="H1868" s="83"/>
      <c r="I1868" s="83"/>
      <c r="J1868" s="83"/>
      <c r="K1868" s="83"/>
      <c r="L1868" s="83"/>
      <c r="M1868" s="83"/>
      <c r="N1868" s="83"/>
      <c r="O1868" s="83"/>
      <c r="P1868" s="83"/>
      <c r="Q1868" s="83"/>
      <c r="R1868" s="83"/>
      <c r="S1868" s="83"/>
      <c r="T1868" s="83"/>
      <c r="U1868" s="83"/>
      <c r="V1868" s="83"/>
      <c r="W1868" s="83"/>
    </row>
    <row r="1869">
      <c r="A1869" s="91"/>
      <c r="B1869" s="91"/>
      <c r="C1869" s="91"/>
      <c r="D1869" s="91"/>
      <c r="E1869" s="91"/>
      <c r="F1869" s="92"/>
      <c r="G1869" s="83"/>
      <c r="H1869" s="83"/>
      <c r="I1869" s="83"/>
      <c r="J1869" s="83"/>
      <c r="K1869" s="83"/>
      <c r="L1869" s="83"/>
      <c r="M1869" s="83"/>
      <c r="N1869" s="83"/>
      <c r="O1869" s="83"/>
      <c r="P1869" s="83"/>
      <c r="Q1869" s="83"/>
      <c r="R1869" s="83"/>
      <c r="S1869" s="83"/>
      <c r="T1869" s="83"/>
      <c r="U1869" s="83"/>
      <c r="V1869" s="83"/>
      <c r="W1869" s="83"/>
    </row>
    <row r="1870">
      <c r="A1870" s="91"/>
      <c r="B1870" s="91"/>
      <c r="C1870" s="91"/>
      <c r="D1870" s="91"/>
      <c r="E1870" s="91"/>
      <c r="F1870" s="92"/>
      <c r="G1870" s="83"/>
      <c r="H1870" s="83"/>
      <c r="I1870" s="83"/>
      <c r="J1870" s="83"/>
      <c r="K1870" s="83"/>
      <c r="L1870" s="83"/>
      <c r="M1870" s="83"/>
      <c r="N1870" s="83"/>
      <c r="O1870" s="83"/>
      <c r="P1870" s="83"/>
      <c r="Q1870" s="83"/>
      <c r="R1870" s="83"/>
      <c r="S1870" s="83"/>
      <c r="T1870" s="83"/>
      <c r="U1870" s="83"/>
      <c r="V1870" s="83"/>
      <c r="W1870" s="83"/>
    </row>
    <row r="1871">
      <c r="A1871" s="91"/>
      <c r="B1871" s="91"/>
      <c r="C1871" s="91"/>
      <c r="D1871" s="91"/>
      <c r="E1871" s="91"/>
      <c r="F1871" s="92"/>
      <c r="G1871" s="83"/>
      <c r="H1871" s="83"/>
      <c r="I1871" s="83"/>
      <c r="J1871" s="83"/>
      <c r="K1871" s="83"/>
      <c r="L1871" s="83"/>
      <c r="M1871" s="83"/>
      <c r="N1871" s="83"/>
      <c r="O1871" s="83"/>
      <c r="P1871" s="83"/>
      <c r="Q1871" s="83"/>
      <c r="R1871" s="83"/>
      <c r="S1871" s="83"/>
      <c r="T1871" s="83"/>
      <c r="U1871" s="83"/>
      <c r="V1871" s="83"/>
      <c r="W1871" s="83"/>
    </row>
    <row r="1872">
      <c r="A1872" s="91"/>
      <c r="B1872" s="91"/>
      <c r="C1872" s="91"/>
      <c r="D1872" s="91"/>
      <c r="E1872" s="91"/>
      <c r="F1872" s="92"/>
      <c r="G1872" s="83"/>
      <c r="H1872" s="83"/>
      <c r="I1872" s="83"/>
      <c r="J1872" s="83"/>
      <c r="K1872" s="83"/>
      <c r="L1872" s="83"/>
      <c r="M1872" s="83"/>
      <c r="N1872" s="83"/>
      <c r="O1872" s="83"/>
      <c r="P1872" s="83"/>
      <c r="Q1872" s="83"/>
      <c r="R1872" s="83"/>
      <c r="S1872" s="83"/>
      <c r="T1872" s="83"/>
      <c r="U1872" s="83"/>
      <c r="V1872" s="83"/>
      <c r="W1872" s="83"/>
    </row>
    <row r="1873">
      <c r="A1873" s="91"/>
      <c r="B1873" s="91"/>
      <c r="C1873" s="91"/>
      <c r="D1873" s="91"/>
      <c r="E1873" s="91"/>
      <c r="F1873" s="92"/>
      <c r="G1873" s="83"/>
      <c r="H1873" s="83"/>
      <c r="I1873" s="83"/>
      <c r="J1873" s="83"/>
      <c r="K1873" s="83"/>
      <c r="L1873" s="83"/>
      <c r="M1873" s="83"/>
      <c r="N1873" s="83"/>
      <c r="O1873" s="83"/>
      <c r="P1873" s="83"/>
      <c r="Q1873" s="83"/>
      <c r="R1873" s="83"/>
      <c r="S1873" s="83"/>
      <c r="T1873" s="83"/>
      <c r="U1873" s="83"/>
      <c r="V1873" s="83"/>
      <c r="W1873" s="83"/>
    </row>
    <row r="1874">
      <c r="A1874" s="91"/>
      <c r="B1874" s="91"/>
      <c r="C1874" s="91"/>
      <c r="D1874" s="91"/>
      <c r="E1874" s="91"/>
      <c r="F1874" s="92"/>
      <c r="G1874" s="83"/>
      <c r="H1874" s="83"/>
      <c r="I1874" s="83"/>
      <c r="J1874" s="83"/>
      <c r="K1874" s="83"/>
      <c r="L1874" s="83"/>
      <c r="M1874" s="83"/>
      <c r="N1874" s="83"/>
      <c r="O1874" s="83"/>
      <c r="P1874" s="83"/>
      <c r="Q1874" s="83"/>
      <c r="R1874" s="83"/>
      <c r="S1874" s="83"/>
      <c r="T1874" s="83"/>
      <c r="U1874" s="83"/>
      <c r="V1874" s="83"/>
      <c r="W1874" s="83"/>
    </row>
    <row r="1875">
      <c r="A1875" s="91"/>
      <c r="B1875" s="91"/>
      <c r="C1875" s="91"/>
      <c r="D1875" s="91"/>
      <c r="E1875" s="91"/>
      <c r="F1875" s="92"/>
      <c r="G1875" s="83"/>
      <c r="H1875" s="83"/>
      <c r="I1875" s="83"/>
      <c r="J1875" s="83"/>
      <c r="K1875" s="83"/>
      <c r="L1875" s="83"/>
      <c r="M1875" s="83"/>
      <c r="N1875" s="83"/>
      <c r="O1875" s="83"/>
      <c r="P1875" s="83"/>
      <c r="Q1875" s="83"/>
      <c r="R1875" s="83"/>
      <c r="S1875" s="83"/>
      <c r="T1875" s="83"/>
      <c r="U1875" s="83"/>
      <c r="V1875" s="83"/>
      <c r="W1875" s="83"/>
    </row>
    <row r="1876">
      <c r="A1876" s="91"/>
      <c r="B1876" s="91"/>
      <c r="C1876" s="91"/>
      <c r="D1876" s="91"/>
      <c r="E1876" s="91"/>
      <c r="F1876" s="92"/>
      <c r="G1876" s="83"/>
      <c r="H1876" s="83"/>
      <c r="I1876" s="83"/>
      <c r="J1876" s="83"/>
      <c r="K1876" s="83"/>
      <c r="L1876" s="83"/>
      <c r="M1876" s="83"/>
      <c r="N1876" s="83"/>
      <c r="O1876" s="83"/>
      <c r="P1876" s="83"/>
      <c r="Q1876" s="83"/>
      <c r="R1876" s="83"/>
      <c r="S1876" s="83"/>
      <c r="T1876" s="83"/>
      <c r="U1876" s="83"/>
      <c r="V1876" s="83"/>
      <c r="W1876" s="83"/>
    </row>
    <row r="1877">
      <c r="A1877" s="91"/>
      <c r="B1877" s="91"/>
      <c r="C1877" s="91"/>
      <c r="D1877" s="91"/>
      <c r="E1877" s="91"/>
      <c r="F1877" s="92"/>
      <c r="G1877" s="83"/>
      <c r="H1877" s="83"/>
      <c r="I1877" s="83"/>
      <c r="J1877" s="83"/>
      <c r="K1877" s="83"/>
      <c r="L1877" s="83"/>
      <c r="M1877" s="83"/>
      <c r="N1877" s="83"/>
      <c r="O1877" s="83"/>
      <c r="P1877" s="83"/>
      <c r="Q1877" s="83"/>
      <c r="R1877" s="83"/>
      <c r="S1877" s="83"/>
      <c r="T1877" s="83"/>
      <c r="U1877" s="83"/>
      <c r="V1877" s="83"/>
      <c r="W1877" s="83"/>
    </row>
    <row r="1878">
      <c r="A1878" s="91"/>
      <c r="B1878" s="91"/>
      <c r="C1878" s="91"/>
      <c r="D1878" s="91"/>
      <c r="E1878" s="91"/>
      <c r="F1878" s="92"/>
      <c r="G1878" s="83"/>
      <c r="H1878" s="83"/>
      <c r="I1878" s="83"/>
      <c r="J1878" s="83"/>
      <c r="K1878" s="83"/>
      <c r="L1878" s="83"/>
      <c r="M1878" s="83"/>
      <c r="N1878" s="83"/>
      <c r="O1878" s="83"/>
      <c r="P1878" s="83"/>
      <c r="Q1878" s="83"/>
      <c r="R1878" s="83"/>
      <c r="S1878" s="83"/>
      <c r="T1878" s="83"/>
      <c r="U1878" s="83"/>
      <c r="V1878" s="83"/>
      <c r="W1878" s="83"/>
    </row>
    <row r="1879">
      <c r="A1879" s="91"/>
      <c r="B1879" s="91"/>
      <c r="C1879" s="91"/>
      <c r="D1879" s="91"/>
      <c r="E1879" s="91"/>
      <c r="F1879" s="92"/>
      <c r="G1879" s="83"/>
      <c r="H1879" s="83"/>
      <c r="I1879" s="83"/>
      <c r="J1879" s="83"/>
      <c r="K1879" s="83"/>
      <c r="L1879" s="83"/>
      <c r="M1879" s="83"/>
      <c r="N1879" s="83"/>
      <c r="O1879" s="83"/>
      <c r="P1879" s="83"/>
      <c r="Q1879" s="83"/>
      <c r="R1879" s="83"/>
      <c r="S1879" s="83"/>
      <c r="T1879" s="83"/>
      <c r="U1879" s="83"/>
      <c r="V1879" s="83"/>
      <c r="W1879" s="83"/>
    </row>
    <row r="1880">
      <c r="A1880" s="91"/>
      <c r="B1880" s="91"/>
      <c r="C1880" s="91"/>
      <c r="D1880" s="91"/>
      <c r="E1880" s="91"/>
      <c r="F1880" s="92"/>
      <c r="G1880" s="83"/>
      <c r="H1880" s="83"/>
      <c r="I1880" s="83"/>
      <c r="J1880" s="83"/>
      <c r="K1880" s="83"/>
      <c r="L1880" s="83"/>
      <c r="M1880" s="83"/>
      <c r="N1880" s="83"/>
      <c r="O1880" s="83"/>
      <c r="P1880" s="83"/>
      <c r="Q1880" s="83"/>
      <c r="R1880" s="83"/>
      <c r="S1880" s="83"/>
      <c r="T1880" s="83"/>
      <c r="U1880" s="83"/>
      <c r="V1880" s="83"/>
      <c r="W1880" s="83"/>
    </row>
    <row r="1881">
      <c r="A1881" s="91"/>
      <c r="B1881" s="91"/>
      <c r="C1881" s="91"/>
      <c r="D1881" s="91"/>
      <c r="E1881" s="91"/>
      <c r="F1881" s="92"/>
      <c r="G1881" s="83"/>
      <c r="H1881" s="83"/>
      <c r="I1881" s="83"/>
      <c r="J1881" s="83"/>
      <c r="K1881" s="83"/>
      <c r="L1881" s="83"/>
      <c r="M1881" s="83"/>
      <c r="N1881" s="83"/>
      <c r="O1881" s="83"/>
      <c r="P1881" s="83"/>
      <c r="Q1881" s="83"/>
      <c r="R1881" s="83"/>
      <c r="S1881" s="83"/>
      <c r="T1881" s="83"/>
      <c r="U1881" s="83"/>
      <c r="V1881" s="83"/>
      <c r="W1881" s="83"/>
    </row>
    <row r="1882">
      <c r="A1882" s="91"/>
      <c r="B1882" s="91"/>
      <c r="C1882" s="91"/>
      <c r="D1882" s="91"/>
      <c r="E1882" s="91"/>
      <c r="F1882" s="92"/>
      <c r="G1882" s="83"/>
      <c r="H1882" s="83"/>
      <c r="I1882" s="83"/>
      <c r="J1882" s="83"/>
      <c r="K1882" s="83"/>
      <c r="L1882" s="83"/>
      <c r="M1882" s="83"/>
      <c r="N1882" s="83"/>
      <c r="O1882" s="83"/>
      <c r="P1882" s="83"/>
      <c r="Q1882" s="83"/>
      <c r="R1882" s="83"/>
      <c r="S1882" s="83"/>
      <c r="T1882" s="83"/>
      <c r="U1882" s="83"/>
      <c r="V1882" s="83"/>
      <c r="W1882" s="83"/>
    </row>
    <row r="1883">
      <c r="A1883" s="91"/>
      <c r="B1883" s="91"/>
      <c r="C1883" s="91"/>
      <c r="D1883" s="91"/>
      <c r="E1883" s="91"/>
      <c r="F1883" s="92"/>
      <c r="G1883" s="83"/>
      <c r="H1883" s="83"/>
      <c r="I1883" s="83"/>
      <c r="J1883" s="83"/>
      <c r="K1883" s="83"/>
      <c r="L1883" s="83"/>
      <c r="M1883" s="83"/>
      <c r="N1883" s="83"/>
      <c r="O1883" s="83"/>
      <c r="P1883" s="83"/>
      <c r="Q1883" s="83"/>
      <c r="R1883" s="83"/>
      <c r="S1883" s="83"/>
      <c r="T1883" s="83"/>
      <c r="U1883" s="83"/>
      <c r="V1883" s="83"/>
      <c r="W1883" s="83"/>
    </row>
    <row r="1884">
      <c r="A1884" s="91"/>
      <c r="B1884" s="91"/>
      <c r="C1884" s="91"/>
      <c r="D1884" s="91"/>
      <c r="E1884" s="91"/>
      <c r="F1884" s="92"/>
      <c r="G1884" s="83"/>
      <c r="H1884" s="83"/>
      <c r="I1884" s="83"/>
      <c r="J1884" s="83"/>
      <c r="K1884" s="83"/>
      <c r="L1884" s="83"/>
      <c r="M1884" s="83"/>
      <c r="N1884" s="83"/>
      <c r="O1884" s="83"/>
      <c r="P1884" s="83"/>
      <c r="Q1884" s="83"/>
      <c r="R1884" s="83"/>
      <c r="S1884" s="83"/>
      <c r="T1884" s="83"/>
      <c r="U1884" s="83"/>
      <c r="V1884" s="83"/>
      <c r="W1884" s="83"/>
    </row>
    <row r="1885">
      <c r="A1885" s="91"/>
      <c r="B1885" s="91"/>
      <c r="C1885" s="91"/>
      <c r="D1885" s="91"/>
      <c r="E1885" s="91"/>
      <c r="F1885" s="92"/>
      <c r="G1885" s="83"/>
      <c r="H1885" s="83"/>
      <c r="I1885" s="83"/>
      <c r="J1885" s="83"/>
      <c r="K1885" s="83"/>
      <c r="L1885" s="83"/>
      <c r="M1885" s="83"/>
      <c r="N1885" s="83"/>
      <c r="O1885" s="83"/>
      <c r="P1885" s="83"/>
      <c r="Q1885" s="83"/>
      <c r="R1885" s="83"/>
      <c r="S1885" s="83"/>
      <c r="T1885" s="83"/>
      <c r="U1885" s="83"/>
      <c r="V1885" s="83"/>
      <c r="W1885" s="83"/>
    </row>
    <row r="1886">
      <c r="A1886" s="91"/>
      <c r="B1886" s="91"/>
      <c r="C1886" s="91"/>
      <c r="D1886" s="91"/>
      <c r="E1886" s="91"/>
      <c r="F1886" s="92"/>
      <c r="G1886" s="83"/>
      <c r="H1886" s="83"/>
      <c r="I1886" s="83"/>
      <c r="J1886" s="83"/>
      <c r="K1886" s="83"/>
      <c r="L1886" s="83"/>
      <c r="M1886" s="83"/>
      <c r="N1886" s="83"/>
      <c r="O1886" s="83"/>
      <c r="P1886" s="83"/>
      <c r="Q1886" s="83"/>
      <c r="R1886" s="83"/>
      <c r="S1886" s="83"/>
      <c r="T1886" s="83"/>
      <c r="U1886" s="83"/>
      <c r="V1886" s="83"/>
      <c r="W1886" s="83"/>
    </row>
    <row r="1887">
      <c r="A1887" s="91"/>
      <c r="B1887" s="91"/>
      <c r="C1887" s="91"/>
      <c r="D1887" s="91"/>
      <c r="E1887" s="91"/>
      <c r="F1887" s="92"/>
      <c r="G1887" s="83"/>
      <c r="H1887" s="83"/>
      <c r="I1887" s="83"/>
      <c r="J1887" s="83"/>
      <c r="K1887" s="83"/>
      <c r="L1887" s="83"/>
      <c r="M1887" s="83"/>
      <c r="N1887" s="83"/>
      <c r="O1887" s="83"/>
      <c r="P1887" s="83"/>
      <c r="Q1887" s="83"/>
      <c r="R1887" s="83"/>
      <c r="S1887" s="83"/>
      <c r="T1887" s="83"/>
      <c r="U1887" s="83"/>
      <c r="V1887" s="83"/>
      <c r="W1887" s="83"/>
    </row>
    <row r="1888">
      <c r="A1888" s="91"/>
      <c r="B1888" s="91"/>
      <c r="C1888" s="91"/>
      <c r="D1888" s="91"/>
      <c r="E1888" s="91"/>
      <c r="F1888" s="92"/>
      <c r="G1888" s="83"/>
      <c r="H1888" s="83"/>
      <c r="I1888" s="83"/>
      <c r="J1888" s="83"/>
      <c r="K1888" s="83"/>
      <c r="L1888" s="83"/>
      <c r="M1888" s="83"/>
      <c r="N1888" s="83"/>
      <c r="O1888" s="83"/>
      <c r="P1888" s="83"/>
      <c r="Q1888" s="83"/>
      <c r="R1888" s="83"/>
      <c r="S1888" s="83"/>
      <c r="T1888" s="83"/>
      <c r="U1888" s="83"/>
      <c r="V1888" s="83"/>
      <c r="W1888" s="83"/>
    </row>
    <row r="1889">
      <c r="A1889" s="91"/>
      <c r="B1889" s="91"/>
      <c r="C1889" s="91"/>
      <c r="D1889" s="91"/>
      <c r="E1889" s="91"/>
      <c r="F1889" s="92"/>
      <c r="G1889" s="83"/>
      <c r="H1889" s="83"/>
      <c r="I1889" s="83"/>
      <c r="J1889" s="83"/>
      <c r="K1889" s="83"/>
      <c r="L1889" s="83"/>
      <c r="M1889" s="83"/>
      <c r="N1889" s="83"/>
      <c r="O1889" s="83"/>
      <c r="P1889" s="83"/>
      <c r="Q1889" s="83"/>
      <c r="R1889" s="83"/>
      <c r="S1889" s="83"/>
      <c r="T1889" s="83"/>
      <c r="U1889" s="83"/>
      <c r="V1889" s="83"/>
      <c r="W1889" s="83"/>
    </row>
    <row r="1890">
      <c r="A1890" s="91"/>
      <c r="B1890" s="91"/>
      <c r="C1890" s="91"/>
      <c r="D1890" s="91"/>
      <c r="E1890" s="91"/>
      <c r="F1890" s="92"/>
      <c r="G1890" s="83"/>
      <c r="H1890" s="83"/>
      <c r="I1890" s="83"/>
      <c r="J1890" s="83"/>
      <c r="K1890" s="83"/>
      <c r="L1890" s="83"/>
      <c r="M1890" s="83"/>
      <c r="N1890" s="83"/>
      <c r="O1890" s="83"/>
      <c r="P1890" s="83"/>
      <c r="Q1890" s="83"/>
      <c r="R1890" s="83"/>
      <c r="S1890" s="83"/>
      <c r="T1890" s="83"/>
      <c r="U1890" s="83"/>
      <c r="V1890" s="83"/>
      <c r="W1890" s="83"/>
    </row>
    <row r="1891">
      <c r="A1891" s="91"/>
      <c r="B1891" s="91"/>
      <c r="C1891" s="91"/>
      <c r="D1891" s="91"/>
      <c r="E1891" s="91"/>
      <c r="F1891" s="92"/>
      <c r="G1891" s="83"/>
      <c r="H1891" s="83"/>
      <c r="I1891" s="83"/>
      <c r="J1891" s="83"/>
      <c r="K1891" s="83"/>
      <c r="L1891" s="83"/>
      <c r="M1891" s="83"/>
      <c r="N1891" s="83"/>
      <c r="O1891" s="83"/>
      <c r="P1891" s="83"/>
      <c r="Q1891" s="83"/>
      <c r="R1891" s="83"/>
      <c r="S1891" s="83"/>
      <c r="T1891" s="83"/>
      <c r="U1891" s="83"/>
      <c r="V1891" s="83"/>
      <c r="W1891" s="83"/>
    </row>
    <row r="1892">
      <c r="A1892" s="91"/>
      <c r="B1892" s="91"/>
      <c r="C1892" s="91"/>
      <c r="D1892" s="91"/>
      <c r="E1892" s="91"/>
      <c r="F1892" s="92"/>
      <c r="G1892" s="83"/>
      <c r="H1892" s="83"/>
      <c r="I1892" s="83"/>
      <c r="J1892" s="83"/>
      <c r="K1892" s="83"/>
      <c r="L1892" s="83"/>
      <c r="M1892" s="83"/>
      <c r="N1892" s="83"/>
      <c r="O1892" s="83"/>
      <c r="P1892" s="83"/>
      <c r="Q1892" s="83"/>
      <c r="R1892" s="83"/>
      <c r="S1892" s="83"/>
      <c r="T1892" s="83"/>
      <c r="U1892" s="83"/>
      <c r="V1892" s="83"/>
      <c r="W1892" s="83"/>
    </row>
    <row r="1893">
      <c r="A1893" s="91"/>
      <c r="B1893" s="91"/>
      <c r="C1893" s="91"/>
      <c r="D1893" s="91"/>
      <c r="E1893" s="91"/>
      <c r="F1893" s="92"/>
      <c r="G1893" s="83"/>
      <c r="H1893" s="83"/>
      <c r="I1893" s="83"/>
      <c r="J1893" s="83"/>
      <c r="K1893" s="83"/>
      <c r="L1893" s="83"/>
      <c r="M1893" s="83"/>
      <c r="N1893" s="83"/>
      <c r="O1893" s="83"/>
      <c r="P1893" s="83"/>
      <c r="Q1893" s="83"/>
      <c r="R1893" s="83"/>
      <c r="S1893" s="83"/>
      <c r="T1893" s="83"/>
      <c r="U1893" s="83"/>
      <c r="V1893" s="83"/>
      <c r="W1893" s="83"/>
    </row>
    <row r="1894">
      <c r="A1894" s="91"/>
      <c r="B1894" s="91"/>
      <c r="C1894" s="91"/>
      <c r="D1894" s="91"/>
      <c r="E1894" s="91"/>
      <c r="F1894" s="92"/>
      <c r="G1894" s="83"/>
      <c r="H1894" s="83"/>
      <c r="I1894" s="83"/>
      <c r="J1894" s="83"/>
      <c r="K1894" s="83"/>
      <c r="L1894" s="83"/>
      <c r="M1894" s="83"/>
      <c r="N1894" s="83"/>
      <c r="O1894" s="83"/>
      <c r="P1894" s="83"/>
      <c r="Q1894" s="83"/>
      <c r="R1894" s="83"/>
      <c r="S1894" s="83"/>
      <c r="T1894" s="83"/>
      <c r="U1894" s="83"/>
      <c r="V1894" s="83"/>
      <c r="W1894" s="83"/>
    </row>
    <row r="1895">
      <c r="A1895" s="91"/>
      <c r="B1895" s="91"/>
      <c r="C1895" s="91"/>
      <c r="D1895" s="91"/>
      <c r="E1895" s="91"/>
      <c r="F1895" s="92"/>
      <c r="G1895" s="83"/>
      <c r="H1895" s="83"/>
      <c r="I1895" s="83"/>
      <c r="J1895" s="83"/>
      <c r="K1895" s="83"/>
      <c r="L1895" s="83"/>
      <c r="M1895" s="83"/>
      <c r="N1895" s="83"/>
      <c r="O1895" s="83"/>
      <c r="P1895" s="83"/>
      <c r="Q1895" s="83"/>
      <c r="R1895" s="83"/>
      <c r="S1895" s="83"/>
      <c r="T1895" s="83"/>
      <c r="U1895" s="83"/>
      <c r="V1895" s="83"/>
      <c r="W1895" s="83"/>
    </row>
    <row r="1896">
      <c r="A1896" s="91"/>
      <c r="B1896" s="91"/>
      <c r="C1896" s="91"/>
      <c r="D1896" s="91"/>
      <c r="E1896" s="91"/>
      <c r="F1896" s="92"/>
      <c r="G1896" s="83"/>
      <c r="H1896" s="83"/>
      <c r="I1896" s="83"/>
      <c r="J1896" s="83"/>
      <c r="K1896" s="83"/>
      <c r="L1896" s="83"/>
      <c r="M1896" s="83"/>
      <c r="N1896" s="83"/>
      <c r="O1896" s="83"/>
      <c r="P1896" s="83"/>
      <c r="Q1896" s="83"/>
      <c r="R1896" s="83"/>
      <c r="S1896" s="83"/>
      <c r="T1896" s="83"/>
      <c r="U1896" s="83"/>
      <c r="V1896" s="83"/>
      <c r="W1896" s="83"/>
    </row>
    <row r="1897">
      <c r="A1897" s="91"/>
      <c r="B1897" s="91"/>
      <c r="C1897" s="91"/>
      <c r="D1897" s="91"/>
      <c r="E1897" s="91"/>
      <c r="F1897" s="92"/>
      <c r="G1897" s="83"/>
      <c r="H1897" s="83"/>
      <c r="I1897" s="83"/>
      <c r="J1897" s="83"/>
      <c r="K1897" s="83"/>
      <c r="L1897" s="83"/>
      <c r="M1897" s="83"/>
      <c r="N1897" s="83"/>
      <c r="O1897" s="83"/>
      <c r="P1897" s="83"/>
      <c r="Q1897" s="83"/>
      <c r="R1897" s="83"/>
      <c r="S1897" s="83"/>
      <c r="T1897" s="83"/>
      <c r="U1897" s="83"/>
      <c r="V1897" s="83"/>
      <c r="W1897" s="83"/>
    </row>
    <row r="1898">
      <c r="A1898" s="91"/>
      <c r="B1898" s="91"/>
      <c r="C1898" s="91"/>
      <c r="D1898" s="91"/>
      <c r="E1898" s="91"/>
      <c r="F1898" s="92"/>
      <c r="G1898" s="83"/>
      <c r="H1898" s="83"/>
      <c r="I1898" s="83"/>
      <c r="J1898" s="83"/>
      <c r="K1898" s="83"/>
      <c r="L1898" s="83"/>
      <c r="M1898" s="83"/>
      <c r="N1898" s="83"/>
      <c r="O1898" s="83"/>
      <c r="P1898" s="83"/>
      <c r="Q1898" s="83"/>
      <c r="R1898" s="83"/>
      <c r="S1898" s="83"/>
      <c r="T1898" s="83"/>
      <c r="U1898" s="83"/>
      <c r="V1898" s="83"/>
      <c r="W1898" s="83"/>
    </row>
    <row r="1899">
      <c r="A1899" s="91"/>
      <c r="B1899" s="91"/>
      <c r="C1899" s="91"/>
      <c r="D1899" s="91"/>
      <c r="E1899" s="91"/>
      <c r="F1899" s="92"/>
      <c r="G1899" s="83"/>
      <c r="H1899" s="83"/>
      <c r="I1899" s="83"/>
      <c r="J1899" s="83"/>
      <c r="K1899" s="83"/>
      <c r="L1899" s="83"/>
      <c r="M1899" s="83"/>
      <c r="N1899" s="83"/>
      <c r="O1899" s="83"/>
      <c r="P1899" s="83"/>
      <c r="Q1899" s="83"/>
      <c r="R1899" s="83"/>
      <c r="S1899" s="83"/>
      <c r="T1899" s="83"/>
      <c r="U1899" s="83"/>
      <c r="V1899" s="83"/>
      <c r="W1899" s="83"/>
    </row>
    <row r="1900">
      <c r="A1900" s="91"/>
      <c r="B1900" s="91"/>
      <c r="C1900" s="91"/>
      <c r="D1900" s="91"/>
      <c r="E1900" s="91"/>
      <c r="F1900" s="92"/>
      <c r="G1900" s="83"/>
      <c r="H1900" s="83"/>
      <c r="I1900" s="83"/>
      <c r="J1900" s="83"/>
      <c r="K1900" s="83"/>
      <c r="L1900" s="83"/>
      <c r="M1900" s="83"/>
      <c r="N1900" s="83"/>
      <c r="O1900" s="83"/>
      <c r="P1900" s="83"/>
      <c r="Q1900" s="83"/>
      <c r="R1900" s="83"/>
      <c r="S1900" s="83"/>
      <c r="T1900" s="83"/>
      <c r="U1900" s="83"/>
      <c r="V1900" s="83"/>
      <c r="W1900" s="83"/>
    </row>
    <row r="1901">
      <c r="A1901" s="91"/>
      <c r="B1901" s="91"/>
      <c r="C1901" s="91"/>
      <c r="D1901" s="91"/>
      <c r="E1901" s="91"/>
      <c r="F1901" s="92"/>
      <c r="G1901" s="83"/>
      <c r="H1901" s="83"/>
      <c r="I1901" s="83"/>
      <c r="J1901" s="83"/>
      <c r="K1901" s="83"/>
      <c r="L1901" s="83"/>
      <c r="M1901" s="83"/>
      <c r="N1901" s="83"/>
      <c r="O1901" s="83"/>
      <c r="P1901" s="83"/>
      <c r="Q1901" s="83"/>
      <c r="R1901" s="83"/>
      <c r="S1901" s="83"/>
      <c r="T1901" s="83"/>
      <c r="U1901" s="83"/>
      <c r="V1901" s="83"/>
      <c r="W1901" s="83"/>
    </row>
    <row r="1902">
      <c r="A1902" s="91"/>
      <c r="B1902" s="91"/>
      <c r="C1902" s="91"/>
      <c r="D1902" s="91"/>
      <c r="E1902" s="91"/>
      <c r="F1902" s="92"/>
      <c r="G1902" s="83"/>
      <c r="H1902" s="83"/>
      <c r="I1902" s="83"/>
      <c r="J1902" s="83"/>
      <c r="K1902" s="83"/>
      <c r="L1902" s="83"/>
      <c r="M1902" s="83"/>
      <c r="N1902" s="83"/>
      <c r="O1902" s="83"/>
      <c r="P1902" s="83"/>
      <c r="Q1902" s="83"/>
      <c r="R1902" s="83"/>
      <c r="S1902" s="83"/>
      <c r="T1902" s="83"/>
      <c r="U1902" s="83"/>
      <c r="V1902" s="83"/>
      <c r="W1902" s="83"/>
    </row>
    <row r="1903">
      <c r="A1903" s="91"/>
      <c r="B1903" s="91"/>
      <c r="C1903" s="91"/>
      <c r="D1903" s="91"/>
      <c r="E1903" s="91"/>
      <c r="F1903" s="92"/>
      <c r="G1903" s="83"/>
      <c r="H1903" s="83"/>
      <c r="I1903" s="83"/>
      <c r="J1903" s="83"/>
      <c r="K1903" s="83"/>
      <c r="L1903" s="83"/>
      <c r="M1903" s="83"/>
      <c r="N1903" s="83"/>
      <c r="O1903" s="83"/>
      <c r="P1903" s="83"/>
      <c r="Q1903" s="83"/>
      <c r="R1903" s="83"/>
      <c r="S1903" s="83"/>
      <c r="T1903" s="83"/>
      <c r="U1903" s="83"/>
      <c r="V1903" s="83"/>
      <c r="W1903" s="83"/>
    </row>
    <row r="1904">
      <c r="A1904" s="91"/>
      <c r="B1904" s="91"/>
      <c r="C1904" s="91"/>
      <c r="D1904" s="91"/>
      <c r="E1904" s="91"/>
      <c r="F1904" s="92"/>
      <c r="G1904" s="83"/>
      <c r="H1904" s="83"/>
      <c r="I1904" s="83"/>
      <c r="J1904" s="83"/>
      <c r="K1904" s="83"/>
      <c r="L1904" s="83"/>
      <c r="M1904" s="83"/>
      <c r="N1904" s="83"/>
      <c r="O1904" s="83"/>
      <c r="P1904" s="83"/>
      <c r="Q1904" s="83"/>
      <c r="R1904" s="83"/>
      <c r="S1904" s="83"/>
      <c r="T1904" s="83"/>
      <c r="U1904" s="83"/>
      <c r="V1904" s="83"/>
      <c r="W1904" s="83"/>
    </row>
    <row r="1905">
      <c r="A1905" s="91"/>
      <c r="B1905" s="91"/>
      <c r="C1905" s="91"/>
      <c r="D1905" s="91"/>
      <c r="E1905" s="91"/>
      <c r="F1905" s="92"/>
      <c r="G1905" s="83"/>
      <c r="H1905" s="83"/>
      <c r="I1905" s="83"/>
      <c r="J1905" s="83"/>
      <c r="K1905" s="83"/>
      <c r="L1905" s="83"/>
      <c r="M1905" s="83"/>
      <c r="N1905" s="83"/>
      <c r="O1905" s="83"/>
      <c r="P1905" s="83"/>
      <c r="Q1905" s="83"/>
      <c r="R1905" s="83"/>
      <c r="S1905" s="83"/>
      <c r="T1905" s="83"/>
      <c r="U1905" s="83"/>
      <c r="V1905" s="83"/>
      <c r="W1905" s="83"/>
    </row>
    <row r="1906">
      <c r="A1906" s="91"/>
      <c r="B1906" s="91"/>
      <c r="C1906" s="91"/>
      <c r="D1906" s="91"/>
      <c r="E1906" s="91"/>
      <c r="F1906" s="92"/>
      <c r="G1906" s="83"/>
      <c r="H1906" s="83"/>
      <c r="I1906" s="83"/>
      <c r="J1906" s="83"/>
      <c r="K1906" s="83"/>
      <c r="L1906" s="83"/>
      <c r="M1906" s="83"/>
      <c r="N1906" s="83"/>
      <c r="O1906" s="83"/>
      <c r="P1906" s="83"/>
      <c r="Q1906" s="83"/>
      <c r="R1906" s="83"/>
      <c r="S1906" s="83"/>
      <c r="T1906" s="83"/>
      <c r="U1906" s="83"/>
      <c r="V1906" s="83"/>
      <c r="W1906" s="83"/>
    </row>
    <row r="1907">
      <c r="A1907" s="91"/>
      <c r="B1907" s="91"/>
      <c r="C1907" s="91"/>
      <c r="D1907" s="91"/>
      <c r="E1907" s="91"/>
      <c r="F1907" s="92"/>
      <c r="G1907" s="83"/>
      <c r="H1907" s="83"/>
      <c r="I1907" s="83"/>
      <c r="J1907" s="83"/>
      <c r="K1907" s="83"/>
      <c r="L1907" s="83"/>
      <c r="M1907" s="83"/>
      <c r="N1907" s="83"/>
      <c r="O1907" s="83"/>
      <c r="P1907" s="83"/>
      <c r="Q1907" s="83"/>
      <c r="R1907" s="83"/>
      <c r="S1907" s="83"/>
      <c r="T1907" s="83"/>
      <c r="U1907" s="83"/>
      <c r="V1907" s="83"/>
      <c r="W1907" s="83"/>
    </row>
    <row r="1908">
      <c r="A1908" s="91"/>
      <c r="B1908" s="91"/>
      <c r="C1908" s="91"/>
      <c r="D1908" s="91"/>
      <c r="E1908" s="91"/>
      <c r="F1908" s="92"/>
      <c r="G1908" s="83"/>
      <c r="H1908" s="83"/>
      <c r="I1908" s="83"/>
      <c r="J1908" s="83"/>
      <c r="K1908" s="83"/>
      <c r="L1908" s="83"/>
      <c r="M1908" s="83"/>
      <c r="N1908" s="83"/>
      <c r="O1908" s="83"/>
      <c r="P1908" s="83"/>
      <c r="Q1908" s="83"/>
      <c r="R1908" s="83"/>
      <c r="S1908" s="83"/>
      <c r="T1908" s="83"/>
      <c r="U1908" s="83"/>
      <c r="V1908" s="83"/>
      <c r="W1908" s="83"/>
    </row>
    <row r="1909">
      <c r="A1909" s="91"/>
      <c r="B1909" s="91"/>
      <c r="C1909" s="91"/>
      <c r="D1909" s="91"/>
      <c r="E1909" s="91"/>
      <c r="F1909" s="92"/>
      <c r="G1909" s="83"/>
      <c r="H1909" s="83"/>
      <c r="I1909" s="83"/>
      <c r="J1909" s="83"/>
      <c r="K1909" s="83"/>
      <c r="L1909" s="83"/>
      <c r="M1909" s="83"/>
      <c r="N1909" s="83"/>
      <c r="O1909" s="83"/>
      <c r="P1909" s="83"/>
      <c r="Q1909" s="83"/>
      <c r="R1909" s="83"/>
      <c r="S1909" s="83"/>
      <c r="T1909" s="83"/>
      <c r="U1909" s="83"/>
      <c r="V1909" s="83"/>
      <c r="W1909" s="83"/>
    </row>
    <row r="1910">
      <c r="A1910" s="91"/>
      <c r="B1910" s="91"/>
      <c r="C1910" s="91"/>
      <c r="D1910" s="91"/>
      <c r="E1910" s="91"/>
      <c r="F1910" s="92"/>
      <c r="G1910" s="83"/>
      <c r="H1910" s="83"/>
      <c r="I1910" s="83"/>
      <c r="J1910" s="83"/>
      <c r="K1910" s="83"/>
      <c r="L1910" s="83"/>
      <c r="M1910" s="83"/>
      <c r="N1910" s="83"/>
      <c r="O1910" s="83"/>
      <c r="P1910" s="83"/>
      <c r="Q1910" s="83"/>
      <c r="R1910" s="83"/>
      <c r="S1910" s="83"/>
      <c r="T1910" s="83"/>
      <c r="U1910" s="83"/>
      <c r="V1910" s="83"/>
      <c r="W1910" s="83"/>
    </row>
    <row r="1911">
      <c r="A1911" s="91"/>
      <c r="B1911" s="91"/>
      <c r="C1911" s="91"/>
      <c r="D1911" s="91"/>
      <c r="E1911" s="91"/>
      <c r="F1911" s="92"/>
      <c r="G1911" s="83"/>
      <c r="H1911" s="83"/>
      <c r="I1911" s="83"/>
      <c r="J1911" s="83"/>
      <c r="K1911" s="83"/>
      <c r="L1911" s="83"/>
      <c r="M1911" s="83"/>
      <c r="N1911" s="83"/>
      <c r="O1911" s="83"/>
      <c r="P1911" s="83"/>
      <c r="Q1911" s="83"/>
      <c r="R1911" s="83"/>
      <c r="S1911" s="83"/>
      <c r="T1911" s="83"/>
      <c r="U1911" s="83"/>
      <c r="V1911" s="83"/>
      <c r="W1911" s="83"/>
    </row>
    <row r="1912">
      <c r="A1912" s="91"/>
      <c r="B1912" s="91"/>
      <c r="C1912" s="91"/>
      <c r="D1912" s="91"/>
      <c r="E1912" s="91"/>
      <c r="F1912" s="92"/>
      <c r="G1912" s="83"/>
      <c r="H1912" s="83"/>
      <c r="I1912" s="83"/>
      <c r="J1912" s="83"/>
      <c r="K1912" s="83"/>
      <c r="L1912" s="83"/>
      <c r="M1912" s="83"/>
      <c r="N1912" s="83"/>
      <c r="O1912" s="83"/>
      <c r="P1912" s="83"/>
      <c r="Q1912" s="83"/>
      <c r="R1912" s="83"/>
      <c r="S1912" s="83"/>
      <c r="T1912" s="83"/>
      <c r="U1912" s="83"/>
      <c r="V1912" s="83"/>
      <c r="W1912" s="83"/>
    </row>
    <row r="1913">
      <c r="A1913" s="91"/>
      <c r="B1913" s="91"/>
      <c r="C1913" s="91"/>
      <c r="D1913" s="91"/>
      <c r="E1913" s="91"/>
      <c r="F1913" s="92"/>
      <c r="G1913" s="83"/>
      <c r="H1913" s="83"/>
      <c r="I1913" s="83"/>
      <c r="J1913" s="83"/>
      <c r="K1913" s="83"/>
      <c r="L1913" s="83"/>
      <c r="M1913" s="83"/>
      <c r="N1913" s="83"/>
      <c r="O1913" s="83"/>
      <c r="P1913" s="83"/>
      <c r="Q1913" s="83"/>
      <c r="R1913" s="83"/>
      <c r="S1913" s="83"/>
      <c r="T1913" s="83"/>
      <c r="U1913" s="83"/>
      <c r="V1913" s="83"/>
      <c r="W1913" s="83"/>
    </row>
    <row r="1914">
      <c r="A1914" s="91"/>
      <c r="B1914" s="91"/>
      <c r="C1914" s="91"/>
      <c r="D1914" s="91"/>
      <c r="E1914" s="91"/>
      <c r="F1914" s="92"/>
      <c r="G1914" s="83"/>
      <c r="H1914" s="83"/>
      <c r="I1914" s="83"/>
      <c r="J1914" s="83"/>
      <c r="K1914" s="83"/>
      <c r="L1914" s="83"/>
      <c r="M1914" s="83"/>
      <c r="N1914" s="83"/>
      <c r="O1914" s="83"/>
      <c r="P1914" s="83"/>
      <c r="Q1914" s="83"/>
      <c r="R1914" s="83"/>
      <c r="S1914" s="83"/>
      <c r="T1914" s="83"/>
      <c r="U1914" s="83"/>
      <c r="V1914" s="83"/>
      <c r="W1914" s="83"/>
    </row>
    <row r="1915">
      <c r="A1915" s="91"/>
      <c r="B1915" s="91"/>
      <c r="C1915" s="91"/>
      <c r="D1915" s="91"/>
      <c r="E1915" s="91"/>
      <c r="F1915" s="92"/>
      <c r="G1915" s="83"/>
      <c r="H1915" s="83"/>
      <c r="I1915" s="83"/>
      <c r="J1915" s="83"/>
      <c r="K1915" s="83"/>
      <c r="L1915" s="83"/>
      <c r="M1915" s="83"/>
      <c r="N1915" s="83"/>
      <c r="O1915" s="83"/>
      <c r="P1915" s="83"/>
      <c r="Q1915" s="83"/>
      <c r="R1915" s="83"/>
      <c r="S1915" s="83"/>
      <c r="T1915" s="83"/>
      <c r="U1915" s="83"/>
      <c r="V1915" s="83"/>
      <c r="W1915" s="83"/>
    </row>
    <row r="1916">
      <c r="A1916" s="91"/>
      <c r="B1916" s="91"/>
      <c r="C1916" s="91"/>
      <c r="D1916" s="91"/>
      <c r="E1916" s="91"/>
      <c r="F1916" s="92"/>
      <c r="G1916" s="83"/>
      <c r="H1916" s="83"/>
      <c r="I1916" s="83"/>
      <c r="J1916" s="83"/>
      <c r="K1916" s="83"/>
      <c r="L1916" s="83"/>
      <c r="M1916" s="83"/>
      <c r="N1916" s="83"/>
      <c r="O1916" s="83"/>
      <c r="P1916" s="83"/>
      <c r="Q1916" s="83"/>
      <c r="R1916" s="83"/>
      <c r="S1916" s="83"/>
      <c r="T1916" s="83"/>
      <c r="U1916" s="83"/>
      <c r="V1916" s="83"/>
      <c r="W1916" s="83"/>
    </row>
    <row r="1917">
      <c r="A1917" s="91"/>
      <c r="B1917" s="91"/>
      <c r="C1917" s="91"/>
      <c r="D1917" s="91"/>
      <c r="E1917" s="91"/>
      <c r="F1917" s="92"/>
      <c r="G1917" s="83"/>
      <c r="H1917" s="83"/>
      <c r="I1917" s="83"/>
      <c r="J1917" s="83"/>
      <c r="K1917" s="83"/>
      <c r="L1917" s="83"/>
      <c r="M1917" s="83"/>
      <c r="N1917" s="83"/>
      <c r="O1917" s="83"/>
      <c r="P1917" s="83"/>
      <c r="Q1917" s="83"/>
      <c r="R1917" s="83"/>
      <c r="S1917" s="83"/>
      <c r="T1917" s="83"/>
      <c r="U1917" s="83"/>
      <c r="V1917" s="83"/>
      <c r="W1917" s="83"/>
    </row>
    <row r="1918">
      <c r="A1918" s="91"/>
      <c r="B1918" s="91"/>
      <c r="C1918" s="91"/>
      <c r="D1918" s="91"/>
      <c r="E1918" s="91"/>
      <c r="F1918" s="92"/>
      <c r="G1918" s="83"/>
      <c r="H1918" s="83"/>
      <c r="I1918" s="83"/>
      <c r="J1918" s="83"/>
      <c r="K1918" s="83"/>
      <c r="L1918" s="83"/>
      <c r="M1918" s="83"/>
      <c r="N1918" s="83"/>
      <c r="O1918" s="83"/>
      <c r="P1918" s="83"/>
      <c r="Q1918" s="83"/>
      <c r="R1918" s="83"/>
      <c r="S1918" s="83"/>
      <c r="T1918" s="83"/>
      <c r="U1918" s="83"/>
      <c r="V1918" s="83"/>
      <c r="W1918" s="83"/>
    </row>
    <row r="1919">
      <c r="A1919" s="91"/>
      <c r="B1919" s="91"/>
      <c r="C1919" s="91"/>
      <c r="D1919" s="91"/>
      <c r="E1919" s="91"/>
      <c r="F1919" s="92"/>
      <c r="G1919" s="83"/>
      <c r="H1919" s="83"/>
      <c r="I1919" s="83"/>
      <c r="J1919" s="83"/>
      <c r="K1919" s="83"/>
      <c r="L1919" s="83"/>
      <c r="M1919" s="83"/>
      <c r="N1919" s="83"/>
      <c r="O1919" s="83"/>
      <c r="P1919" s="83"/>
      <c r="Q1919" s="83"/>
      <c r="R1919" s="83"/>
      <c r="S1919" s="83"/>
      <c r="T1919" s="83"/>
      <c r="U1919" s="83"/>
      <c r="V1919" s="83"/>
      <c r="W1919" s="83"/>
    </row>
    <row r="1920">
      <c r="A1920" s="91"/>
      <c r="B1920" s="91"/>
      <c r="C1920" s="91"/>
      <c r="D1920" s="91"/>
      <c r="E1920" s="91"/>
      <c r="F1920" s="92"/>
      <c r="G1920" s="83"/>
      <c r="H1920" s="83"/>
      <c r="I1920" s="83"/>
      <c r="J1920" s="83"/>
      <c r="K1920" s="83"/>
      <c r="L1920" s="83"/>
      <c r="M1920" s="83"/>
      <c r="N1920" s="83"/>
      <c r="O1920" s="83"/>
      <c r="P1920" s="83"/>
      <c r="Q1920" s="83"/>
      <c r="R1920" s="83"/>
      <c r="S1920" s="83"/>
      <c r="T1920" s="83"/>
      <c r="U1920" s="83"/>
      <c r="V1920" s="83"/>
      <c r="W1920" s="83"/>
    </row>
    <row r="1921">
      <c r="A1921" s="91"/>
      <c r="B1921" s="91"/>
      <c r="C1921" s="91"/>
      <c r="D1921" s="91"/>
      <c r="E1921" s="91"/>
      <c r="F1921" s="92"/>
      <c r="G1921" s="83"/>
      <c r="H1921" s="83"/>
      <c r="I1921" s="83"/>
      <c r="J1921" s="83"/>
      <c r="K1921" s="83"/>
      <c r="L1921" s="83"/>
      <c r="M1921" s="83"/>
      <c r="N1921" s="83"/>
      <c r="O1921" s="83"/>
      <c r="P1921" s="83"/>
      <c r="Q1921" s="83"/>
      <c r="R1921" s="83"/>
      <c r="S1921" s="83"/>
      <c r="T1921" s="83"/>
      <c r="U1921" s="83"/>
      <c r="V1921" s="83"/>
      <c r="W1921" s="83"/>
    </row>
    <row r="1922">
      <c r="A1922" s="91"/>
      <c r="B1922" s="91"/>
      <c r="C1922" s="91"/>
      <c r="D1922" s="91"/>
      <c r="E1922" s="91"/>
      <c r="F1922" s="92"/>
      <c r="G1922" s="83"/>
      <c r="H1922" s="83"/>
      <c r="I1922" s="83"/>
      <c r="J1922" s="83"/>
      <c r="K1922" s="83"/>
      <c r="L1922" s="83"/>
      <c r="M1922" s="83"/>
      <c r="N1922" s="83"/>
      <c r="O1922" s="83"/>
      <c r="P1922" s="83"/>
      <c r="Q1922" s="83"/>
      <c r="R1922" s="83"/>
      <c r="S1922" s="83"/>
      <c r="T1922" s="83"/>
      <c r="U1922" s="83"/>
      <c r="V1922" s="83"/>
      <c r="W1922" s="83"/>
    </row>
    <row r="1923">
      <c r="A1923" s="91"/>
      <c r="B1923" s="91"/>
      <c r="C1923" s="91"/>
      <c r="D1923" s="91"/>
      <c r="E1923" s="91"/>
      <c r="F1923" s="92"/>
      <c r="G1923" s="83"/>
      <c r="H1923" s="83"/>
      <c r="I1923" s="83"/>
      <c r="J1923" s="83"/>
      <c r="K1923" s="83"/>
      <c r="L1923" s="83"/>
      <c r="M1923" s="83"/>
      <c r="N1923" s="83"/>
      <c r="O1923" s="83"/>
      <c r="P1923" s="83"/>
      <c r="Q1923" s="83"/>
      <c r="R1923" s="83"/>
      <c r="S1923" s="83"/>
      <c r="T1923" s="83"/>
      <c r="U1923" s="83"/>
      <c r="V1923" s="83"/>
      <c r="W1923" s="83"/>
    </row>
    <row r="1924">
      <c r="A1924" s="91"/>
      <c r="B1924" s="91"/>
      <c r="C1924" s="91"/>
      <c r="D1924" s="91"/>
      <c r="E1924" s="91"/>
      <c r="F1924" s="92"/>
      <c r="G1924" s="83"/>
      <c r="H1924" s="83"/>
      <c r="I1924" s="83"/>
      <c r="J1924" s="83"/>
      <c r="K1924" s="83"/>
      <c r="L1924" s="83"/>
      <c r="M1924" s="83"/>
      <c r="N1924" s="83"/>
      <c r="O1924" s="83"/>
      <c r="P1924" s="83"/>
      <c r="Q1924" s="83"/>
      <c r="R1924" s="83"/>
      <c r="S1924" s="83"/>
      <c r="T1924" s="83"/>
      <c r="U1924" s="83"/>
      <c r="V1924" s="83"/>
      <c r="W1924" s="83"/>
    </row>
    <row r="1925">
      <c r="A1925" s="91"/>
      <c r="B1925" s="91"/>
      <c r="C1925" s="91"/>
      <c r="D1925" s="91"/>
      <c r="E1925" s="91"/>
      <c r="F1925" s="92"/>
      <c r="G1925" s="83"/>
      <c r="H1925" s="83"/>
      <c r="I1925" s="83"/>
      <c r="J1925" s="83"/>
      <c r="K1925" s="83"/>
      <c r="L1925" s="83"/>
      <c r="M1925" s="83"/>
      <c r="N1925" s="83"/>
      <c r="O1925" s="83"/>
      <c r="P1925" s="83"/>
      <c r="Q1925" s="83"/>
      <c r="R1925" s="83"/>
      <c r="S1925" s="83"/>
      <c r="T1925" s="83"/>
      <c r="U1925" s="83"/>
      <c r="V1925" s="83"/>
      <c r="W1925" s="83"/>
    </row>
    <row r="1926">
      <c r="A1926" s="91"/>
      <c r="B1926" s="91"/>
      <c r="C1926" s="91"/>
      <c r="D1926" s="91"/>
      <c r="E1926" s="91"/>
      <c r="F1926" s="92"/>
      <c r="G1926" s="83"/>
      <c r="H1926" s="83"/>
      <c r="I1926" s="83"/>
      <c r="J1926" s="83"/>
      <c r="K1926" s="83"/>
      <c r="L1926" s="83"/>
      <c r="M1926" s="83"/>
      <c r="N1926" s="83"/>
      <c r="O1926" s="83"/>
      <c r="P1926" s="83"/>
      <c r="Q1926" s="83"/>
      <c r="R1926" s="83"/>
      <c r="S1926" s="83"/>
      <c r="T1926" s="83"/>
      <c r="U1926" s="83"/>
      <c r="V1926" s="83"/>
      <c r="W1926" s="83"/>
    </row>
    <row r="1927">
      <c r="A1927" s="91"/>
      <c r="B1927" s="91"/>
      <c r="C1927" s="91"/>
      <c r="D1927" s="91"/>
      <c r="E1927" s="91"/>
      <c r="F1927" s="92"/>
      <c r="G1927" s="83"/>
      <c r="H1927" s="83"/>
      <c r="I1927" s="83"/>
      <c r="J1927" s="83"/>
      <c r="K1927" s="83"/>
      <c r="L1927" s="83"/>
      <c r="M1927" s="83"/>
      <c r="N1927" s="83"/>
      <c r="O1927" s="83"/>
      <c r="P1927" s="83"/>
      <c r="Q1927" s="83"/>
      <c r="R1927" s="83"/>
      <c r="S1927" s="83"/>
      <c r="T1927" s="83"/>
      <c r="U1927" s="83"/>
      <c r="V1927" s="83"/>
      <c r="W1927" s="83"/>
    </row>
    <row r="1928">
      <c r="A1928" s="91"/>
      <c r="B1928" s="91"/>
      <c r="C1928" s="91"/>
      <c r="D1928" s="91"/>
      <c r="E1928" s="91"/>
      <c r="F1928" s="92"/>
      <c r="G1928" s="83"/>
      <c r="H1928" s="83"/>
      <c r="I1928" s="83"/>
      <c r="J1928" s="83"/>
      <c r="K1928" s="83"/>
      <c r="L1928" s="83"/>
      <c r="M1928" s="83"/>
      <c r="N1928" s="83"/>
      <c r="O1928" s="83"/>
      <c r="P1928" s="83"/>
      <c r="Q1928" s="83"/>
      <c r="R1928" s="83"/>
      <c r="S1928" s="83"/>
      <c r="T1928" s="83"/>
      <c r="U1928" s="83"/>
      <c r="V1928" s="83"/>
      <c r="W1928" s="83"/>
    </row>
    <row r="1929">
      <c r="A1929" s="91"/>
      <c r="B1929" s="91"/>
      <c r="C1929" s="91"/>
      <c r="D1929" s="91"/>
      <c r="E1929" s="91"/>
      <c r="F1929" s="92"/>
      <c r="G1929" s="83"/>
      <c r="H1929" s="83"/>
      <c r="I1929" s="83"/>
      <c r="J1929" s="83"/>
      <c r="K1929" s="83"/>
      <c r="L1929" s="83"/>
      <c r="M1929" s="83"/>
      <c r="N1929" s="83"/>
      <c r="O1929" s="83"/>
      <c r="P1929" s="83"/>
      <c r="Q1929" s="83"/>
      <c r="R1929" s="83"/>
      <c r="S1929" s="83"/>
      <c r="T1929" s="83"/>
      <c r="U1929" s="83"/>
      <c r="V1929" s="83"/>
      <c r="W1929" s="83"/>
    </row>
    <row r="1930">
      <c r="A1930" s="91"/>
      <c r="B1930" s="91"/>
      <c r="C1930" s="91"/>
      <c r="D1930" s="91"/>
      <c r="E1930" s="91"/>
      <c r="F1930" s="92"/>
      <c r="G1930" s="83"/>
      <c r="H1930" s="83"/>
      <c r="I1930" s="83"/>
      <c r="J1930" s="83"/>
      <c r="K1930" s="83"/>
      <c r="L1930" s="83"/>
      <c r="M1930" s="83"/>
      <c r="N1930" s="83"/>
      <c r="O1930" s="83"/>
      <c r="P1930" s="83"/>
      <c r="Q1930" s="83"/>
      <c r="R1930" s="83"/>
      <c r="S1930" s="83"/>
      <c r="T1930" s="83"/>
      <c r="U1930" s="83"/>
      <c r="V1930" s="83"/>
      <c r="W1930" s="83"/>
    </row>
    <row r="1931">
      <c r="A1931" s="91"/>
      <c r="B1931" s="91"/>
      <c r="C1931" s="91"/>
      <c r="D1931" s="91"/>
      <c r="E1931" s="91"/>
      <c r="F1931" s="92"/>
      <c r="G1931" s="83"/>
      <c r="H1931" s="83"/>
      <c r="I1931" s="83"/>
      <c r="J1931" s="83"/>
      <c r="K1931" s="83"/>
      <c r="L1931" s="83"/>
      <c r="M1931" s="83"/>
      <c r="N1931" s="83"/>
      <c r="O1931" s="83"/>
      <c r="P1931" s="83"/>
      <c r="Q1931" s="83"/>
      <c r="R1931" s="83"/>
      <c r="S1931" s="83"/>
      <c r="T1931" s="83"/>
      <c r="U1931" s="83"/>
      <c r="V1931" s="83"/>
      <c r="W1931" s="83"/>
    </row>
    <row r="1932">
      <c r="A1932" s="91"/>
      <c r="B1932" s="91"/>
      <c r="C1932" s="91"/>
      <c r="D1932" s="91"/>
      <c r="E1932" s="91"/>
      <c r="F1932" s="92"/>
      <c r="G1932" s="83"/>
      <c r="H1932" s="83"/>
      <c r="I1932" s="83"/>
      <c r="J1932" s="83"/>
      <c r="K1932" s="83"/>
      <c r="L1932" s="83"/>
      <c r="M1932" s="83"/>
      <c r="N1932" s="83"/>
      <c r="O1932" s="83"/>
      <c r="P1932" s="83"/>
      <c r="Q1932" s="83"/>
      <c r="R1932" s="83"/>
      <c r="S1932" s="83"/>
      <c r="T1932" s="83"/>
      <c r="U1932" s="83"/>
      <c r="V1932" s="83"/>
      <c r="W1932" s="83"/>
    </row>
    <row r="1933">
      <c r="A1933" s="91"/>
      <c r="B1933" s="91"/>
      <c r="C1933" s="91"/>
      <c r="D1933" s="91"/>
      <c r="E1933" s="91"/>
      <c r="F1933" s="92"/>
      <c r="G1933" s="83"/>
      <c r="H1933" s="83"/>
      <c r="I1933" s="83"/>
      <c r="J1933" s="83"/>
      <c r="K1933" s="83"/>
      <c r="L1933" s="83"/>
      <c r="M1933" s="83"/>
      <c r="N1933" s="83"/>
      <c r="O1933" s="83"/>
      <c r="P1933" s="83"/>
      <c r="Q1933" s="83"/>
      <c r="R1933" s="83"/>
      <c r="S1933" s="83"/>
      <c r="T1933" s="83"/>
      <c r="U1933" s="83"/>
      <c r="V1933" s="83"/>
      <c r="W1933" s="83"/>
    </row>
    <row r="1934">
      <c r="A1934" s="91"/>
      <c r="B1934" s="91"/>
      <c r="C1934" s="91"/>
      <c r="D1934" s="91"/>
      <c r="E1934" s="91"/>
      <c r="F1934" s="92"/>
      <c r="G1934" s="83"/>
      <c r="H1934" s="83"/>
      <c r="I1934" s="83"/>
      <c r="J1934" s="83"/>
      <c r="K1934" s="83"/>
      <c r="L1934" s="83"/>
      <c r="M1934" s="83"/>
      <c r="N1934" s="83"/>
      <c r="O1934" s="83"/>
      <c r="P1934" s="83"/>
      <c r="Q1934" s="83"/>
      <c r="R1934" s="83"/>
      <c r="S1934" s="83"/>
      <c r="T1934" s="83"/>
      <c r="U1934" s="83"/>
      <c r="V1934" s="83"/>
      <c r="W1934" s="83"/>
    </row>
    <row r="1935">
      <c r="A1935" s="91"/>
      <c r="B1935" s="91"/>
      <c r="C1935" s="91"/>
      <c r="D1935" s="91"/>
      <c r="E1935" s="91"/>
      <c r="F1935" s="92"/>
      <c r="G1935" s="83"/>
      <c r="H1935" s="83"/>
      <c r="I1935" s="83"/>
      <c r="J1935" s="83"/>
      <c r="K1935" s="83"/>
      <c r="L1935" s="83"/>
      <c r="M1935" s="83"/>
      <c r="N1935" s="83"/>
      <c r="O1935" s="83"/>
      <c r="P1935" s="83"/>
      <c r="Q1935" s="83"/>
      <c r="R1935" s="83"/>
      <c r="S1935" s="83"/>
      <c r="T1935" s="83"/>
      <c r="U1935" s="83"/>
      <c r="V1935" s="83"/>
      <c r="W1935" s="83"/>
    </row>
    <row r="1936">
      <c r="A1936" s="91"/>
      <c r="B1936" s="91"/>
      <c r="C1936" s="91"/>
      <c r="D1936" s="91"/>
      <c r="E1936" s="91"/>
      <c r="F1936" s="92"/>
      <c r="G1936" s="83"/>
      <c r="H1936" s="83"/>
      <c r="I1936" s="83"/>
      <c r="J1936" s="83"/>
      <c r="K1936" s="83"/>
      <c r="L1936" s="83"/>
      <c r="M1936" s="83"/>
      <c r="N1936" s="83"/>
      <c r="O1936" s="83"/>
      <c r="P1936" s="83"/>
      <c r="Q1936" s="83"/>
      <c r="R1936" s="83"/>
      <c r="S1936" s="83"/>
      <c r="T1936" s="83"/>
      <c r="U1936" s="83"/>
      <c r="V1936" s="83"/>
      <c r="W1936" s="8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8.0"/>
    <col customWidth="1" min="3" max="3" width="2.0"/>
    <col customWidth="1" min="4" max="4" width="28.0"/>
    <col customWidth="1" min="5" max="5" width="2.0"/>
    <col customWidth="1" min="6" max="6" width="28.0"/>
    <col customWidth="1" min="7" max="7" width="8.25"/>
    <col customWidth="1" min="8" max="8" width="29.38"/>
    <col customWidth="1" min="9" max="9" width="2.38"/>
    <col customWidth="1" min="10" max="10" width="29.38"/>
    <col customWidth="1" min="11" max="11" width="2.38"/>
    <col customWidth="1" min="12" max="12" width="29.38"/>
    <col customWidth="1" min="16" max="16" width="35.13"/>
    <col customWidth="1" min="18" max="18" width="11.63"/>
    <col customWidth="1" min="20" max="20" width="16.88"/>
    <col customWidth="1" min="21" max="21" width="21.25"/>
    <col customWidth="1" min="22" max="22" width="17.0"/>
    <col customWidth="1" min="24" max="24" width="22.0"/>
    <col customWidth="1" min="25" max="25" width="18.75"/>
    <col customWidth="1" min="26" max="26" width="18.13"/>
    <col customWidth="1" min="27" max="27" width="19.88"/>
    <col customWidth="1" min="29" max="29" width="19.13"/>
    <col customWidth="1" min="31" max="31" width="14.63"/>
  </cols>
  <sheetData>
    <row r="1"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4"/>
      <c r="AE1" s="94"/>
      <c r="AF1" s="94"/>
      <c r="AG1" s="94"/>
    </row>
    <row r="2">
      <c r="A2" s="95"/>
      <c r="B2" s="96" t="s">
        <v>4050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4"/>
      <c r="AE2" s="94"/>
      <c r="AF2" s="94"/>
      <c r="AG2" s="94"/>
    </row>
    <row r="3">
      <c r="A3" s="95"/>
      <c r="B3" s="98"/>
      <c r="C3" s="95"/>
      <c r="D3" s="98"/>
      <c r="E3" s="95"/>
      <c r="F3" s="98"/>
      <c r="G3" s="95"/>
      <c r="H3" s="95"/>
      <c r="I3" s="95"/>
      <c r="J3" s="95"/>
      <c r="K3" s="95"/>
      <c r="L3" s="95"/>
      <c r="M3" s="95"/>
      <c r="N3" s="95"/>
      <c r="O3" s="95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4"/>
      <c r="AE3" s="94"/>
      <c r="AF3" s="94"/>
      <c r="AG3" s="94"/>
    </row>
    <row r="4">
      <c r="A4" s="99"/>
      <c r="B4" s="100" t="s">
        <v>4051</v>
      </c>
      <c r="C4" s="99"/>
      <c r="D4" s="100" t="s">
        <v>4052</v>
      </c>
      <c r="E4" s="99"/>
      <c r="F4" s="101" t="s">
        <v>4053</v>
      </c>
      <c r="G4" s="95"/>
      <c r="H4" s="95"/>
      <c r="I4" s="95"/>
      <c r="J4" s="95"/>
      <c r="K4" s="95"/>
      <c r="L4" s="95"/>
      <c r="M4" s="95"/>
      <c r="N4" s="95"/>
      <c r="O4" s="95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4"/>
      <c r="AE4" s="94"/>
      <c r="AF4" s="94"/>
      <c r="AG4" s="94"/>
    </row>
    <row r="5" ht="46.5" customHeight="1">
      <c r="A5" s="102"/>
      <c r="B5" s="103">
        <f>$U$30</f>
        <v>0</v>
      </c>
      <c r="C5" s="104"/>
      <c r="D5" s="105">
        <f>$S$30</f>
        <v>19</v>
      </c>
      <c r="E5" s="104"/>
      <c r="F5" s="106">
        <f>$Z$30</f>
        <v>0.6842105263</v>
      </c>
      <c r="G5" s="95"/>
      <c r="H5" s="95"/>
      <c r="I5" s="95"/>
      <c r="J5" s="95"/>
      <c r="K5" s="95"/>
      <c r="L5" s="95"/>
      <c r="M5" s="107"/>
      <c r="N5" s="107"/>
      <c r="O5" s="107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94"/>
      <c r="AE5" s="94"/>
      <c r="AF5" s="94"/>
      <c r="AG5" s="94"/>
    </row>
    <row r="6" ht="11.25" customHeight="1">
      <c r="A6" s="95"/>
      <c r="B6" s="98"/>
      <c r="C6" s="95"/>
      <c r="D6" s="98"/>
      <c r="E6" s="95"/>
      <c r="F6" s="98"/>
      <c r="G6" s="95"/>
      <c r="H6" s="95"/>
      <c r="I6" s="95"/>
      <c r="J6" s="95"/>
      <c r="K6" s="95"/>
      <c r="L6" s="95"/>
      <c r="M6" s="95"/>
      <c r="N6" s="95"/>
      <c r="O6" s="95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4"/>
      <c r="AE6" s="94"/>
      <c r="AF6" s="94"/>
      <c r="AG6" s="94"/>
    </row>
    <row r="7">
      <c r="A7" s="99"/>
      <c r="B7" s="100" t="s">
        <v>4054</v>
      </c>
      <c r="C7" s="99"/>
      <c r="D7" s="109" t="s">
        <v>4055</v>
      </c>
      <c r="E7" s="95"/>
      <c r="F7" s="101" t="s">
        <v>4056</v>
      </c>
      <c r="G7" s="95"/>
      <c r="H7" s="95"/>
      <c r="I7" s="95"/>
      <c r="J7" s="95"/>
      <c r="K7" s="95"/>
      <c r="L7" s="95"/>
      <c r="M7" s="95"/>
      <c r="N7" s="95"/>
      <c r="O7" s="95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4"/>
      <c r="AE7" s="94"/>
      <c r="AF7" s="94"/>
      <c r="AG7" s="94"/>
    </row>
    <row r="8" ht="46.5" customHeight="1">
      <c r="A8" s="102"/>
      <c r="B8" s="103">
        <f>$V$30</f>
        <v>0</v>
      </c>
      <c r="C8" s="104"/>
      <c r="D8" s="110">
        <f>$T$30</f>
        <v>13</v>
      </c>
      <c r="E8" s="111"/>
      <c r="F8" s="112">
        <f>$AA$30</f>
        <v>7670</v>
      </c>
      <c r="G8" s="95"/>
      <c r="H8" s="95"/>
      <c r="I8" s="95"/>
      <c r="J8" s="95"/>
      <c r="K8" s="95"/>
      <c r="L8" s="95"/>
      <c r="M8" s="107"/>
      <c r="N8" s="107"/>
      <c r="O8" s="107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94"/>
      <c r="AE8" s="94"/>
      <c r="AF8" s="94"/>
      <c r="AG8" s="94"/>
    </row>
    <row r="9" ht="11.25" customHeight="1">
      <c r="A9" s="95"/>
      <c r="B9" s="98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4"/>
      <c r="AE9" s="94"/>
      <c r="AF9" s="94"/>
      <c r="AG9" s="94"/>
    </row>
    <row r="10">
      <c r="A10" s="99"/>
      <c r="B10" s="101" t="s">
        <v>4057</v>
      </c>
      <c r="C10" s="95"/>
      <c r="D10" s="109" t="s">
        <v>4058</v>
      </c>
      <c r="E10" s="99"/>
      <c r="F10" s="101" t="s">
        <v>4059</v>
      </c>
      <c r="G10" s="95"/>
      <c r="H10" s="95"/>
      <c r="I10" s="95"/>
      <c r="J10" s="95"/>
      <c r="K10" s="95"/>
      <c r="L10" s="95"/>
      <c r="M10" s="95"/>
      <c r="N10" s="95"/>
      <c r="O10" s="95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4"/>
      <c r="AE10" s="94"/>
      <c r="AF10" s="94"/>
      <c r="AG10" s="94"/>
    </row>
    <row r="11" ht="46.5" customHeight="1">
      <c r="A11" s="102"/>
      <c r="B11" s="103">
        <f>$R$30</f>
        <v>0</v>
      </c>
      <c r="C11" s="111"/>
      <c r="D11" s="113">
        <f>$X$30</f>
        <v>15140</v>
      </c>
      <c r="E11" s="104"/>
      <c r="F11" s="112">
        <f>$AC$30</f>
        <v>7470</v>
      </c>
      <c r="G11" s="95"/>
      <c r="H11" s="95"/>
      <c r="I11" s="95"/>
      <c r="J11" s="95"/>
      <c r="K11" s="95"/>
      <c r="L11" s="95"/>
      <c r="M11" s="107"/>
      <c r="N11" s="107"/>
      <c r="O11" s="107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94"/>
      <c r="AE11" s="94"/>
      <c r="AF11" s="94"/>
      <c r="AG11" s="94"/>
    </row>
    <row r="12" ht="11.25" customHeight="1">
      <c r="A12" s="95"/>
      <c r="B12" s="96"/>
      <c r="C12" s="95"/>
      <c r="D12" s="95"/>
      <c r="E12" s="95"/>
      <c r="F12" s="114">
        <f>$AD$30</f>
        <v>0.1578947368</v>
      </c>
      <c r="G12" s="95"/>
      <c r="H12" s="95"/>
      <c r="I12" s="95"/>
      <c r="J12" s="95"/>
      <c r="K12" s="95"/>
      <c r="L12" s="95"/>
      <c r="M12" s="95"/>
      <c r="N12" s="95"/>
      <c r="O12" s="95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4"/>
      <c r="AE12" s="94"/>
      <c r="AF12" s="94"/>
      <c r="AG12" s="94"/>
    </row>
    <row r="13">
      <c r="A13" s="95"/>
      <c r="B13" s="101" t="s">
        <v>4060</v>
      </c>
      <c r="C13" s="95"/>
      <c r="D13" s="109" t="s">
        <v>4061</v>
      </c>
      <c r="E13" s="95"/>
      <c r="F13" s="101" t="s">
        <v>4062</v>
      </c>
      <c r="G13" s="95"/>
      <c r="H13" s="95"/>
      <c r="I13" s="95"/>
      <c r="J13" s="95"/>
      <c r="K13" s="95"/>
      <c r="L13" s="95"/>
      <c r="M13" s="95"/>
      <c r="N13" s="95"/>
      <c r="O13" s="95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4"/>
      <c r="AE13" s="94"/>
      <c r="AF13" s="94"/>
      <c r="AG13" s="94"/>
    </row>
    <row r="14" ht="46.5" customHeight="1">
      <c r="A14" s="95"/>
      <c r="B14" s="115" t="str">
        <f>$W$30</f>
        <v>#DIV/0!</v>
      </c>
      <c r="C14" s="116"/>
      <c r="D14" s="113">
        <f>$Y$30</f>
        <v>33470</v>
      </c>
      <c r="E14" s="116"/>
      <c r="F14" s="105">
        <f>$AB$30</f>
        <v>3</v>
      </c>
      <c r="G14" s="95"/>
      <c r="H14" s="95"/>
      <c r="I14" s="95"/>
      <c r="J14" s="95"/>
      <c r="K14" s="95"/>
      <c r="L14" s="95"/>
      <c r="M14" s="95"/>
      <c r="N14" s="95"/>
      <c r="O14" s="95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4"/>
      <c r="AE14" s="94"/>
      <c r="AF14" s="94"/>
      <c r="AG14" s="94"/>
    </row>
    <row r="15">
      <c r="H15" s="95"/>
      <c r="I15" s="95"/>
      <c r="J15" s="95"/>
      <c r="K15" s="95"/>
      <c r="L15" s="95"/>
      <c r="P15" s="93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94"/>
      <c r="AE15" s="94"/>
      <c r="AF15" s="94"/>
      <c r="AG15" s="94"/>
    </row>
    <row r="16">
      <c r="H16" s="95"/>
      <c r="I16" s="95"/>
      <c r="J16" s="95"/>
      <c r="K16" s="95"/>
      <c r="L16" s="95"/>
      <c r="P16" s="93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94"/>
      <c r="AE16" s="94"/>
      <c r="AF16" s="94"/>
      <c r="AG16" s="94"/>
    </row>
    <row r="17">
      <c r="P17" s="93"/>
      <c r="Q17" s="118" t="s">
        <v>4063</v>
      </c>
      <c r="R17" s="118" t="s">
        <v>4057</v>
      </c>
      <c r="S17" s="118" t="s">
        <v>4052</v>
      </c>
      <c r="T17" s="118" t="s">
        <v>4064</v>
      </c>
      <c r="U17" s="118" t="s">
        <v>4051</v>
      </c>
      <c r="V17" s="118" t="s">
        <v>4054</v>
      </c>
      <c r="W17" s="118" t="s">
        <v>4065</v>
      </c>
      <c r="X17" s="119" t="s">
        <v>4058</v>
      </c>
      <c r="Y17" s="119" t="s">
        <v>4066</v>
      </c>
      <c r="Z17" s="120" t="s">
        <v>4067</v>
      </c>
      <c r="AA17" s="120" t="s">
        <v>4056</v>
      </c>
      <c r="AB17" s="120" t="s">
        <v>4062</v>
      </c>
      <c r="AC17" s="120" t="s">
        <v>4059</v>
      </c>
      <c r="AD17" s="121" t="s">
        <v>4068</v>
      </c>
      <c r="AE17" s="122" t="s">
        <v>4069</v>
      </c>
      <c r="AF17" s="121" t="s">
        <v>4070</v>
      </c>
      <c r="AG17" s="94"/>
    </row>
    <row r="18">
      <c r="P18" s="93"/>
      <c r="Q18" s="123" t="s">
        <v>4071</v>
      </c>
      <c r="R18" s="124">
        <f t="shared" ref="R18:R29" si="1">R45+R61</f>
        <v>0</v>
      </c>
      <c r="S18" s="125">
        <f>COUNTIFS(US!$A:$A, "&gt;=" &amp; DATE(2026,1,1), US!$A:$A, "&lt;=" &amp; EOMONTH(DATE(2026,1,1), 0))</f>
        <v>0</v>
      </c>
      <c r="T18" s="125">
        <f>COUNTIFS(US!$A:$A, "&gt;=" &amp; DATE(2026,1,1), US!$A:$A, "&lt;=" &amp; EOMONTH(DATE(2026,1,1), 0), US!$H:$H, "Booket til time")</f>
        <v>0</v>
      </c>
      <c r="U18" s="126" t="str">
        <f t="shared" ref="U18:U30" si="2">R18/S18</f>
        <v>#DIV/0!</v>
      </c>
      <c r="V18" s="126" t="str">
        <f t="shared" ref="V18:V30" si="3">R18/T18</f>
        <v>#DIV/0!</v>
      </c>
      <c r="W18" s="127" t="str">
        <f t="shared" ref="W18:W30" si="4">Y18/R18</f>
        <v>#DIV/0!</v>
      </c>
      <c r="X18" s="126">
        <f t="shared" ref="X18:X29" si="5">($S$32*T18)+AC18</f>
        <v>0</v>
      </c>
      <c r="Y18" s="126">
        <f t="shared" ref="Y18:Y29" si="6">($S$33*T18)+AC18</f>
        <v>0</v>
      </c>
      <c r="Z18" s="128" t="str">
        <f t="shared" ref="Z18:Z30" si="7">T18/S18</f>
        <v>#DIV/0!</v>
      </c>
      <c r="AA18" s="129">
        <f t="shared" ref="AA18:AA29" si="8">T18*$S$32</f>
        <v>0</v>
      </c>
      <c r="AB18" s="130">
        <f>COUNTIFS(US!$A:$A, "&gt;=" &amp; DATE(2026,1,1), US!$A:$A, "&lt;=" &amp; EOMONTH(DATE(2026,1,1), 0), US!$G:$G, "Ja")</f>
        <v>0</v>
      </c>
      <c r="AC18" s="129">
        <f t="shared" ref="AC18:AC29" si="9">AB18*$S$34</f>
        <v>0</v>
      </c>
      <c r="AD18" s="131" t="str">
        <f t="shared" ref="AD18:AD30" si="10">AB18/S18</f>
        <v>#DIV/0!</v>
      </c>
      <c r="AE18" s="132"/>
      <c r="AF18" s="131" t="str">
        <f t="shared" ref="AF18:AF30" si="11">S18/AE18</f>
        <v>#DIV/0!</v>
      </c>
      <c r="AG18" s="121"/>
    </row>
    <row r="19">
      <c r="P19" s="93"/>
      <c r="Q19" s="123" t="s">
        <v>2161</v>
      </c>
      <c r="R19" s="124">
        <f t="shared" si="1"/>
        <v>0</v>
      </c>
      <c r="S19" s="125">
        <f>COUNTIFS(US!$A:$A, "&gt;=" &amp; DATE(2026,2,1), US!$A:$A, "&lt;=" &amp; EOMONTH(DATE(2026,2,1), 0))</f>
        <v>0</v>
      </c>
      <c r="T19" s="125">
        <f>COUNTIFS(US!$A:$A, "&gt;=" &amp; DATE(2026,2,1), US!$A:$A, "&lt;=" &amp; EOMONTH(DATE(2026,2,1), 0), US!$H:$H, "Booket til time")</f>
        <v>0</v>
      </c>
      <c r="U19" s="126" t="str">
        <f t="shared" si="2"/>
        <v>#DIV/0!</v>
      </c>
      <c r="V19" s="126" t="str">
        <f t="shared" si="3"/>
        <v>#DIV/0!</v>
      </c>
      <c r="W19" s="127" t="str">
        <f t="shared" si="4"/>
        <v>#DIV/0!</v>
      </c>
      <c r="X19" s="126">
        <f t="shared" si="5"/>
        <v>0</v>
      </c>
      <c r="Y19" s="126">
        <f t="shared" si="6"/>
        <v>0</v>
      </c>
      <c r="Z19" s="128" t="str">
        <f t="shared" si="7"/>
        <v>#DIV/0!</v>
      </c>
      <c r="AA19" s="129">
        <f t="shared" si="8"/>
        <v>0</v>
      </c>
      <c r="AB19" s="133">
        <f>COUNTIFS(US!$A:$A, "&gt;=" &amp; DATE(2026,2,1), US!$A:$A, "&lt;=" &amp; EOMONTH(DATE(2026,2,1), 0), US!$G:$G, "Ja")</f>
        <v>0</v>
      </c>
      <c r="AC19" s="129">
        <f t="shared" si="9"/>
        <v>0</v>
      </c>
      <c r="AD19" s="131" t="str">
        <f t="shared" si="10"/>
        <v>#DIV/0!</v>
      </c>
      <c r="AE19" s="132"/>
      <c r="AF19" s="131" t="str">
        <f t="shared" si="11"/>
        <v>#DIV/0!</v>
      </c>
      <c r="AG19" s="131"/>
    </row>
    <row r="20">
      <c r="P20" s="93"/>
      <c r="Q20" s="123" t="s">
        <v>2763</v>
      </c>
      <c r="R20" s="124">
        <f t="shared" si="1"/>
        <v>0</v>
      </c>
      <c r="S20" s="125">
        <f>COUNTIFS(US!$A:$A, "&gt;=" &amp; DATE(2026,3,1), US!$A:$A, "&lt;=" &amp; EOMONTH(DATE(2026,3,1), 0))</f>
        <v>0</v>
      </c>
      <c r="T20" s="125">
        <f>COUNTIFS(US!$A:$A, "&gt;=" &amp; DATE(2026,3,1), US!$A:$A, "&lt;=" &amp; EOMONTH(DATE(2026,3,1), 0), US!$H:$H, "Booket til time")</f>
        <v>0</v>
      </c>
      <c r="U20" s="126" t="str">
        <f t="shared" si="2"/>
        <v>#DIV/0!</v>
      </c>
      <c r="V20" s="126" t="str">
        <f t="shared" si="3"/>
        <v>#DIV/0!</v>
      </c>
      <c r="W20" s="127" t="str">
        <f t="shared" si="4"/>
        <v>#DIV/0!</v>
      </c>
      <c r="X20" s="126">
        <f t="shared" si="5"/>
        <v>0</v>
      </c>
      <c r="Y20" s="126">
        <f t="shared" si="6"/>
        <v>0</v>
      </c>
      <c r="Z20" s="128" t="str">
        <f t="shared" si="7"/>
        <v>#DIV/0!</v>
      </c>
      <c r="AA20" s="129">
        <f t="shared" si="8"/>
        <v>0</v>
      </c>
      <c r="AB20" s="133">
        <f>COUNTIFS(US!$A:$A, "&gt;=" &amp; DATE(2026,3,1), US!$A:$A, "&lt;=" &amp; EOMONTH(DATE(2026,3,1), 0), US!$G:$G, "Ja")</f>
        <v>0</v>
      </c>
      <c r="AC20" s="129">
        <f t="shared" si="9"/>
        <v>0</v>
      </c>
      <c r="AD20" s="131" t="str">
        <f t="shared" si="10"/>
        <v>#DIV/0!</v>
      </c>
      <c r="AE20" s="132"/>
      <c r="AF20" s="131" t="str">
        <f t="shared" si="11"/>
        <v>#DIV/0!</v>
      </c>
      <c r="AG20" s="131"/>
    </row>
    <row r="21">
      <c r="P21" s="93"/>
      <c r="Q21" s="123" t="s">
        <v>4072</v>
      </c>
      <c r="R21" s="124">
        <f t="shared" si="1"/>
        <v>0</v>
      </c>
      <c r="S21" s="125">
        <f>COUNTIFS(US!$A:$A, "&gt;=" &amp; DATE(2026,4,1), US!$A:$A, "&lt;=" &amp; EOMONTH(DATE(2026,4,1), 0))</f>
        <v>0</v>
      </c>
      <c r="T21" s="125">
        <f>COUNTIFS(US!$A:$A, "&gt;=" &amp; DATE(2026,4,1), US!$A:$A, "&lt;=" &amp; EOMONTH(DATE(2026,4,1), 0), US!$H:$H, "Booket til time")</f>
        <v>0</v>
      </c>
      <c r="U21" s="126" t="str">
        <f t="shared" si="2"/>
        <v>#DIV/0!</v>
      </c>
      <c r="V21" s="126" t="str">
        <f t="shared" si="3"/>
        <v>#DIV/0!</v>
      </c>
      <c r="W21" s="127" t="str">
        <f t="shared" si="4"/>
        <v>#DIV/0!</v>
      </c>
      <c r="X21" s="126">
        <f t="shared" si="5"/>
        <v>0</v>
      </c>
      <c r="Y21" s="126">
        <f t="shared" si="6"/>
        <v>0</v>
      </c>
      <c r="Z21" s="128" t="str">
        <f t="shared" si="7"/>
        <v>#DIV/0!</v>
      </c>
      <c r="AA21" s="129">
        <f t="shared" si="8"/>
        <v>0</v>
      </c>
      <c r="AB21" s="133">
        <f>COUNTIFS(US!$A:$A, "&gt;=" &amp; DATE(2026,4,1), US!$A:$A, "&lt;=" &amp; EOMONTH(DATE(2026,4,1), 0), US!$G:$G, "Ja")</f>
        <v>0</v>
      </c>
      <c r="AC21" s="129">
        <f t="shared" si="9"/>
        <v>0</v>
      </c>
      <c r="AD21" s="131" t="str">
        <f t="shared" si="10"/>
        <v>#DIV/0!</v>
      </c>
      <c r="AE21" s="132"/>
      <c r="AF21" s="131" t="str">
        <f t="shared" si="11"/>
        <v>#DIV/0!</v>
      </c>
      <c r="AG21" s="131"/>
    </row>
    <row r="22">
      <c r="P22" s="93"/>
      <c r="Q22" s="123" t="s">
        <v>4073</v>
      </c>
      <c r="R22" s="124">
        <f t="shared" si="1"/>
        <v>0</v>
      </c>
      <c r="S22" s="125">
        <f>COUNTIFS(US!$A:$A, "&gt;=" &amp; DATE(2026,5,1), US!$A:$A, "&lt;=" &amp; EOMONTH(DATE(2026,5,1), 0))</f>
        <v>0</v>
      </c>
      <c r="T22" s="130">
        <f>COUNTIFS(US!$A:$A, "&gt;=" &amp; DATE(2026,5,1), US!$A:$A, "&lt;=" &amp; EOMONTH(DATE(2026,5,1), 0), US!$H:$H, "Booket til time")</f>
        <v>0</v>
      </c>
      <c r="U22" s="126" t="str">
        <f t="shared" si="2"/>
        <v>#DIV/0!</v>
      </c>
      <c r="V22" s="126" t="str">
        <f t="shared" si="3"/>
        <v>#DIV/0!</v>
      </c>
      <c r="W22" s="127" t="str">
        <f t="shared" si="4"/>
        <v>#DIV/0!</v>
      </c>
      <c r="X22" s="126">
        <f t="shared" si="5"/>
        <v>0</v>
      </c>
      <c r="Y22" s="126">
        <f t="shared" si="6"/>
        <v>0</v>
      </c>
      <c r="Z22" s="128" t="str">
        <f t="shared" si="7"/>
        <v>#DIV/0!</v>
      </c>
      <c r="AA22" s="129">
        <f t="shared" si="8"/>
        <v>0</v>
      </c>
      <c r="AB22" s="133">
        <f>COUNTIFS(US!$A:$A, "&gt;=" &amp; DATE(2026,5,1), US!$A:$A, "&lt;=" &amp; EOMONTH(DATE(2026,5,1), 0), US!$G:$G, "Ja")</f>
        <v>0</v>
      </c>
      <c r="AC22" s="129">
        <f t="shared" si="9"/>
        <v>0</v>
      </c>
      <c r="AD22" s="131" t="str">
        <f t="shared" si="10"/>
        <v>#DIV/0!</v>
      </c>
      <c r="AE22" s="132"/>
      <c r="AF22" s="131" t="str">
        <f t="shared" si="11"/>
        <v>#DIV/0!</v>
      </c>
      <c r="AG22" s="131"/>
    </row>
    <row r="23">
      <c r="P23" s="93"/>
      <c r="Q23" s="123" t="s">
        <v>4074</v>
      </c>
      <c r="R23" s="124">
        <f t="shared" si="1"/>
        <v>0</v>
      </c>
      <c r="S23" s="125">
        <f>COUNTIFS(US!$A:$A, "&gt;=" &amp; DATE(2026,6,1), US!$A:$A, "&lt;=" &amp; EOMONTH(DATE(2026,6,1), 0))</f>
        <v>0</v>
      </c>
      <c r="T23" s="125">
        <f>COUNTIFS(US!$A:$A, "&gt;=" &amp; DATE(2026,6,1), US!$A:$A, "&lt;=" &amp; EOMONTH(DATE(2026,6,1), 0), US!$H:$H, "Booket til time")</f>
        <v>0</v>
      </c>
      <c r="U23" s="126" t="str">
        <f t="shared" si="2"/>
        <v>#DIV/0!</v>
      </c>
      <c r="V23" s="126" t="str">
        <f t="shared" si="3"/>
        <v>#DIV/0!</v>
      </c>
      <c r="W23" s="127" t="str">
        <f t="shared" si="4"/>
        <v>#DIV/0!</v>
      </c>
      <c r="X23" s="126">
        <f t="shared" si="5"/>
        <v>0</v>
      </c>
      <c r="Y23" s="126">
        <f t="shared" si="6"/>
        <v>0</v>
      </c>
      <c r="Z23" s="128" t="str">
        <f t="shared" si="7"/>
        <v>#DIV/0!</v>
      </c>
      <c r="AA23" s="129">
        <f t="shared" si="8"/>
        <v>0</v>
      </c>
      <c r="AB23" s="133">
        <f>COUNTIFS(US!$A:$A, "&gt;=" &amp; DATE(2026,6,1), US!$A:$A, "&lt;=" &amp; EOMONTH(DATE(2026,6,1), 0), US!$G:$G, "Ja")</f>
        <v>0</v>
      </c>
      <c r="AC23" s="129">
        <f t="shared" si="9"/>
        <v>0</v>
      </c>
      <c r="AD23" s="131" t="str">
        <f t="shared" si="10"/>
        <v>#DIV/0!</v>
      </c>
      <c r="AE23" s="132"/>
      <c r="AF23" s="131" t="str">
        <f t="shared" si="11"/>
        <v>#DIV/0!</v>
      </c>
      <c r="AG23" s="131"/>
    </row>
    <row r="24">
      <c r="P24" s="93"/>
      <c r="Q24" s="123" t="s">
        <v>4075</v>
      </c>
      <c r="R24" s="124">
        <f t="shared" si="1"/>
        <v>0</v>
      </c>
      <c r="S24" s="125">
        <f>COUNTIFS(US!$A:$A, "&gt;=" &amp; DATE(2026,7,1), US!$A:$A, "&lt;=" &amp; EOMONTH(DATE(2026,7,1), 0))</f>
        <v>19</v>
      </c>
      <c r="T24" s="125">
        <f>COUNTIFS(US!$A:$A, "&gt;=" &amp; DATE(2026,7,1), US!$A:$A, "&lt;=" &amp; EOMONTH(DATE(2026,7,1), 0), US!$H:$H, "Booket til time")</f>
        <v>13</v>
      </c>
      <c r="U24" s="126">
        <f t="shared" si="2"/>
        <v>0</v>
      </c>
      <c r="V24" s="126">
        <f t="shared" si="3"/>
        <v>0</v>
      </c>
      <c r="W24" s="127" t="str">
        <f t="shared" si="4"/>
        <v>#DIV/0!</v>
      </c>
      <c r="X24" s="126">
        <f t="shared" si="5"/>
        <v>15140</v>
      </c>
      <c r="Y24" s="126">
        <f t="shared" si="6"/>
        <v>33470</v>
      </c>
      <c r="Z24" s="128">
        <f t="shared" si="7"/>
        <v>0.6842105263</v>
      </c>
      <c r="AA24" s="129">
        <f t="shared" si="8"/>
        <v>7670</v>
      </c>
      <c r="AB24" s="133">
        <f>COUNTIFS(US!$A:$A, "&gt;=" &amp; DATE(2026,7,1), US!$A:$A, "&lt;=" &amp; EOMONTH(DATE(2026,7,1), 0), US!$G:$G, "Ja")</f>
        <v>3</v>
      </c>
      <c r="AC24" s="129">
        <f t="shared" si="9"/>
        <v>7470</v>
      </c>
      <c r="AD24" s="131">
        <f t="shared" si="10"/>
        <v>0.1578947368</v>
      </c>
      <c r="AE24" s="132"/>
      <c r="AF24" s="131" t="str">
        <f t="shared" si="11"/>
        <v>#DIV/0!</v>
      </c>
      <c r="AG24" s="131"/>
    </row>
    <row r="25">
      <c r="P25" s="93"/>
      <c r="Q25" s="123" t="s">
        <v>42</v>
      </c>
      <c r="R25" s="124">
        <f t="shared" si="1"/>
        <v>0</v>
      </c>
      <c r="S25" s="125">
        <f>COUNTIFS(US!$A:$A, "&gt;=" &amp; DATE(2026,8,1), US!$A:$A, "&lt;=" &amp; EOMONTH(DATE(2026,8,1), 0))</f>
        <v>0</v>
      </c>
      <c r="T25" s="125">
        <f>COUNTIFS(US!$A:$A, "&gt;=" &amp; DATE(2026,8,1), US!$A:$A, "&lt;=" &amp; EOMONTH(DATE(2026,8,1), 0), US!$H:$H, "Booket til time")</f>
        <v>0</v>
      </c>
      <c r="U25" s="126" t="str">
        <f t="shared" si="2"/>
        <v>#DIV/0!</v>
      </c>
      <c r="V25" s="126" t="str">
        <f t="shared" si="3"/>
        <v>#DIV/0!</v>
      </c>
      <c r="W25" s="127" t="str">
        <f t="shared" si="4"/>
        <v>#DIV/0!</v>
      </c>
      <c r="X25" s="126">
        <f t="shared" si="5"/>
        <v>0</v>
      </c>
      <c r="Y25" s="126">
        <f t="shared" si="6"/>
        <v>0</v>
      </c>
      <c r="Z25" s="128" t="str">
        <f t="shared" si="7"/>
        <v>#DIV/0!</v>
      </c>
      <c r="AA25" s="129">
        <f t="shared" si="8"/>
        <v>0</v>
      </c>
      <c r="AB25" s="133">
        <f>COUNTIFS(US!$A:$A, "&gt;=" &amp; DATE(2026,8,1), US!$A:$A, "&lt;=" &amp; EOMONTH(DATE(2026,8,1), 0), US!$G:$G, "Ja")</f>
        <v>0</v>
      </c>
      <c r="AC25" s="129">
        <f t="shared" si="9"/>
        <v>0</v>
      </c>
      <c r="AD25" s="131" t="str">
        <f t="shared" si="10"/>
        <v>#DIV/0!</v>
      </c>
      <c r="AE25" s="132"/>
      <c r="AF25" s="131" t="str">
        <f t="shared" si="11"/>
        <v>#DIV/0!</v>
      </c>
      <c r="AG25" s="131"/>
    </row>
    <row r="26">
      <c r="P26" s="93"/>
      <c r="Q26" s="123" t="s">
        <v>4076</v>
      </c>
      <c r="R26" s="124">
        <f t="shared" si="1"/>
        <v>0</v>
      </c>
      <c r="S26" s="125">
        <f>COUNTIFS(US!$A:$A, "&gt;=" &amp; DATE(2026,9,1), US!$A:$A, "&lt;=" &amp; EOMONTH(DATE(2026,9,1), 0))</f>
        <v>0</v>
      </c>
      <c r="T26" s="125">
        <f>COUNTIFS(US!$A:$A, "&gt;=" &amp; DATE(2026,9,1), US!$A:$A, "&lt;=" &amp; EOMONTH(DATE(2026,9,1), 0), US!$H:$H, "Booket til time")</f>
        <v>0</v>
      </c>
      <c r="U26" s="126" t="str">
        <f t="shared" si="2"/>
        <v>#DIV/0!</v>
      </c>
      <c r="V26" s="126" t="str">
        <f t="shared" si="3"/>
        <v>#DIV/0!</v>
      </c>
      <c r="W26" s="127" t="str">
        <f t="shared" si="4"/>
        <v>#DIV/0!</v>
      </c>
      <c r="X26" s="126">
        <f t="shared" si="5"/>
        <v>0</v>
      </c>
      <c r="Y26" s="126">
        <f t="shared" si="6"/>
        <v>0</v>
      </c>
      <c r="Z26" s="128" t="str">
        <f t="shared" si="7"/>
        <v>#DIV/0!</v>
      </c>
      <c r="AA26" s="129">
        <f t="shared" si="8"/>
        <v>0</v>
      </c>
      <c r="AB26" s="133">
        <f>COUNTIFS(US!$A:$A, "&gt;=" &amp; DATE(2026,9,1), US!$A:$A, "&lt;=" &amp; EOMONTH(DATE(2026,9,1), 0), US!$G:$G, "Ja")</f>
        <v>0</v>
      </c>
      <c r="AC26" s="129">
        <f t="shared" si="9"/>
        <v>0</v>
      </c>
      <c r="AD26" s="131" t="str">
        <f t="shared" si="10"/>
        <v>#DIV/0!</v>
      </c>
      <c r="AE26" s="132"/>
      <c r="AF26" s="131" t="str">
        <f t="shared" si="11"/>
        <v>#DIV/0!</v>
      </c>
      <c r="AG26" s="131"/>
    </row>
    <row r="27">
      <c r="P27" s="93"/>
      <c r="Q27" s="123" t="s">
        <v>4077</v>
      </c>
      <c r="R27" s="124">
        <f t="shared" si="1"/>
        <v>0</v>
      </c>
      <c r="S27" s="125">
        <f>COUNTIFS(US!$A:$A, "&gt;=" &amp; DATE(2026,10,1), US!$A:$A, "&lt;=" &amp; EOMONTH(DATE(2026,10,1), 0))</f>
        <v>0</v>
      </c>
      <c r="T27" s="125">
        <f>COUNTIFS(US!$A:$A, "&gt;=" &amp; DATE(2026,10,1), US!$A:$A, "&lt;=" &amp; EOMONTH(DATE(2026,10,1), 0), US!$H:$H, "Booket til time")</f>
        <v>0</v>
      </c>
      <c r="U27" s="126" t="str">
        <f t="shared" si="2"/>
        <v>#DIV/0!</v>
      </c>
      <c r="V27" s="126" t="str">
        <f t="shared" si="3"/>
        <v>#DIV/0!</v>
      </c>
      <c r="W27" s="127" t="str">
        <f t="shared" si="4"/>
        <v>#DIV/0!</v>
      </c>
      <c r="X27" s="126">
        <f t="shared" si="5"/>
        <v>0</v>
      </c>
      <c r="Y27" s="126">
        <f t="shared" si="6"/>
        <v>0</v>
      </c>
      <c r="Z27" s="128" t="str">
        <f t="shared" si="7"/>
        <v>#DIV/0!</v>
      </c>
      <c r="AA27" s="129">
        <f t="shared" si="8"/>
        <v>0</v>
      </c>
      <c r="AB27" s="133">
        <f>COUNTIFS(US!$A:$A, "&gt;=" &amp; DATE(2026,10,1), US!$A:$A, "&lt;=" &amp; EOMONTH(DATE(2026,10,1), 0), US!$G:$G, "Ja")</f>
        <v>0</v>
      </c>
      <c r="AC27" s="129">
        <f t="shared" si="9"/>
        <v>0</v>
      </c>
      <c r="AD27" s="131" t="str">
        <f t="shared" si="10"/>
        <v>#DIV/0!</v>
      </c>
      <c r="AE27" s="132"/>
      <c r="AF27" s="131" t="str">
        <f t="shared" si="11"/>
        <v>#DIV/0!</v>
      </c>
      <c r="AG27" s="131"/>
    </row>
    <row r="28">
      <c r="P28" s="93"/>
      <c r="Q28" s="123" t="s">
        <v>4078</v>
      </c>
      <c r="R28" s="124">
        <f t="shared" si="1"/>
        <v>0</v>
      </c>
      <c r="S28" s="125">
        <f>COUNTIFS(US!$A:$A, "&gt;=" &amp; DATE(2026,11,1), US!$A:$A, "&lt;=" &amp; EOMONTH(DATE(2026,11,1), 0))</f>
        <v>0</v>
      </c>
      <c r="T28" s="125">
        <f>COUNTIFS(US!$A:$A, "&gt;=" &amp; DATE(2026,11,1), US!$A:$A, "&lt;=" &amp; EOMONTH(DATE(2026,11,1), 0), US!$H:$H, "Booket til time")</f>
        <v>0</v>
      </c>
      <c r="U28" s="126" t="str">
        <f t="shared" si="2"/>
        <v>#DIV/0!</v>
      </c>
      <c r="V28" s="126" t="str">
        <f t="shared" si="3"/>
        <v>#DIV/0!</v>
      </c>
      <c r="W28" s="127" t="str">
        <f t="shared" si="4"/>
        <v>#DIV/0!</v>
      </c>
      <c r="X28" s="126">
        <f t="shared" si="5"/>
        <v>0</v>
      </c>
      <c r="Y28" s="126">
        <f t="shared" si="6"/>
        <v>0</v>
      </c>
      <c r="Z28" s="128" t="str">
        <f t="shared" si="7"/>
        <v>#DIV/0!</v>
      </c>
      <c r="AA28" s="129">
        <f t="shared" si="8"/>
        <v>0</v>
      </c>
      <c r="AB28" s="133">
        <f>COUNTIFS(US!$A:$A, "&gt;=" &amp; DATE(2026,11,1), US!$A:$A, "&lt;=" &amp; EOMONTH(DATE(2026,11,1), 0), US!$G:$G, "Ja")</f>
        <v>0</v>
      </c>
      <c r="AC28" s="129">
        <f t="shared" si="9"/>
        <v>0</v>
      </c>
      <c r="AD28" s="131" t="str">
        <f t="shared" si="10"/>
        <v>#DIV/0!</v>
      </c>
      <c r="AE28" s="132"/>
      <c r="AF28" s="131" t="str">
        <f t="shared" si="11"/>
        <v>#DIV/0!</v>
      </c>
      <c r="AG28" s="131"/>
    </row>
    <row r="29">
      <c r="P29" s="93"/>
      <c r="Q29" s="123" t="s">
        <v>4079</v>
      </c>
      <c r="R29" s="124">
        <f t="shared" si="1"/>
        <v>0</v>
      </c>
      <c r="S29" s="125">
        <f>COUNTIFS(US!$A:$A, "&gt;=" &amp; DATE(2026,12,1), US!$A:$A, "&lt;=" &amp; EOMONTH(DATE(2026,12,1), 0))</f>
        <v>0</v>
      </c>
      <c r="T29" s="125">
        <f>COUNTIFS(US!$A:$A, "&gt;=" &amp; DATE(2026,12,1), US!$A:$A, "&lt;=" &amp; EOMONTH(DATE(2026,12,1), 0), US!$H:$H, "Booket til time")</f>
        <v>0</v>
      </c>
      <c r="U29" s="126" t="str">
        <f t="shared" si="2"/>
        <v>#DIV/0!</v>
      </c>
      <c r="V29" s="126" t="str">
        <f t="shared" si="3"/>
        <v>#DIV/0!</v>
      </c>
      <c r="W29" s="127" t="str">
        <f t="shared" si="4"/>
        <v>#DIV/0!</v>
      </c>
      <c r="X29" s="126">
        <f t="shared" si="5"/>
        <v>0</v>
      </c>
      <c r="Y29" s="126">
        <f t="shared" si="6"/>
        <v>0</v>
      </c>
      <c r="Z29" s="128" t="str">
        <f t="shared" si="7"/>
        <v>#DIV/0!</v>
      </c>
      <c r="AA29" s="129">
        <f t="shared" si="8"/>
        <v>0</v>
      </c>
      <c r="AB29" s="133">
        <f>COUNTIFS(US!$A:$A, "&gt;=" &amp; DATE(2026,12,1), US!$A:$A, "&lt;=" &amp; EOMONTH(DATE(2026,12,1), 0), US!$G:$G, "Ja")</f>
        <v>0</v>
      </c>
      <c r="AC29" s="129">
        <f t="shared" si="9"/>
        <v>0</v>
      </c>
      <c r="AD29" s="131" t="str">
        <f t="shared" si="10"/>
        <v>#DIV/0!</v>
      </c>
      <c r="AE29" s="132"/>
      <c r="AF29" s="131" t="str">
        <f t="shared" si="11"/>
        <v>#DIV/0!</v>
      </c>
      <c r="AG29" s="131"/>
    </row>
    <row r="30">
      <c r="P30" s="93"/>
      <c r="Q30" s="123" t="s">
        <v>4080</v>
      </c>
      <c r="R30" s="134">
        <f t="shared" ref="R30:T30" si="12">SUM(R18:R29)</f>
        <v>0</v>
      </c>
      <c r="S30" s="123">
        <f t="shared" si="12"/>
        <v>19</v>
      </c>
      <c r="T30" s="123">
        <f t="shared" si="12"/>
        <v>13</v>
      </c>
      <c r="U30" s="126">
        <f t="shared" si="2"/>
        <v>0</v>
      </c>
      <c r="V30" s="126">
        <f t="shared" si="3"/>
        <v>0</v>
      </c>
      <c r="W30" s="127" t="str">
        <f t="shared" si="4"/>
        <v>#DIV/0!</v>
      </c>
      <c r="X30" s="134">
        <f t="shared" ref="X30:Y30" si="13">SUM(X18:X29)</f>
        <v>15140</v>
      </c>
      <c r="Y30" s="134">
        <f t="shared" si="13"/>
        <v>33470</v>
      </c>
      <c r="Z30" s="135">
        <f t="shared" si="7"/>
        <v>0.6842105263</v>
      </c>
      <c r="AA30" s="134">
        <f t="shared" ref="AA30:AC30" si="14">SUM(AA18:AA29)</f>
        <v>7670</v>
      </c>
      <c r="AB30" s="123">
        <f t="shared" si="14"/>
        <v>3</v>
      </c>
      <c r="AC30" s="134">
        <f t="shared" si="14"/>
        <v>7470</v>
      </c>
      <c r="AD30" s="131">
        <f t="shared" si="10"/>
        <v>0.1578947368</v>
      </c>
      <c r="AE30" s="123">
        <f>SUM(AE18:AE29)</f>
        <v>0</v>
      </c>
      <c r="AF30" s="135" t="str">
        <f t="shared" si="11"/>
        <v>#DIV/0!</v>
      </c>
      <c r="AG30" s="93"/>
    </row>
    <row r="31">
      <c r="P31" s="93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94"/>
      <c r="AE31" s="94"/>
      <c r="AF31" s="94"/>
      <c r="AG31" s="94"/>
    </row>
    <row r="32">
      <c r="P32" s="93"/>
      <c r="Q32" s="123" t="s">
        <v>4081</v>
      </c>
      <c r="R32" s="117"/>
      <c r="S32" s="132">
        <v>590.0</v>
      </c>
      <c r="T32" s="117"/>
      <c r="U32" s="123" t="s">
        <v>4082</v>
      </c>
      <c r="V32" s="117"/>
      <c r="W32" s="117"/>
      <c r="X32" s="117"/>
      <c r="Y32" s="117"/>
      <c r="Z32" s="117"/>
      <c r="AA32" s="117"/>
      <c r="AB32" s="117"/>
      <c r="AC32" s="117"/>
      <c r="AD32" s="94"/>
      <c r="AE32" s="94"/>
      <c r="AF32" s="94"/>
      <c r="AG32" s="94"/>
    </row>
    <row r="33">
      <c r="P33" s="93"/>
      <c r="Q33" s="123" t="s">
        <v>4066</v>
      </c>
      <c r="R33" s="117"/>
      <c r="S33" s="123">
        <v>2000.0</v>
      </c>
      <c r="T33" s="117"/>
      <c r="U33" s="117" t="str">
        <f t="array" ref="U33:U34">UNIQUE(US!Z:Z)</f>
        <v>post url</v>
      </c>
      <c r="V33" s="117"/>
      <c r="W33" s="117"/>
      <c r="X33" s="117"/>
      <c r="Y33" s="117"/>
      <c r="Z33" s="117"/>
      <c r="AA33" s="117"/>
      <c r="AB33" s="117"/>
      <c r="AC33" s="117"/>
      <c r="AD33" s="94"/>
      <c r="AE33" s="94"/>
      <c r="AF33" s="94"/>
      <c r="AG33" s="94"/>
    </row>
    <row r="34">
      <c r="P34" s="93"/>
      <c r="Q34" s="123" t="s">
        <v>4083</v>
      </c>
      <c r="R34" s="117"/>
      <c r="S34" s="132">
        <v>2490.0</v>
      </c>
      <c r="T34" s="117"/>
      <c r="U34" s="117"/>
      <c r="V34" s="117"/>
      <c r="W34" s="117"/>
      <c r="X34" s="117">
        <f>COUNTIF(US!Z:Z,U34)</f>
        <v>0</v>
      </c>
      <c r="Y34" s="117"/>
      <c r="Z34" s="117"/>
      <c r="AA34" s="117"/>
      <c r="AB34" s="117"/>
      <c r="AC34" s="117"/>
      <c r="AD34" s="94"/>
      <c r="AE34" s="94"/>
      <c r="AF34" s="94"/>
      <c r="AG34" s="94"/>
    </row>
    <row r="35">
      <c r="P35" s="93"/>
      <c r="Q35" s="120" t="s">
        <v>4084</v>
      </c>
      <c r="R35" s="117"/>
      <c r="S35" s="136">
        <f>COUNTIF(US!$A:$A, TODAY()-1)</f>
        <v>0</v>
      </c>
      <c r="T35" s="117"/>
      <c r="U35" s="117"/>
      <c r="V35" s="117"/>
      <c r="W35" s="117"/>
      <c r="X35" s="117">
        <f>COUNTIF(US!Z:Z,U35)</f>
        <v>0</v>
      </c>
      <c r="Y35" s="117"/>
      <c r="Z35" s="117"/>
      <c r="AA35" s="117"/>
      <c r="AB35" s="117"/>
      <c r="AC35" s="117"/>
      <c r="AD35" s="94"/>
      <c r="AE35" s="94"/>
      <c r="AF35" s="94"/>
      <c r="AG35" s="94"/>
    </row>
    <row r="36">
      <c r="P36" s="93"/>
      <c r="Q36" s="120" t="s">
        <v>4085</v>
      </c>
      <c r="R36" s="117"/>
      <c r="S36" s="136">
        <f>COUNTIF(US!$A:$A, TODAY())</f>
        <v>0</v>
      </c>
      <c r="T36" s="117"/>
      <c r="U36" s="117"/>
      <c r="V36" s="117"/>
      <c r="W36" s="117"/>
      <c r="X36" s="117">
        <f>SUM(X34:X35)</f>
        <v>0</v>
      </c>
      <c r="Y36" s="117"/>
      <c r="Z36" s="117"/>
      <c r="AA36" s="117"/>
      <c r="AB36" s="117"/>
      <c r="AC36" s="117"/>
      <c r="AD36" s="94"/>
      <c r="AE36" s="94"/>
      <c r="AF36" s="94"/>
      <c r="AG36" s="94"/>
    </row>
    <row r="37">
      <c r="P37" s="93"/>
      <c r="Q37" s="120" t="s">
        <v>4086</v>
      </c>
      <c r="R37" s="117"/>
      <c r="S37" s="136">
        <f>COUNTIFS(US!$A:$A, "&gt;=" &amp; EOMONTH(TODAY(), -1) + 1, US!$A:$A, "&lt;=" &amp; EOMONTH(TODAY(), 0))</f>
        <v>19</v>
      </c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94"/>
      <c r="AE37" s="94"/>
      <c r="AF37" s="94"/>
      <c r="AG37" s="94"/>
    </row>
    <row r="38">
      <c r="P38" s="93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94"/>
      <c r="AE38" s="94"/>
      <c r="AF38" s="94"/>
      <c r="AG38" s="94"/>
    </row>
    <row r="39">
      <c r="P39" s="93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94"/>
      <c r="AE39" s="94"/>
      <c r="AF39" s="94"/>
      <c r="AG39" s="94"/>
    </row>
    <row r="40">
      <c r="P40" s="93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94"/>
      <c r="AE40" s="94"/>
      <c r="AF40" s="94"/>
      <c r="AG40" s="94"/>
    </row>
    <row r="41">
      <c r="P41" s="93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94"/>
      <c r="AE41" s="94"/>
      <c r="AF41" s="94"/>
      <c r="AG41" s="94"/>
    </row>
    <row r="42">
      <c r="P42" s="93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94"/>
      <c r="AE42" s="94"/>
      <c r="AF42" s="94"/>
      <c r="AG42" s="94"/>
    </row>
    <row r="43">
      <c r="P43" s="93"/>
      <c r="Q43" s="138" t="s">
        <v>4087</v>
      </c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94"/>
      <c r="AE43" s="94"/>
      <c r="AF43" s="94"/>
      <c r="AG43" s="94"/>
    </row>
    <row r="44">
      <c r="P44" s="93"/>
      <c r="Q44" s="118" t="s">
        <v>4063</v>
      </c>
      <c r="R44" s="118" t="s">
        <v>4057</v>
      </c>
      <c r="S44" s="118" t="s">
        <v>4052</v>
      </c>
      <c r="T44" s="118" t="s">
        <v>4064</v>
      </c>
      <c r="U44" s="118" t="s">
        <v>4051</v>
      </c>
      <c r="V44" s="118" t="s">
        <v>4054</v>
      </c>
      <c r="W44" s="118" t="s">
        <v>4065</v>
      </c>
      <c r="X44" s="119" t="s">
        <v>4058</v>
      </c>
      <c r="Y44" s="119" t="s">
        <v>4066</v>
      </c>
      <c r="Z44" s="120" t="s">
        <v>4067</v>
      </c>
      <c r="AA44" s="120" t="s">
        <v>4056</v>
      </c>
      <c r="AB44" s="120" t="s">
        <v>4062</v>
      </c>
      <c r="AC44" s="120" t="s">
        <v>4059</v>
      </c>
      <c r="AD44" s="121" t="s">
        <v>4068</v>
      </c>
      <c r="AE44" s="122" t="s">
        <v>4069</v>
      </c>
      <c r="AF44" s="121" t="s">
        <v>4070</v>
      </c>
      <c r="AG44" s="121"/>
    </row>
    <row r="45">
      <c r="P45" s="93"/>
      <c r="Q45" s="123" t="s">
        <v>4071</v>
      </c>
      <c r="R45" s="124">
        <v>0.0</v>
      </c>
      <c r="S45" s="139">
        <f>COUNTIFS(US!$A:$A, "&gt;=" &amp; DATE(YEAR(TODAY()),1,1), US!$A:$A, "&lt;=" &amp; EOMONTH(DATE(YEAR(TODAY()),1,1), 0))</f>
        <v>0</v>
      </c>
      <c r="T45" s="139">
        <f>COUNTIFS(US!$A:$A, "&gt;=" &amp; DATE(YEAR(TODAY()),1,1), US!$A:$A, "&lt;=" &amp; EOMONTH(DATE(YEAR(TODAY()),1,1), 0), US!$H:$H, "Booket til time")</f>
        <v>0</v>
      </c>
      <c r="U45" s="126" t="str">
        <f t="shared" ref="U45:U57" si="15">R45/S45</f>
        <v>#DIV/0!</v>
      </c>
      <c r="V45" s="126" t="str">
        <f t="shared" ref="V45:V57" si="16">R45/T45</f>
        <v>#DIV/0!</v>
      </c>
      <c r="W45" s="140" t="str">
        <f>$B$88</f>
        <v>#DIV/0!</v>
      </c>
      <c r="X45" s="126">
        <f t="shared" ref="X45:X56" si="17">($S$32*T45)+AC45</f>
        <v>0</v>
      </c>
      <c r="Y45" s="126">
        <f t="shared" ref="Y45:Y56" si="18">($S$33*T45)+AC45</f>
        <v>0</v>
      </c>
      <c r="Z45" s="128" t="str">
        <f>$F$79</f>
        <v>#DIV/0!</v>
      </c>
      <c r="AA45" s="129">
        <f t="shared" ref="AA45:AA56" si="19">T45*$S$32</f>
        <v>0</v>
      </c>
      <c r="AB45" s="136">
        <f>COUNTIFS(US!$A:$A, "&gt;=" &amp; DATE(YEAR(TODAY()),1,1), US!$A:$A, "&lt;=" &amp; EOMONTH(DATE(YEAR(TODAY()),1,1), 0), US!$G:$G, "Ja")</f>
        <v>0</v>
      </c>
      <c r="AC45" s="129">
        <f t="shared" ref="AC45:AC56" si="20">AB45*$S$34</f>
        <v>0</v>
      </c>
      <c r="AD45" s="131" t="str">
        <f>F115/D106</f>
        <v>#DIV/0!</v>
      </c>
      <c r="AE45" s="136">
        <v>0.0</v>
      </c>
      <c r="AF45" s="131" t="str">
        <f t="shared" ref="AF45:AF57" si="21">S45/AE45</f>
        <v>#DIV/0!</v>
      </c>
      <c r="AG45" s="131"/>
    </row>
    <row r="46">
      <c r="P46" s="93"/>
      <c r="Q46" s="123" t="s">
        <v>2161</v>
      </c>
      <c r="R46" s="124">
        <v>0.0</v>
      </c>
      <c r="S46" s="139">
        <f>COUNTIFS(US!$A:$A, "&gt;=" &amp; DATE(YEAR(TODAY()),2,1), US!$A:$A, "&lt;=" &amp; EOMONTH(DATE(YEAR(TODAY()),2,1), 0))</f>
        <v>0</v>
      </c>
      <c r="T46" s="139">
        <f>COUNTIFS(US!$A:$A, "&gt;=" &amp; DATE(YEAR(TODAY()),2,1), US!$A:$A, "&lt;=" &amp; EOMONTH(DATE(YEAR(TODAY()),2,1), 0), US!$H:$H, "Booket til time")</f>
        <v>0</v>
      </c>
      <c r="U46" s="126" t="str">
        <f t="shared" si="15"/>
        <v>#DIV/0!</v>
      </c>
      <c r="V46" s="126" t="str">
        <f t="shared" si="16"/>
        <v>#DIV/0!</v>
      </c>
      <c r="W46" s="140" t="str">
        <f>$H$88</f>
        <v>#DIV/0!</v>
      </c>
      <c r="X46" s="126">
        <f t="shared" si="17"/>
        <v>0</v>
      </c>
      <c r="Y46" s="126">
        <f t="shared" si="18"/>
        <v>0</v>
      </c>
      <c r="Z46" s="128" t="str">
        <f>$L$79</f>
        <v>#DIV/0!</v>
      </c>
      <c r="AA46" s="129">
        <f t="shared" si="19"/>
        <v>0</v>
      </c>
      <c r="AB46" s="141">
        <f>COUNTIFS(US!$A:$A, "&gt;=" &amp; DATE(YEAR(TODAY()),2,1), US!$A:$A, "&lt;=" &amp; EOMONTH(DATE(YEAR(TODAY()),2,1), 0), US!$G:$G, "Ja")</f>
        <v>0</v>
      </c>
      <c r="AC46" s="129">
        <f t="shared" si="20"/>
        <v>0</v>
      </c>
      <c r="AD46" s="131" t="str">
        <f t="shared" ref="AD46:AD47" si="22">L115/J106</f>
        <v>#DIV/0!</v>
      </c>
      <c r="AE46" s="136">
        <v>0.0</v>
      </c>
      <c r="AF46" s="131" t="str">
        <f t="shared" si="21"/>
        <v>#DIV/0!</v>
      </c>
      <c r="AG46" s="131"/>
    </row>
    <row r="47">
      <c r="P47" s="93"/>
      <c r="Q47" s="123" t="s">
        <v>2763</v>
      </c>
      <c r="R47" s="124">
        <v>0.0</v>
      </c>
      <c r="S47" s="139">
        <f>COUNTIFS(US!$A:$A, "&gt;=" &amp; DATE(YEAR(TODAY()),3,1), US!$A:$A, "&lt;=" &amp; EOMONTH(DATE(YEAR(TODAY()),3,1), 0))</f>
        <v>0</v>
      </c>
      <c r="T47" s="139">
        <f>COUNTIFS(US!$A:$A, "&gt;=" &amp; DATE(YEAR(TODAY()),3,1), US!$A:$A, "&lt;=" &amp; EOMONTH(DATE(YEAR(TODAY()),3,1), 0), US!$H:$H, "Booket til time")</f>
        <v>0</v>
      </c>
      <c r="U47" s="126" t="str">
        <f t="shared" si="15"/>
        <v>#DIV/0!</v>
      </c>
      <c r="V47" s="126" t="str">
        <f t="shared" si="16"/>
        <v>#DIV/0!</v>
      </c>
      <c r="W47" s="140" t="str">
        <f>$B$104</f>
        <v>#DIV/0!</v>
      </c>
      <c r="X47" s="126">
        <f t="shared" si="17"/>
        <v>0</v>
      </c>
      <c r="Y47" s="126">
        <f t="shared" si="18"/>
        <v>0</v>
      </c>
      <c r="Z47" s="128" t="str">
        <f>$F$95</f>
        <v>#DIV/0!</v>
      </c>
      <c r="AA47" s="129">
        <f t="shared" si="19"/>
        <v>0</v>
      </c>
      <c r="AB47" s="141">
        <f>COUNTIFS(US!$A:$A, "&gt;=" &amp; DATE(YEAR(TODAY()),3,1), US!$A:$A, "&lt;=" &amp; EOMONTH(DATE(YEAR(TODAY()),3,1), 0), US!$G:$G, "Ja")</f>
        <v>0</v>
      </c>
      <c r="AC47" s="129">
        <f t="shared" si="20"/>
        <v>0</v>
      </c>
      <c r="AD47" s="131" t="str">
        <f t="shared" si="22"/>
        <v>#VALUE!</v>
      </c>
      <c r="AE47" s="136">
        <v>125.0</v>
      </c>
      <c r="AF47" s="131">
        <f t="shared" si="21"/>
        <v>0</v>
      </c>
      <c r="AG47" s="131"/>
    </row>
    <row r="48">
      <c r="P48" s="93"/>
      <c r="Q48" s="123" t="s">
        <v>4072</v>
      </c>
      <c r="R48" s="124">
        <v>0.0</v>
      </c>
      <c r="S48" s="139">
        <f>COUNTIFS(US!$A:$A, "&gt;=" &amp; DATE(YEAR(TODAY()),4,1), US!$A:$A, "&lt;=" &amp; EOMONTH(DATE(YEAR(TODAY()),4,1), 0))</f>
        <v>0</v>
      </c>
      <c r="T48" s="139">
        <f>COUNTIFS(US!$A:$A, "&gt;=" &amp; DATE(YEAR(TODAY()),4,1), US!$A:$A, "&lt;=" &amp; EOMONTH(DATE(YEAR(TODAY()),4,1), 0), US!$H:$H, "Booket til time")</f>
        <v>0</v>
      </c>
      <c r="U48" s="126" t="str">
        <f t="shared" si="15"/>
        <v>#DIV/0!</v>
      </c>
      <c r="V48" s="126" t="str">
        <f t="shared" si="16"/>
        <v>#DIV/0!</v>
      </c>
      <c r="W48" s="140" t="str">
        <f>$H$104</f>
        <v>#DIV/0!</v>
      </c>
      <c r="X48" s="126">
        <f t="shared" si="17"/>
        <v>0</v>
      </c>
      <c r="Y48" s="126">
        <f t="shared" si="18"/>
        <v>0</v>
      </c>
      <c r="Z48" s="128" t="str">
        <f>$L$95</f>
        <v>#DIV/0!</v>
      </c>
      <c r="AA48" s="129">
        <f t="shared" si="19"/>
        <v>0</v>
      </c>
      <c r="AB48" s="141">
        <f>COUNTIFS(US!$A:$A, "&gt;=" &amp; DATE(YEAR(TODAY()),4,1), US!$A:$A, "&lt;=" &amp; EOMONTH(DATE(YEAR(TODAY()),4,1), 0), US!$G:$G, "Ja")</f>
        <v>0</v>
      </c>
      <c r="AC48" s="129">
        <f t="shared" si="20"/>
        <v>0</v>
      </c>
      <c r="AD48" s="131" t="str">
        <f t="shared" ref="AD48:AD57" si="23">AB48/S48</f>
        <v>#DIV/0!</v>
      </c>
      <c r="AE48" s="136"/>
      <c r="AF48" s="131" t="str">
        <f t="shared" si="21"/>
        <v>#DIV/0!</v>
      </c>
      <c r="AG48" s="131"/>
    </row>
    <row r="49">
      <c r="P49" s="93"/>
      <c r="Q49" s="123" t="s">
        <v>4073</v>
      </c>
      <c r="R49" s="124">
        <v>0.0</v>
      </c>
      <c r="S49" s="139">
        <f>COUNTIFS(US!$A:$A, "&gt;=" &amp; DATE(YEAR(TODAY()),5,1), US!$A:$A, "&lt;=" &amp; EOMONTH(DATE(YEAR(TODAY()),5,1), 0))</f>
        <v>0</v>
      </c>
      <c r="T49" s="139">
        <f>COUNTIFS(US!$A:$A, "&gt;=" &amp; DATE(YEAR(TODAY()),5,1), US!$A:$A, "&lt;=" &amp; EOMONTH(DATE(YEAR(TODAY()),5,1), 0), US!$H:$H, "Booket til time")</f>
        <v>0</v>
      </c>
      <c r="U49" s="126" t="str">
        <f t="shared" si="15"/>
        <v>#DIV/0!</v>
      </c>
      <c r="V49" s="126" t="str">
        <f t="shared" si="16"/>
        <v>#DIV/0!</v>
      </c>
      <c r="W49" s="140" t="str">
        <f>$B$120</f>
        <v>#DIV/0!</v>
      </c>
      <c r="X49" s="126">
        <f t="shared" si="17"/>
        <v>0</v>
      </c>
      <c r="Y49" s="126">
        <f t="shared" si="18"/>
        <v>0</v>
      </c>
      <c r="Z49" s="128" t="str">
        <f>$F$111</f>
        <v>#DIV/0!</v>
      </c>
      <c r="AA49" s="129">
        <f t="shared" si="19"/>
        <v>0</v>
      </c>
      <c r="AB49" s="141">
        <f>COUNTIFS(US!$A:$A, "&gt;=" &amp; DATE(YEAR(TODAY()),5,1), US!$A:$A, "&lt;=" &amp; EOMONTH(DATE(YEAR(TODAY()),5,1), 0), US!$G:$G, "Ja")</f>
        <v>0</v>
      </c>
      <c r="AC49" s="129">
        <f t="shared" si="20"/>
        <v>0</v>
      </c>
      <c r="AD49" s="131" t="str">
        <f t="shared" si="23"/>
        <v>#DIV/0!</v>
      </c>
      <c r="AE49" s="136"/>
      <c r="AF49" s="131" t="str">
        <f t="shared" si="21"/>
        <v>#DIV/0!</v>
      </c>
      <c r="AG49" s="131"/>
    </row>
    <row r="50">
      <c r="P50" s="93"/>
      <c r="Q50" s="123" t="s">
        <v>4074</v>
      </c>
      <c r="R50" s="124">
        <v>0.0</v>
      </c>
      <c r="S50" s="139">
        <f>COUNTIFS(US!$A:$A, "&gt;=" &amp; DATE(YEAR(TODAY()),6,1), US!$A:$A, "&lt;=" &amp; EOMONTH(DATE(YEAR(TODAY()),6,1), 0))</f>
        <v>0</v>
      </c>
      <c r="T50" s="139">
        <f>COUNTIFS(US!$A:$A, "&gt;=" &amp; DATE(YEAR(TODAY()),6,1), US!$A:$A, "&lt;=" &amp; EOMONTH(DATE(YEAR(TODAY()),6,1), 0), US!$H:$H, "Booket til time")</f>
        <v>0</v>
      </c>
      <c r="U50" s="126" t="str">
        <f t="shared" si="15"/>
        <v>#DIV/0!</v>
      </c>
      <c r="V50" s="126" t="str">
        <f t="shared" si="16"/>
        <v>#DIV/0!</v>
      </c>
      <c r="W50" s="140" t="str">
        <f>$H$120</f>
        <v>#DIV/0!</v>
      </c>
      <c r="X50" s="126">
        <f t="shared" si="17"/>
        <v>0</v>
      </c>
      <c r="Y50" s="126">
        <f t="shared" si="18"/>
        <v>0</v>
      </c>
      <c r="Z50" s="128" t="str">
        <f>$L$111</f>
        <v>#DIV/0!</v>
      </c>
      <c r="AA50" s="129">
        <f t="shared" si="19"/>
        <v>0</v>
      </c>
      <c r="AB50" s="141">
        <f>COUNTIFS(US!$A:$A, "&gt;=" &amp; DATE(YEAR(TODAY()),6,1), US!$A:$A, "&lt;=" &amp; EOMONTH(DATE(YEAR(TODAY()),6,1), 0), US!$G:$G, "Ja")</f>
        <v>0</v>
      </c>
      <c r="AC50" s="129">
        <f t="shared" si="20"/>
        <v>0</v>
      </c>
      <c r="AD50" s="131" t="str">
        <f t="shared" si="23"/>
        <v>#DIV/0!</v>
      </c>
      <c r="AE50" s="136"/>
      <c r="AF50" s="131" t="str">
        <f t="shared" si="21"/>
        <v>#DIV/0!</v>
      </c>
      <c r="AG50" s="131"/>
    </row>
    <row r="51">
      <c r="P51" s="93"/>
      <c r="Q51" s="123" t="s">
        <v>4075</v>
      </c>
      <c r="R51" s="124">
        <v>0.0</v>
      </c>
      <c r="S51" s="139">
        <f>COUNTIFS(US!$A:$A, "&gt;=" &amp; DATE(YEAR(TODAY()),7,1), US!$A:$A, "&lt;=" &amp; EOMONTH(DATE(YEAR(TODAY()),7,1), 0))</f>
        <v>19</v>
      </c>
      <c r="T51" s="139">
        <f>COUNTIFS(US!$A:$A, "&gt;=" &amp; DATE(YEAR(TODAY()),7,1), US!$A:$A, "&lt;=" &amp; EOMONTH(DATE(YEAR(TODAY()),7,1), 0), US!$H:$H, "Booket til time")</f>
        <v>13</v>
      </c>
      <c r="U51" s="126">
        <f t="shared" si="15"/>
        <v>0</v>
      </c>
      <c r="V51" s="126">
        <f t="shared" si="16"/>
        <v>0</v>
      </c>
      <c r="W51" s="140" t="str">
        <f>$B$136</f>
        <v>#DIV/0!</v>
      </c>
      <c r="X51" s="126">
        <f t="shared" si="17"/>
        <v>15140</v>
      </c>
      <c r="Y51" s="126">
        <f t="shared" si="18"/>
        <v>33470</v>
      </c>
      <c r="Z51" s="128">
        <f>$F$127</f>
        <v>0.6842105263</v>
      </c>
      <c r="AA51" s="129">
        <f t="shared" si="19"/>
        <v>7670</v>
      </c>
      <c r="AB51" s="141">
        <f>COUNTIFS(US!$A:$A, "&gt;=" &amp; DATE(YEAR(TODAY()),7,1), US!$A:$A, "&lt;=" &amp; EOMONTH(DATE(YEAR(TODAY()),7,1), 0), US!$G:$G, "Ja")</f>
        <v>3</v>
      </c>
      <c r="AC51" s="129">
        <f t="shared" si="20"/>
        <v>7470</v>
      </c>
      <c r="AD51" s="131">
        <f t="shared" si="23"/>
        <v>0.1578947368</v>
      </c>
      <c r="AE51" s="136"/>
      <c r="AF51" s="131" t="str">
        <f t="shared" si="21"/>
        <v>#DIV/0!</v>
      </c>
      <c r="AG51" s="131"/>
    </row>
    <row r="52">
      <c r="P52" s="93"/>
      <c r="Q52" s="123" t="s">
        <v>42</v>
      </c>
      <c r="R52" s="124">
        <v>0.0</v>
      </c>
      <c r="S52" s="139">
        <f>COUNTIFS(US!$A:$A, "&gt;=" &amp; DATE(YEAR(TODAY()),8,1), US!$A:$A, "&lt;=" &amp; EOMONTH(DATE(YEAR(TODAY()),8,1), 0))</f>
        <v>0</v>
      </c>
      <c r="T52" s="139">
        <f>COUNTIFS(US!$A:$A, "&gt;=" &amp; DATE(YEAR(TODAY()),8,1), US!$A:$A, "&lt;=" &amp; EOMONTH(DATE(YEAR(TODAY()),8,1), 0), US!$H:$H, "Booket til time")</f>
        <v>0</v>
      </c>
      <c r="U52" s="126" t="str">
        <f t="shared" si="15"/>
        <v>#DIV/0!</v>
      </c>
      <c r="V52" s="126" t="str">
        <f t="shared" si="16"/>
        <v>#DIV/0!</v>
      </c>
      <c r="W52" s="140" t="str">
        <f>$H$136</f>
        <v>#DIV/0!</v>
      </c>
      <c r="X52" s="126">
        <f t="shared" si="17"/>
        <v>0</v>
      </c>
      <c r="Y52" s="126">
        <f t="shared" si="18"/>
        <v>0</v>
      </c>
      <c r="Z52" s="128" t="str">
        <f>$L$127</f>
        <v>#DIV/0!</v>
      </c>
      <c r="AA52" s="129">
        <f t="shared" si="19"/>
        <v>0</v>
      </c>
      <c r="AB52" s="141">
        <f>COUNTIFS(US!$A:$A, "&gt;=" &amp; DATE(YEAR(TODAY()),8,1), US!$A:$A, "&lt;=" &amp; EOMONTH(DATE(YEAR(TODAY()),8,1), 0), US!$G:$G, "Ja")</f>
        <v>0</v>
      </c>
      <c r="AC52" s="129">
        <f t="shared" si="20"/>
        <v>0</v>
      </c>
      <c r="AD52" s="131" t="str">
        <f t="shared" si="23"/>
        <v>#DIV/0!</v>
      </c>
      <c r="AE52" s="136"/>
      <c r="AF52" s="131" t="str">
        <f t="shared" si="21"/>
        <v>#DIV/0!</v>
      </c>
      <c r="AG52" s="131"/>
    </row>
    <row r="53">
      <c r="P53" s="93"/>
      <c r="Q53" s="123" t="s">
        <v>4076</v>
      </c>
      <c r="R53" s="124">
        <v>0.0</v>
      </c>
      <c r="S53" s="139">
        <f>COUNTIFS(US!$A:$A, "&gt;=" &amp; DATE(YEAR(TODAY()),9,1), US!$A:$A, "&lt;=" &amp; EOMONTH(DATE(YEAR(TODAY()),9,1), 0))</f>
        <v>0</v>
      </c>
      <c r="T53" s="139">
        <f>COUNTIFS(US!$A:$A, "&gt;=" &amp; DATE(YEAR(TODAY()),9,1), US!$A:$A, "&lt;=" &amp; EOMONTH(DATE(YEAR(TODAY()),9,1), 0), US!$H:$H, "Booket til time")</f>
        <v>0</v>
      </c>
      <c r="U53" s="126" t="str">
        <f t="shared" si="15"/>
        <v>#DIV/0!</v>
      </c>
      <c r="V53" s="126" t="str">
        <f t="shared" si="16"/>
        <v>#DIV/0!</v>
      </c>
      <c r="W53" s="140" t="str">
        <f>$B$152</f>
        <v>#DIV/0!</v>
      </c>
      <c r="X53" s="126">
        <f t="shared" si="17"/>
        <v>0</v>
      </c>
      <c r="Y53" s="126">
        <f t="shared" si="18"/>
        <v>0</v>
      </c>
      <c r="Z53" s="128" t="str">
        <f>$F$143</f>
        <v>#DIV/0!</v>
      </c>
      <c r="AA53" s="129">
        <f t="shared" si="19"/>
        <v>0</v>
      </c>
      <c r="AB53" s="141">
        <f>COUNTIFS(US!$A:$A, "&gt;=" &amp; DATE(YEAR(TODAY()),9,1), US!$A:$A, "&lt;=" &amp; EOMONTH(DATE(YEAR(TODAY()),9,1), 0), US!$G:$G, "Ja")</f>
        <v>0</v>
      </c>
      <c r="AC53" s="129">
        <f t="shared" si="20"/>
        <v>0</v>
      </c>
      <c r="AD53" s="131" t="str">
        <f t="shared" si="23"/>
        <v>#DIV/0!</v>
      </c>
      <c r="AE53" s="136"/>
      <c r="AF53" s="131" t="str">
        <f t="shared" si="21"/>
        <v>#DIV/0!</v>
      </c>
      <c r="AG53" s="131"/>
    </row>
    <row r="54">
      <c r="P54" s="93"/>
      <c r="Q54" s="123" t="s">
        <v>4077</v>
      </c>
      <c r="R54" s="124">
        <v>0.0</v>
      </c>
      <c r="S54" s="139">
        <f>COUNTIFS(US!$A:$A, "&gt;=" &amp; DATE(YEAR(TODAY()),10,1), US!$A:$A, "&lt;=" &amp; EOMONTH(DATE(YEAR(TODAY()),10,1), 0))</f>
        <v>0</v>
      </c>
      <c r="T54" s="139">
        <f>COUNTIFS(US!$A:$A, "&gt;=" &amp; DATE(YEAR(TODAY()),10,1), US!$A:$A, "&lt;=" &amp; EOMONTH(DATE(YEAR(TODAY()),10,1), 0), US!$H:$H, "Booket til time")</f>
        <v>0</v>
      </c>
      <c r="U54" s="126" t="str">
        <f t="shared" si="15"/>
        <v>#DIV/0!</v>
      </c>
      <c r="V54" s="126" t="str">
        <f t="shared" si="16"/>
        <v>#DIV/0!</v>
      </c>
      <c r="W54" s="140" t="str">
        <f>$H$152</f>
        <v>#DIV/0!</v>
      </c>
      <c r="X54" s="126">
        <f t="shared" si="17"/>
        <v>0</v>
      </c>
      <c r="Y54" s="126">
        <f t="shared" si="18"/>
        <v>0</v>
      </c>
      <c r="Z54" s="128" t="str">
        <f>$L$143</f>
        <v>#DIV/0!</v>
      </c>
      <c r="AA54" s="129">
        <f t="shared" si="19"/>
        <v>0</v>
      </c>
      <c r="AB54" s="141">
        <f>COUNTIFS(US!$A:$A, "&gt;=" &amp; DATE(YEAR(TODAY()),10,1), US!$A:$A, "&lt;=" &amp; EOMONTH(DATE(YEAR(TODAY()),10,1), 0), US!$G:$G, "Ja")</f>
        <v>0</v>
      </c>
      <c r="AC54" s="129">
        <f t="shared" si="20"/>
        <v>0</v>
      </c>
      <c r="AD54" s="131" t="str">
        <f t="shared" si="23"/>
        <v>#DIV/0!</v>
      </c>
      <c r="AE54" s="136"/>
      <c r="AF54" s="131" t="str">
        <f t="shared" si="21"/>
        <v>#DIV/0!</v>
      </c>
      <c r="AG54" s="131"/>
    </row>
    <row r="55">
      <c r="P55" s="93"/>
      <c r="Q55" s="123" t="s">
        <v>4078</v>
      </c>
      <c r="R55" s="124">
        <v>0.0</v>
      </c>
      <c r="S55" s="139">
        <f>COUNTIFS(US!$A:$A, "&gt;=" &amp; DATE(YEAR(TODAY()),11,1), US!$A:$A, "&lt;=" &amp; EOMONTH(DATE(YEAR(TODAY()),11,1), 0))</f>
        <v>0</v>
      </c>
      <c r="T55" s="139">
        <f>COUNTIFS(US!$A:$A, "&gt;=" &amp; DATE(YEAR(TODAY()),11,1), US!$A:$A, "&lt;=" &amp; EOMONTH(DATE(YEAR(TODAY()),11,1), 0), US!$H:$H, "Booket til time")</f>
        <v>0</v>
      </c>
      <c r="U55" s="126" t="str">
        <f t="shared" si="15"/>
        <v>#DIV/0!</v>
      </c>
      <c r="V55" s="126" t="str">
        <f t="shared" si="16"/>
        <v>#DIV/0!</v>
      </c>
      <c r="W55" s="140" t="str">
        <f>$B$168</f>
        <v>#DIV/0!</v>
      </c>
      <c r="X55" s="126">
        <f t="shared" si="17"/>
        <v>0</v>
      </c>
      <c r="Y55" s="126">
        <f t="shared" si="18"/>
        <v>0</v>
      </c>
      <c r="Z55" s="128" t="str">
        <f>$F$159</f>
        <v>#DIV/0!</v>
      </c>
      <c r="AA55" s="129">
        <f t="shared" si="19"/>
        <v>0</v>
      </c>
      <c r="AB55" s="141">
        <f>COUNTIFS(US!$A:$A, "&gt;=" &amp; DATE(YEAR(TODAY()),11,1), US!$A:$A, "&lt;=" &amp; EOMONTH(DATE(YEAR(TODAY()),11,1), 0), US!$G:$G, "Ja")</f>
        <v>0</v>
      </c>
      <c r="AC55" s="129">
        <f t="shared" si="20"/>
        <v>0</v>
      </c>
      <c r="AD55" s="131" t="str">
        <f t="shared" si="23"/>
        <v>#DIV/0!</v>
      </c>
      <c r="AE55" s="136"/>
      <c r="AF55" s="131" t="str">
        <f t="shared" si="21"/>
        <v>#DIV/0!</v>
      </c>
      <c r="AG55" s="131"/>
    </row>
    <row r="56">
      <c r="P56" s="93"/>
      <c r="Q56" s="123" t="s">
        <v>4079</v>
      </c>
      <c r="R56" s="124">
        <v>0.0</v>
      </c>
      <c r="S56" s="139">
        <f>COUNTIFS(US!$A:$A, "&gt;=" &amp; DATE(YEAR(TODAY()),12,1), US!$A:$A, "&lt;=" &amp; EOMONTH(DATE(YEAR(TODAY()),12,1), 0))</f>
        <v>0</v>
      </c>
      <c r="T56" s="139">
        <f>COUNTIFS(US!$A:$A, "&gt;=" &amp; DATE(YEAR(TODAY()),12,1), US!$A:$A, "&lt;=" &amp; EOMONTH(DATE(YEAR(TODAY()),12,1), 0), US!$H:$H, "Booket til time")</f>
        <v>0</v>
      </c>
      <c r="U56" s="126" t="str">
        <f t="shared" si="15"/>
        <v>#DIV/0!</v>
      </c>
      <c r="V56" s="126" t="str">
        <f t="shared" si="16"/>
        <v>#DIV/0!</v>
      </c>
      <c r="W56" s="140" t="str">
        <f>$H$168</f>
        <v>#DIV/0!</v>
      </c>
      <c r="X56" s="126">
        <f t="shared" si="17"/>
        <v>0</v>
      </c>
      <c r="Y56" s="126">
        <f t="shared" si="18"/>
        <v>0</v>
      </c>
      <c r="Z56" s="128" t="str">
        <f>$L$159</f>
        <v>#DIV/0!</v>
      </c>
      <c r="AA56" s="129">
        <f t="shared" si="19"/>
        <v>0</v>
      </c>
      <c r="AB56" s="141">
        <f>COUNTIFS(US!$A:$A, "&gt;=" &amp; DATE(YEAR(TODAY()),12,1), US!$A:$A, "&lt;=" &amp; EOMONTH(DATE(YEAR(TODAY()),12,1), 0), US!$G:$G, "Ja")</f>
        <v>0</v>
      </c>
      <c r="AC56" s="129">
        <f t="shared" si="20"/>
        <v>0</v>
      </c>
      <c r="AD56" s="131" t="str">
        <f t="shared" si="23"/>
        <v>#DIV/0!</v>
      </c>
      <c r="AE56" s="136"/>
      <c r="AF56" s="131" t="str">
        <f t="shared" si="21"/>
        <v>#DIV/0!</v>
      </c>
      <c r="AG56" s="131"/>
    </row>
    <row r="57">
      <c r="P57" s="93"/>
      <c r="Q57" s="123" t="s">
        <v>4080</v>
      </c>
      <c r="R57" s="134">
        <f t="shared" ref="R57:T57" si="24">SUM(R45:R56)</f>
        <v>0</v>
      </c>
      <c r="S57" s="123">
        <f t="shared" si="24"/>
        <v>19</v>
      </c>
      <c r="T57" s="123">
        <f t="shared" si="24"/>
        <v>13</v>
      </c>
      <c r="U57" s="134">
        <f t="shared" si="15"/>
        <v>0</v>
      </c>
      <c r="V57" s="134">
        <f t="shared" si="16"/>
        <v>0</v>
      </c>
      <c r="W57" s="142" t="str">
        <f>Y57/R57</f>
        <v>#DIV/0!</v>
      </c>
      <c r="X57" s="134">
        <f t="shared" ref="X57:Y57" si="25">SUM(X45:X56)</f>
        <v>15140</v>
      </c>
      <c r="Y57" s="134">
        <f t="shared" si="25"/>
        <v>33470</v>
      </c>
      <c r="Z57" s="135">
        <f>T57/S57</f>
        <v>0.6842105263</v>
      </c>
      <c r="AA57" s="134">
        <f t="shared" ref="AA57:AC57" si="26">SUM(AA45:AA56)</f>
        <v>7670</v>
      </c>
      <c r="AB57" s="123">
        <f t="shared" si="26"/>
        <v>3</v>
      </c>
      <c r="AC57" s="134">
        <f t="shared" si="26"/>
        <v>7470</v>
      </c>
      <c r="AD57" s="143">
        <f t="shared" si="23"/>
        <v>0.1578947368</v>
      </c>
      <c r="AE57" s="123">
        <f>SUM(AE45:AE56)</f>
        <v>125</v>
      </c>
      <c r="AF57" s="135">
        <f t="shared" si="21"/>
        <v>0.152</v>
      </c>
      <c r="AG57" s="94"/>
    </row>
    <row r="58">
      <c r="P58" s="93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94"/>
      <c r="AE58" s="94"/>
      <c r="AF58" s="94"/>
      <c r="AG58" s="94"/>
    </row>
    <row r="59">
      <c r="P59" s="93"/>
      <c r="Q59" s="138" t="s">
        <v>4088</v>
      </c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94"/>
      <c r="AE59" s="94"/>
      <c r="AF59" s="94"/>
      <c r="AG59" s="94"/>
    </row>
    <row r="60">
      <c r="P60" s="93"/>
      <c r="Q60" s="118" t="s">
        <v>4063</v>
      </c>
      <c r="R60" s="118" t="s">
        <v>4057</v>
      </c>
      <c r="S60" s="118" t="s">
        <v>4052</v>
      </c>
      <c r="T60" s="118" t="s">
        <v>4064</v>
      </c>
      <c r="U60" s="118" t="s">
        <v>4051</v>
      </c>
      <c r="V60" s="118" t="s">
        <v>4054</v>
      </c>
      <c r="W60" s="118" t="s">
        <v>4065</v>
      </c>
      <c r="X60" s="119" t="s">
        <v>4058</v>
      </c>
      <c r="Y60" s="119" t="s">
        <v>4066</v>
      </c>
      <c r="Z60" s="120" t="s">
        <v>4067</v>
      </c>
      <c r="AA60" s="120" t="s">
        <v>4056</v>
      </c>
      <c r="AB60" s="120" t="s">
        <v>4062</v>
      </c>
      <c r="AC60" s="120" t="s">
        <v>4059</v>
      </c>
      <c r="AD60" s="121" t="s">
        <v>4068</v>
      </c>
      <c r="AE60" s="122" t="s">
        <v>4069</v>
      </c>
      <c r="AF60" s="121" t="s">
        <v>4070</v>
      </c>
      <c r="AG60" s="121"/>
    </row>
    <row r="61">
      <c r="P61" s="93"/>
      <c r="Q61" s="123" t="s">
        <v>4071</v>
      </c>
      <c r="R61" s="124">
        <v>0.0</v>
      </c>
      <c r="S61" s="139">
        <f>COUNTIFS(US!$A:$A, "&gt;=" &amp; DATE(YEAR(TODAY()),1,1), US!$A:$A, "&lt;=" &amp; EOMONTH(DATE(YEAR(TODAY()),1,1), 0))</f>
        <v>0</v>
      </c>
      <c r="T61" s="139">
        <f>COUNTIFS(US!$A:$A, "&gt;=" &amp; DATE(YEAR(TODAY()),1,1), US!$A:$A, "&lt;=" &amp; EOMONTH(DATE(YEAR(TODAY()),1,1), 0), US!$H:$H, "Booket til time")</f>
        <v>0</v>
      </c>
      <c r="U61" s="126" t="str">
        <f t="shared" ref="U61:U73" si="27">R61/S61</f>
        <v>#DIV/0!</v>
      </c>
      <c r="V61" s="126" t="str">
        <f t="shared" ref="V61:V73" si="28">R61/T61</f>
        <v>#DIV/0!</v>
      </c>
      <c r="W61" s="140" t="str">
        <f>$B$88</f>
        <v>#DIV/0!</v>
      </c>
      <c r="X61" s="126">
        <f t="shared" ref="X61:X72" si="29">($S$32*T61)+AC61</f>
        <v>0</v>
      </c>
      <c r="Y61" s="126">
        <f t="shared" ref="Y61:Y72" si="30">($S$33*T61)+AC61</f>
        <v>0</v>
      </c>
      <c r="Z61" s="128" t="str">
        <f>$F$79</f>
        <v>#DIV/0!</v>
      </c>
      <c r="AA61" s="129">
        <f t="shared" ref="AA61:AA72" si="31">T61*$S$32</f>
        <v>0</v>
      </c>
      <c r="AB61" s="136">
        <f>COUNTIFS(US!$A:$A, "&gt;=" &amp; DATE(YEAR(TODAY()),1,1), US!$A:$A, "&lt;=" &amp; EOMONTH(DATE(YEAR(TODAY()),1,1), 0), US!$G:$G, "Ja")</f>
        <v>0</v>
      </c>
      <c r="AC61" s="129">
        <f t="shared" ref="AC61:AC72" si="32">AB61*$S$34</f>
        <v>0</v>
      </c>
      <c r="AD61" s="131" t="str">
        <f>F131/D122</f>
        <v>#DIV/0!</v>
      </c>
      <c r="AE61" s="136">
        <v>0.0</v>
      </c>
      <c r="AF61" s="131" t="str">
        <f t="shared" ref="AF61:AF73" si="33">S61/AE61</f>
        <v>#DIV/0!</v>
      </c>
      <c r="AG61" s="131"/>
    </row>
    <row r="62">
      <c r="P62" s="93"/>
      <c r="Q62" s="123" t="s">
        <v>2161</v>
      </c>
      <c r="R62" s="124">
        <v>0.0</v>
      </c>
      <c r="S62" s="139">
        <f>COUNTIFS(US!$A:$A, "&gt;=" &amp; DATE(YEAR(TODAY()),2,1), US!$A:$A, "&lt;=" &amp; EOMONTH(DATE(YEAR(TODAY()),2,1), 0))</f>
        <v>0</v>
      </c>
      <c r="T62" s="139">
        <f>COUNTIFS(US!$A:$A, "&gt;=" &amp; DATE(YEAR(TODAY()),2,1), US!$A:$A, "&lt;=" &amp; EOMONTH(DATE(YEAR(TODAY()),2,1), 0), US!$H:$H, "Booket til time")</f>
        <v>0</v>
      </c>
      <c r="U62" s="126" t="str">
        <f t="shared" si="27"/>
        <v>#DIV/0!</v>
      </c>
      <c r="V62" s="126" t="str">
        <f t="shared" si="28"/>
        <v>#DIV/0!</v>
      </c>
      <c r="W62" s="140" t="str">
        <f>$H$88</f>
        <v>#DIV/0!</v>
      </c>
      <c r="X62" s="126">
        <f t="shared" si="29"/>
        <v>0</v>
      </c>
      <c r="Y62" s="126">
        <f t="shared" si="30"/>
        <v>0</v>
      </c>
      <c r="Z62" s="128" t="str">
        <f>$L$79</f>
        <v>#DIV/0!</v>
      </c>
      <c r="AA62" s="129">
        <f t="shared" si="31"/>
        <v>0</v>
      </c>
      <c r="AB62" s="141">
        <f>COUNTIFS(US!$A:$A, "&gt;=" &amp; DATE(YEAR(TODAY()),2,1), US!$A:$A, "&lt;=" &amp; EOMONTH(DATE(YEAR(TODAY()),2,1), 0), US!$G:$G, "Ja")</f>
        <v>0</v>
      </c>
      <c r="AC62" s="129">
        <f t="shared" si="32"/>
        <v>0</v>
      </c>
      <c r="AD62" s="131" t="str">
        <f t="shared" ref="AD62:AD63" si="34">L131/J122</f>
        <v>#DIV/0!</v>
      </c>
      <c r="AE62" s="136">
        <v>0.0</v>
      </c>
      <c r="AF62" s="131" t="str">
        <f t="shared" si="33"/>
        <v>#DIV/0!</v>
      </c>
      <c r="AG62" s="131"/>
    </row>
    <row r="63">
      <c r="P63" s="93"/>
      <c r="Q63" s="123" t="s">
        <v>2763</v>
      </c>
      <c r="R63" s="124">
        <v>0.0</v>
      </c>
      <c r="S63" s="139">
        <f>COUNTIFS(US!$A:$A, "&gt;=" &amp; DATE(YEAR(TODAY()),3,1), US!$A:$A, "&lt;=" &amp; EOMONTH(DATE(YEAR(TODAY()),3,1), 0))</f>
        <v>0</v>
      </c>
      <c r="T63" s="139">
        <f>COUNTIFS(US!$A:$A, "&gt;=" &amp; DATE(YEAR(TODAY()),3,1), US!$A:$A, "&lt;=" &amp; EOMONTH(DATE(YEAR(TODAY()),3,1), 0), US!$H:$H, "Booket til time")</f>
        <v>0</v>
      </c>
      <c r="U63" s="126" t="str">
        <f t="shared" si="27"/>
        <v>#DIV/0!</v>
      </c>
      <c r="V63" s="126" t="str">
        <f t="shared" si="28"/>
        <v>#DIV/0!</v>
      </c>
      <c r="W63" s="140" t="str">
        <f>$B$104</f>
        <v>#DIV/0!</v>
      </c>
      <c r="X63" s="126">
        <f t="shared" si="29"/>
        <v>0</v>
      </c>
      <c r="Y63" s="126">
        <f t="shared" si="30"/>
        <v>0</v>
      </c>
      <c r="Z63" s="128" t="str">
        <f>$F$95</f>
        <v>#DIV/0!</v>
      </c>
      <c r="AA63" s="129">
        <f t="shared" si="31"/>
        <v>0</v>
      </c>
      <c r="AB63" s="141">
        <f>COUNTIFS(US!$A:$A, "&gt;=" &amp; DATE(YEAR(TODAY()),3,1), US!$A:$A, "&lt;=" &amp; EOMONTH(DATE(YEAR(TODAY()),3,1), 0), US!$G:$G, "Ja")</f>
        <v>0</v>
      </c>
      <c r="AC63" s="129">
        <f t="shared" si="32"/>
        <v>0</v>
      </c>
      <c r="AD63" s="131" t="str">
        <f t="shared" si="34"/>
        <v>#VALUE!</v>
      </c>
      <c r="AE63" s="136">
        <v>123.0</v>
      </c>
      <c r="AF63" s="131">
        <f t="shared" si="33"/>
        <v>0</v>
      </c>
      <c r="AG63" s="131"/>
    </row>
    <row r="64">
      <c r="P64" s="93"/>
      <c r="Q64" s="123" t="s">
        <v>4072</v>
      </c>
      <c r="R64" s="124">
        <v>0.0</v>
      </c>
      <c r="S64" s="139">
        <f>COUNTIFS(US!$A:$A, "&gt;=" &amp; DATE(YEAR(TODAY()),4,1), US!$A:$A, "&lt;=" &amp; EOMONTH(DATE(YEAR(TODAY()),4,1), 0))</f>
        <v>0</v>
      </c>
      <c r="T64" s="139">
        <f>COUNTIFS(US!$A:$A, "&gt;=" &amp; DATE(YEAR(TODAY()),4,1), US!$A:$A, "&lt;=" &amp; EOMONTH(DATE(YEAR(TODAY()),4,1), 0), US!$H:$H, "Booket til time")</f>
        <v>0</v>
      </c>
      <c r="U64" s="126" t="str">
        <f t="shared" si="27"/>
        <v>#DIV/0!</v>
      </c>
      <c r="V64" s="126" t="str">
        <f t="shared" si="28"/>
        <v>#DIV/0!</v>
      </c>
      <c r="W64" s="140" t="str">
        <f>$H$104</f>
        <v>#DIV/0!</v>
      </c>
      <c r="X64" s="126">
        <f t="shared" si="29"/>
        <v>0</v>
      </c>
      <c r="Y64" s="126">
        <f t="shared" si="30"/>
        <v>0</v>
      </c>
      <c r="Z64" s="128" t="str">
        <f>$L$95</f>
        <v>#DIV/0!</v>
      </c>
      <c r="AA64" s="129">
        <f t="shared" si="31"/>
        <v>0</v>
      </c>
      <c r="AB64" s="141">
        <f>COUNTIFS(US!$A:$A, "&gt;=" &amp; DATE(YEAR(TODAY()),4,1), US!$A:$A, "&lt;=" &amp; EOMONTH(DATE(YEAR(TODAY()),4,1), 0), US!$G:$G, "Ja")</f>
        <v>0</v>
      </c>
      <c r="AC64" s="129">
        <f t="shared" si="32"/>
        <v>0</v>
      </c>
      <c r="AD64" s="131" t="str">
        <f t="shared" ref="AD64:AD73" si="35">AB64/S64</f>
        <v>#DIV/0!</v>
      </c>
      <c r="AE64" s="136"/>
      <c r="AF64" s="131" t="str">
        <f t="shared" si="33"/>
        <v>#DIV/0!</v>
      </c>
      <c r="AG64" s="131"/>
    </row>
    <row r="65">
      <c r="P65" s="93"/>
      <c r="Q65" s="123" t="s">
        <v>4073</v>
      </c>
      <c r="R65" s="124">
        <v>0.0</v>
      </c>
      <c r="S65" s="139">
        <f>COUNTIFS(US!$A:$A, "&gt;=" &amp; DATE(YEAR(TODAY()),5,1), US!$A:$A, "&lt;=" &amp; EOMONTH(DATE(YEAR(TODAY()),5,1), 0))</f>
        <v>0</v>
      </c>
      <c r="T65" s="139">
        <f>COUNTIFS(US!$A:$A, "&gt;=" &amp; DATE(YEAR(TODAY()),5,1), US!$A:$A, "&lt;=" &amp; EOMONTH(DATE(YEAR(TODAY()),5,1), 0), US!$H:$H, "Booket til time")</f>
        <v>0</v>
      </c>
      <c r="U65" s="126" t="str">
        <f t="shared" si="27"/>
        <v>#DIV/0!</v>
      </c>
      <c r="V65" s="126" t="str">
        <f t="shared" si="28"/>
        <v>#DIV/0!</v>
      </c>
      <c r="W65" s="140" t="str">
        <f>$B$120</f>
        <v>#DIV/0!</v>
      </c>
      <c r="X65" s="126">
        <f t="shared" si="29"/>
        <v>0</v>
      </c>
      <c r="Y65" s="126">
        <f t="shared" si="30"/>
        <v>0</v>
      </c>
      <c r="Z65" s="128" t="str">
        <f>$F$111</f>
        <v>#DIV/0!</v>
      </c>
      <c r="AA65" s="129">
        <f t="shared" si="31"/>
        <v>0</v>
      </c>
      <c r="AB65" s="141">
        <f>COUNTIFS(US!$A:$A, "&gt;=" &amp; DATE(YEAR(TODAY()),5,1), US!$A:$A, "&lt;=" &amp; EOMONTH(DATE(YEAR(TODAY()),5,1), 0), US!$G:$G, "Ja")</f>
        <v>0</v>
      </c>
      <c r="AC65" s="129">
        <f t="shared" si="32"/>
        <v>0</v>
      </c>
      <c r="AD65" s="131" t="str">
        <f t="shared" si="35"/>
        <v>#DIV/0!</v>
      </c>
      <c r="AE65" s="136"/>
      <c r="AF65" s="131" t="str">
        <f t="shared" si="33"/>
        <v>#DIV/0!</v>
      </c>
      <c r="AG65" s="131"/>
    </row>
    <row r="66">
      <c r="P66" s="93"/>
      <c r="Q66" s="123" t="s">
        <v>4074</v>
      </c>
      <c r="R66" s="124">
        <v>0.0</v>
      </c>
      <c r="S66" s="139">
        <f>COUNTIFS(US!$A:$A, "&gt;=" &amp; DATE(YEAR(TODAY()),6,1), US!$A:$A, "&lt;=" &amp; EOMONTH(DATE(YEAR(TODAY()),6,1), 0))</f>
        <v>0</v>
      </c>
      <c r="T66" s="139">
        <f>COUNTIFS(US!$A:$A, "&gt;=" &amp; DATE(YEAR(TODAY()),6,1), US!$A:$A, "&lt;=" &amp; EOMONTH(DATE(YEAR(TODAY()),6,1), 0), US!$H:$H, "Booket til time")</f>
        <v>0</v>
      </c>
      <c r="U66" s="126" t="str">
        <f t="shared" si="27"/>
        <v>#DIV/0!</v>
      </c>
      <c r="V66" s="126" t="str">
        <f t="shared" si="28"/>
        <v>#DIV/0!</v>
      </c>
      <c r="W66" s="140" t="str">
        <f>$H$120</f>
        <v>#DIV/0!</v>
      </c>
      <c r="X66" s="126">
        <f t="shared" si="29"/>
        <v>0</v>
      </c>
      <c r="Y66" s="126">
        <f t="shared" si="30"/>
        <v>0</v>
      </c>
      <c r="Z66" s="128" t="str">
        <f>$L$111</f>
        <v>#DIV/0!</v>
      </c>
      <c r="AA66" s="129">
        <f t="shared" si="31"/>
        <v>0</v>
      </c>
      <c r="AB66" s="141">
        <f>COUNTIFS(US!$A:$A, "&gt;=" &amp; DATE(YEAR(TODAY()),6,1), US!$A:$A, "&lt;=" &amp; EOMONTH(DATE(YEAR(TODAY()),6,1), 0), US!$G:$G, "Ja")</f>
        <v>0</v>
      </c>
      <c r="AC66" s="129">
        <f t="shared" si="32"/>
        <v>0</v>
      </c>
      <c r="AD66" s="131" t="str">
        <f t="shared" si="35"/>
        <v>#DIV/0!</v>
      </c>
      <c r="AE66" s="136"/>
      <c r="AF66" s="131" t="str">
        <f t="shared" si="33"/>
        <v>#DIV/0!</v>
      </c>
      <c r="AG66" s="131"/>
    </row>
    <row r="67">
      <c r="P67" s="93"/>
      <c r="Q67" s="123" t="s">
        <v>4075</v>
      </c>
      <c r="R67" s="124">
        <v>0.0</v>
      </c>
      <c r="S67" s="139">
        <f>COUNTIFS(US!$A:$A, "&gt;=" &amp; DATE(YEAR(TODAY()),7,1), US!$A:$A, "&lt;=" &amp; EOMONTH(DATE(YEAR(TODAY()),7,1), 0))</f>
        <v>19</v>
      </c>
      <c r="T67" s="139">
        <f>COUNTIFS(US!$A:$A, "&gt;=" &amp; DATE(YEAR(TODAY()),7,1), US!$A:$A, "&lt;=" &amp; EOMONTH(DATE(YEAR(TODAY()),7,1), 0), US!$H:$H, "Booket til time")</f>
        <v>13</v>
      </c>
      <c r="U67" s="126">
        <f t="shared" si="27"/>
        <v>0</v>
      </c>
      <c r="V67" s="126">
        <f t="shared" si="28"/>
        <v>0</v>
      </c>
      <c r="W67" s="140" t="str">
        <f>$B$136</f>
        <v>#DIV/0!</v>
      </c>
      <c r="X67" s="126">
        <f t="shared" si="29"/>
        <v>15140</v>
      </c>
      <c r="Y67" s="126">
        <f t="shared" si="30"/>
        <v>33470</v>
      </c>
      <c r="Z67" s="128">
        <f>$F$127</f>
        <v>0.6842105263</v>
      </c>
      <c r="AA67" s="129">
        <f t="shared" si="31"/>
        <v>7670</v>
      </c>
      <c r="AB67" s="141">
        <f>COUNTIFS(US!$A:$A, "&gt;=" &amp; DATE(YEAR(TODAY()),7,1), US!$A:$A, "&lt;=" &amp; EOMONTH(DATE(YEAR(TODAY()),7,1), 0), US!$G:$G, "Ja")</f>
        <v>3</v>
      </c>
      <c r="AC67" s="129">
        <f t="shared" si="32"/>
        <v>7470</v>
      </c>
      <c r="AD67" s="131">
        <f t="shared" si="35"/>
        <v>0.1578947368</v>
      </c>
      <c r="AE67" s="136"/>
      <c r="AF67" s="131" t="str">
        <f t="shared" si="33"/>
        <v>#DIV/0!</v>
      </c>
      <c r="AG67" s="131"/>
    </row>
    <row r="68">
      <c r="P68" s="93"/>
      <c r="Q68" s="123" t="s">
        <v>42</v>
      </c>
      <c r="R68" s="124">
        <v>0.0</v>
      </c>
      <c r="S68" s="139">
        <f>COUNTIFS(US!$A:$A, "&gt;=" &amp; DATE(YEAR(TODAY()),8,1), US!$A:$A, "&lt;=" &amp; EOMONTH(DATE(YEAR(TODAY()),8,1), 0))</f>
        <v>0</v>
      </c>
      <c r="T68" s="139">
        <f>COUNTIFS(US!$A:$A, "&gt;=" &amp; DATE(YEAR(TODAY()),8,1), US!$A:$A, "&lt;=" &amp; EOMONTH(DATE(YEAR(TODAY()),8,1), 0), US!$H:$H, "Booket til time")</f>
        <v>0</v>
      </c>
      <c r="U68" s="126" t="str">
        <f t="shared" si="27"/>
        <v>#DIV/0!</v>
      </c>
      <c r="V68" s="126" t="str">
        <f t="shared" si="28"/>
        <v>#DIV/0!</v>
      </c>
      <c r="W68" s="140" t="str">
        <f>$H$136</f>
        <v>#DIV/0!</v>
      </c>
      <c r="X68" s="126">
        <f t="shared" si="29"/>
        <v>0</v>
      </c>
      <c r="Y68" s="126">
        <f t="shared" si="30"/>
        <v>0</v>
      </c>
      <c r="Z68" s="128" t="str">
        <f>$L$127</f>
        <v>#DIV/0!</v>
      </c>
      <c r="AA68" s="129">
        <f t="shared" si="31"/>
        <v>0</v>
      </c>
      <c r="AB68" s="141">
        <f>COUNTIFS(US!$A:$A, "&gt;=" &amp; DATE(YEAR(TODAY()),8,1), US!$A:$A, "&lt;=" &amp; EOMONTH(DATE(YEAR(TODAY()),8,1), 0), US!$G:$G, "Ja")</f>
        <v>0</v>
      </c>
      <c r="AC68" s="129">
        <f t="shared" si="32"/>
        <v>0</v>
      </c>
      <c r="AD68" s="131" t="str">
        <f t="shared" si="35"/>
        <v>#DIV/0!</v>
      </c>
      <c r="AE68" s="136"/>
      <c r="AF68" s="131" t="str">
        <f t="shared" si="33"/>
        <v>#DIV/0!</v>
      </c>
      <c r="AG68" s="131"/>
    </row>
    <row r="69">
      <c r="P69" s="93"/>
      <c r="Q69" s="123" t="s">
        <v>4076</v>
      </c>
      <c r="R69" s="124">
        <v>0.0</v>
      </c>
      <c r="S69" s="139">
        <f>COUNTIFS(US!$A:$A, "&gt;=" &amp; DATE(YEAR(TODAY()),9,1), US!$A:$A, "&lt;=" &amp; EOMONTH(DATE(YEAR(TODAY()),9,1), 0))</f>
        <v>0</v>
      </c>
      <c r="T69" s="139">
        <f>COUNTIFS(US!$A:$A, "&gt;=" &amp; DATE(YEAR(TODAY()),9,1), US!$A:$A, "&lt;=" &amp; EOMONTH(DATE(YEAR(TODAY()),9,1), 0), US!$H:$H, "Booket til time")</f>
        <v>0</v>
      </c>
      <c r="U69" s="126" t="str">
        <f t="shared" si="27"/>
        <v>#DIV/0!</v>
      </c>
      <c r="V69" s="126" t="str">
        <f t="shared" si="28"/>
        <v>#DIV/0!</v>
      </c>
      <c r="W69" s="140" t="str">
        <f>$B$152</f>
        <v>#DIV/0!</v>
      </c>
      <c r="X69" s="126">
        <f t="shared" si="29"/>
        <v>0</v>
      </c>
      <c r="Y69" s="126">
        <f t="shared" si="30"/>
        <v>0</v>
      </c>
      <c r="Z69" s="128" t="str">
        <f>$F$143</f>
        <v>#DIV/0!</v>
      </c>
      <c r="AA69" s="129">
        <f t="shared" si="31"/>
        <v>0</v>
      </c>
      <c r="AB69" s="141">
        <f>COUNTIFS(US!$A:$A, "&gt;=" &amp; DATE(YEAR(TODAY()),9,1), US!$A:$A, "&lt;=" &amp; EOMONTH(DATE(YEAR(TODAY()),9,1), 0), US!$G:$G, "Ja")</f>
        <v>0</v>
      </c>
      <c r="AC69" s="129">
        <f t="shared" si="32"/>
        <v>0</v>
      </c>
      <c r="AD69" s="131" t="str">
        <f t="shared" si="35"/>
        <v>#DIV/0!</v>
      </c>
      <c r="AE69" s="136"/>
      <c r="AF69" s="131" t="str">
        <f t="shared" si="33"/>
        <v>#DIV/0!</v>
      </c>
      <c r="AG69" s="131"/>
    </row>
    <row r="70">
      <c r="P70" s="93"/>
      <c r="Q70" s="123" t="s">
        <v>4077</v>
      </c>
      <c r="R70" s="124">
        <v>0.0</v>
      </c>
      <c r="S70" s="139">
        <f>COUNTIFS(US!$A:$A, "&gt;=" &amp; DATE(YEAR(TODAY()),10,1), US!$A:$A, "&lt;=" &amp; EOMONTH(DATE(YEAR(TODAY()),10,1), 0))</f>
        <v>0</v>
      </c>
      <c r="T70" s="139">
        <f>COUNTIFS(US!$A:$A, "&gt;=" &amp; DATE(YEAR(TODAY()),10,1), US!$A:$A, "&lt;=" &amp; EOMONTH(DATE(YEAR(TODAY()),10,1), 0), US!$H:$H, "Booket til time")</f>
        <v>0</v>
      </c>
      <c r="U70" s="126" t="str">
        <f t="shared" si="27"/>
        <v>#DIV/0!</v>
      </c>
      <c r="V70" s="126" t="str">
        <f t="shared" si="28"/>
        <v>#DIV/0!</v>
      </c>
      <c r="W70" s="140" t="str">
        <f>$H$152</f>
        <v>#DIV/0!</v>
      </c>
      <c r="X70" s="126">
        <f t="shared" si="29"/>
        <v>0</v>
      </c>
      <c r="Y70" s="126">
        <f t="shared" si="30"/>
        <v>0</v>
      </c>
      <c r="Z70" s="128" t="str">
        <f>$L$143</f>
        <v>#DIV/0!</v>
      </c>
      <c r="AA70" s="129">
        <f t="shared" si="31"/>
        <v>0</v>
      </c>
      <c r="AB70" s="141">
        <f>COUNTIFS(US!$A:$A, "&gt;=" &amp; DATE(YEAR(TODAY()),10,1), US!$A:$A, "&lt;=" &amp; EOMONTH(DATE(YEAR(TODAY()),10,1), 0), US!$G:$G, "Ja")</f>
        <v>0</v>
      </c>
      <c r="AC70" s="129">
        <f t="shared" si="32"/>
        <v>0</v>
      </c>
      <c r="AD70" s="131" t="str">
        <f t="shared" si="35"/>
        <v>#DIV/0!</v>
      </c>
      <c r="AE70" s="136"/>
      <c r="AF70" s="131" t="str">
        <f t="shared" si="33"/>
        <v>#DIV/0!</v>
      </c>
      <c r="AG70" s="131"/>
    </row>
    <row r="71">
      <c r="P71" s="93"/>
      <c r="Q71" s="123" t="s">
        <v>4078</v>
      </c>
      <c r="R71" s="124">
        <v>0.0</v>
      </c>
      <c r="S71" s="139">
        <f>COUNTIFS(US!$A:$A, "&gt;=" &amp; DATE(YEAR(TODAY()),11,1), US!$A:$A, "&lt;=" &amp; EOMONTH(DATE(YEAR(TODAY()),11,1), 0))</f>
        <v>0</v>
      </c>
      <c r="T71" s="139">
        <f>COUNTIFS(US!$A:$A, "&gt;=" &amp; DATE(YEAR(TODAY()),11,1), US!$A:$A, "&lt;=" &amp; EOMONTH(DATE(YEAR(TODAY()),11,1), 0), US!$H:$H, "Booket til time")</f>
        <v>0</v>
      </c>
      <c r="U71" s="126" t="str">
        <f t="shared" si="27"/>
        <v>#DIV/0!</v>
      </c>
      <c r="V71" s="126" t="str">
        <f t="shared" si="28"/>
        <v>#DIV/0!</v>
      </c>
      <c r="W71" s="140" t="str">
        <f>$B$168</f>
        <v>#DIV/0!</v>
      </c>
      <c r="X71" s="126">
        <f t="shared" si="29"/>
        <v>0</v>
      </c>
      <c r="Y71" s="126">
        <f t="shared" si="30"/>
        <v>0</v>
      </c>
      <c r="Z71" s="128" t="str">
        <f>$F$159</f>
        <v>#DIV/0!</v>
      </c>
      <c r="AA71" s="129">
        <f t="shared" si="31"/>
        <v>0</v>
      </c>
      <c r="AB71" s="141">
        <f>COUNTIFS(US!$A:$A, "&gt;=" &amp; DATE(YEAR(TODAY()),11,1), US!$A:$A, "&lt;=" &amp; EOMONTH(DATE(YEAR(TODAY()),11,1), 0), US!$G:$G, "Ja")</f>
        <v>0</v>
      </c>
      <c r="AC71" s="129">
        <f t="shared" si="32"/>
        <v>0</v>
      </c>
      <c r="AD71" s="131" t="str">
        <f t="shared" si="35"/>
        <v>#DIV/0!</v>
      </c>
      <c r="AE71" s="136"/>
      <c r="AF71" s="131" t="str">
        <f t="shared" si="33"/>
        <v>#DIV/0!</v>
      </c>
      <c r="AG71" s="131"/>
    </row>
    <row r="72">
      <c r="P72" s="93"/>
      <c r="Q72" s="123" t="s">
        <v>4079</v>
      </c>
      <c r="R72" s="124">
        <v>0.0</v>
      </c>
      <c r="S72" s="139">
        <f>COUNTIFS(US!$A:$A, "&gt;=" &amp; DATE(YEAR(TODAY()),12,1), US!$A:$A, "&lt;=" &amp; EOMONTH(DATE(YEAR(TODAY()),12,1), 0))</f>
        <v>0</v>
      </c>
      <c r="T72" s="139">
        <f>COUNTIFS(US!$A:$A, "&gt;=" &amp; DATE(YEAR(TODAY()),12,1), US!$A:$A, "&lt;=" &amp; EOMONTH(DATE(YEAR(TODAY()),12,1), 0), US!$H:$H, "Booket til time")</f>
        <v>0</v>
      </c>
      <c r="U72" s="126" t="str">
        <f t="shared" si="27"/>
        <v>#DIV/0!</v>
      </c>
      <c r="V72" s="126" t="str">
        <f t="shared" si="28"/>
        <v>#DIV/0!</v>
      </c>
      <c r="W72" s="140" t="str">
        <f>$H$168</f>
        <v>#DIV/0!</v>
      </c>
      <c r="X72" s="126">
        <f t="shared" si="29"/>
        <v>0</v>
      </c>
      <c r="Y72" s="126">
        <f t="shared" si="30"/>
        <v>0</v>
      </c>
      <c r="Z72" s="128" t="str">
        <f>$L$159</f>
        <v>#DIV/0!</v>
      </c>
      <c r="AA72" s="129">
        <f t="shared" si="31"/>
        <v>0</v>
      </c>
      <c r="AB72" s="141">
        <f>COUNTIFS(US!$A:$A, "&gt;=" &amp; DATE(YEAR(TODAY()),12,1), US!$A:$A, "&lt;=" &amp; EOMONTH(DATE(YEAR(TODAY()),12,1), 0), US!$G:$G, "Ja")</f>
        <v>0</v>
      </c>
      <c r="AC72" s="129">
        <f t="shared" si="32"/>
        <v>0</v>
      </c>
      <c r="AD72" s="131" t="str">
        <f t="shared" si="35"/>
        <v>#DIV/0!</v>
      </c>
      <c r="AE72" s="136"/>
      <c r="AF72" s="131" t="str">
        <f t="shared" si="33"/>
        <v>#DIV/0!</v>
      </c>
      <c r="AG72" s="131"/>
    </row>
    <row r="73">
      <c r="F73" s="144"/>
      <c r="P73" s="93"/>
      <c r="Q73" s="123" t="s">
        <v>4080</v>
      </c>
      <c r="R73" s="134">
        <f t="shared" ref="R73:T73" si="36">SUM(R61:R72)</f>
        <v>0</v>
      </c>
      <c r="S73" s="123">
        <f t="shared" si="36"/>
        <v>19</v>
      </c>
      <c r="T73" s="123">
        <f t="shared" si="36"/>
        <v>13</v>
      </c>
      <c r="U73" s="134">
        <f t="shared" si="27"/>
        <v>0</v>
      </c>
      <c r="V73" s="134">
        <f t="shared" si="28"/>
        <v>0</v>
      </c>
      <c r="W73" s="142" t="str">
        <f>Y73/R73</f>
        <v>#DIV/0!</v>
      </c>
      <c r="X73" s="134">
        <f t="shared" ref="X73:Y73" si="37">SUM(X61:X72)</f>
        <v>15140</v>
      </c>
      <c r="Y73" s="134">
        <f t="shared" si="37"/>
        <v>33470</v>
      </c>
      <c r="Z73" s="135">
        <f>T73/S73</f>
        <v>0.6842105263</v>
      </c>
      <c r="AA73" s="134">
        <f t="shared" ref="AA73:AC73" si="38">SUM(AA61:AA72)</f>
        <v>7670</v>
      </c>
      <c r="AB73" s="123">
        <f t="shared" si="38"/>
        <v>3</v>
      </c>
      <c r="AC73" s="134">
        <f t="shared" si="38"/>
        <v>7470</v>
      </c>
      <c r="AD73" s="143">
        <f t="shared" si="35"/>
        <v>0.1578947368</v>
      </c>
      <c r="AE73" s="123">
        <f>SUM(AE61:AE72)</f>
        <v>123</v>
      </c>
      <c r="AF73" s="135">
        <f t="shared" si="33"/>
        <v>0.1544715447</v>
      </c>
      <c r="AG73" s="94"/>
    </row>
    <row r="74"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4"/>
      <c r="AE74" s="94"/>
      <c r="AF74" s="94"/>
      <c r="AG74" s="94"/>
    </row>
    <row r="75"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4"/>
      <c r="AE75" s="94"/>
      <c r="AF75" s="94"/>
      <c r="AG75" s="94"/>
    </row>
    <row r="76">
      <c r="A76" s="95"/>
      <c r="B76" s="96" t="s">
        <v>4089</v>
      </c>
      <c r="C76" s="95"/>
      <c r="D76" s="95"/>
      <c r="E76" s="95"/>
      <c r="F76" s="95"/>
      <c r="G76" s="95"/>
      <c r="H76" s="96" t="s">
        <v>4090</v>
      </c>
      <c r="I76" s="95"/>
      <c r="J76" s="95"/>
      <c r="K76" s="95"/>
      <c r="L76" s="95"/>
      <c r="M76" s="95"/>
      <c r="N76" s="95"/>
      <c r="O76" s="95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4"/>
      <c r="AE76" s="94"/>
      <c r="AF76" s="94"/>
      <c r="AG76" s="94"/>
    </row>
    <row r="77">
      <c r="A77" s="95"/>
      <c r="B77" s="98"/>
      <c r="C77" s="95"/>
      <c r="D77" s="145"/>
      <c r="E77" s="95"/>
      <c r="F77" s="145"/>
      <c r="G77" s="95"/>
      <c r="H77" s="98"/>
      <c r="I77" s="95"/>
      <c r="J77" s="98"/>
      <c r="K77" s="95"/>
      <c r="L77" s="98"/>
      <c r="M77" s="95"/>
      <c r="N77" s="95"/>
      <c r="O77" s="95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4"/>
      <c r="AE77" s="94"/>
      <c r="AF77" s="94"/>
      <c r="AG77" s="94"/>
    </row>
    <row r="78">
      <c r="A78" s="99"/>
      <c r="B78" s="100" t="s">
        <v>4051</v>
      </c>
      <c r="C78" s="99"/>
      <c r="D78" s="100" t="s">
        <v>4052</v>
      </c>
      <c r="E78" s="99"/>
      <c r="F78" s="101" t="s">
        <v>4053</v>
      </c>
      <c r="G78" s="99"/>
      <c r="H78" s="100" t="s">
        <v>4051</v>
      </c>
      <c r="I78" s="99"/>
      <c r="J78" s="100" t="s">
        <v>4052</v>
      </c>
      <c r="K78" s="99"/>
      <c r="L78" s="101" t="s">
        <v>4053</v>
      </c>
      <c r="M78" s="95"/>
      <c r="N78" s="95"/>
      <c r="O78" s="95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4"/>
      <c r="AE78" s="94"/>
      <c r="AF78" s="94"/>
      <c r="AG78" s="94"/>
    </row>
    <row r="79" ht="46.5" customHeight="1">
      <c r="A79" s="102"/>
      <c r="B79" s="103" t="str">
        <f>$U$18</f>
        <v>#DIV/0!</v>
      </c>
      <c r="C79" s="104"/>
      <c r="D79" s="105">
        <f>$S$18</f>
        <v>0</v>
      </c>
      <c r="E79" s="104"/>
      <c r="F79" s="106" t="str">
        <f>$Z$18</f>
        <v>#DIV/0!</v>
      </c>
      <c r="G79" s="102"/>
      <c r="H79" s="103" t="str">
        <f>$U$19</f>
        <v>#DIV/0!</v>
      </c>
      <c r="I79" s="104"/>
      <c r="J79" s="146">
        <f>$S$19</f>
        <v>0</v>
      </c>
      <c r="K79" s="104"/>
      <c r="L79" s="106" t="str">
        <f>$Z$19</f>
        <v>#DIV/0!</v>
      </c>
      <c r="M79" s="107"/>
      <c r="N79" s="107"/>
      <c r="O79" s="107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94"/>
      <c r="AE79" s="94"/>
      <c r="AF79" s="94"/>
      <c r="AG79" s="94"/>
    </row>
    <row r="80" ht="11.25" customHeight="1">
      <c r="A80" s="95"/>
      <c r="B80" s="98"/>
      <c r="C80" s="95"/>
      <c r="D80" s="98"/>
      <c r="E80" s="95"/>
      <c r="F80" s="98"/>
      <c r="G80" s="95"/>
      <c r="H80" s="98"/>
      <c r="I80" s="95"/>
      <c r="J80" s="98"/>
      <c r="K80" s="95"/>
      <c r="L80" s="98"/>
      <c r="M80" s="95"/>
      <c r="N80" s="95"/>
      <c r="O80" s="95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4"/>
      <c r="AE80" s="94"/>
      <c r="AF80" s="94"/>
      <c r="AG80" s="94"/>
    </row>
    <row r="81">
      <c r="A81" s="99"/>
      <c r="B81" s="100" t="s">
        <v>4054</v>
      </c>
      <c r="C81" s="99"/>
      <c r="D81" s="109" t="s">
        <v>4055</v>
      </c>
      <c r="E81" s="95"/>
      <c r="F81" s="101" t="s">
        <v>4056</v>
      </c>
      <c r="G81" s="99"/>
      <c r="H81" s="100" t="s">
        <v>4054</v>
      </c>
      <c r="I81" s="99"/>
      <c r="J81" s="109" t="s">
        <v>4055</v>
      </c>
      <c r="K81" s="95"/>
      <c r="L81" s="101" t="s">
        <v>4056</v>
      </c>
      <c r="M81" s="95"/>
      <c r="N81" s="95"/>
      <c r="O81" s="95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4"/>
      <c r="AE81" s="94"/>
      <c r="AF81" s="94"/>
      <c r="AG81" s="94"/>
    </row>
    <row r="82" ht="46.5" customHeight="1">
      <c r="A82" s="102"/>
      <c r="B82" s="103" t="str">
        <f>$V$18</f>
        <v>#DIV/0!</v>
      </c>
      <c r="C82" s="104"/>
      <c r="D82" s="110">
        <f>$T$18</f>
        <v>0</v>
      </c>
      <c r="E82" s="111"/>
      <c r="F82" s="112">
        <f>$AA$18</f>
        <v>0</v>
      </c>
      <c r="G82" s="102"/>
      <c r="H82" s="103" t="str">
        <f>$V$19</f>
        <v>#DIV/0!</v>
      </c>
      <c r="I82" s="104"/>
      <c r="J82" s="147">
        <f>$T$19</f>
        <v>0</v>
      </c>
      <c r="K82" s="111"/>
      <c r="L82" s="112">
        <f>$AA$19</f>
        <v>0</v>
      </c>
      <c r="M82" s="107"/>
      <c r="N82" s="107"/>
      <c r="O82" s="107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94"/>
      <c r="AE82" s="94"/>
      <c r="AF82" s="94"/>
      <c r="AG82" s="94"/>
    </row>
    <row r="83" ht="11.25" customHeight="1">
      <c r="A83" s="95"/>
      <c r="B83" s="98"/>
      <c r="C83" s="95"/>
      <c r="D83" s="95"/>
      <c r="E83" s="95"/>
      <c r="F83" s="95"/>
      <c r="G83" s="95"/>
      <c r="H83" s="98"/>
      <c r="I83" s="95"/>
      <c r="J83" s="95"/>
      <c r="K83" s="95"/>
      <c r="L83" s="95"/>
      <c r="M83" s="95"/>
      <c r="N83" s="95"/>
      <c r="O83" s="95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4"/>
      <c r="AE83" s="94"/>
      <c r="AF83" s="94"/>
      <c r="AG83" s="94"/>
    </row>
    <row r="84">
      <c r="A84" s="99"/>
      <c r="B84" s="101" t="s">
        <v>4057</v>
      </c>
      <c r="C84" s="95"/>
      <c r="D84" s="109" t="s">
        <v>4058</v>
      </c>
      <c r="E84" s="99"/>
      <c r="F84" s="101" t="s">
        <v>4059</v>
      </c>
      <c r="G84" s="99"/>
      <c r="H84" s="101" t="s">
        <v>4057</v>
      </c>
      <c r="I84" s="95"/>
      <c r="J84" s="109" t="s">
        <v>4058</v>
      </c>
      <c r="K84" s="99"/>
      <c r="L84" s="101" t="s">
        <v>4059</v>
      </c>
      <c r="M84" s="95"/>
      <c r="N84" s="95"/>
      <c r="O84" s="95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4"/>
      <c r="AE84" s="94"/>
      <c r="AF84" s="94"/>
      <c r="AG84" s="94"/>
    </row>
    <row r="85" ht="46.5" customHeight="1">
      <c r="A85" s="102"/>
      <c r="B85" s="103">
        <f>$R$18</f>
        <v>0</v>
      </c>
      <c r="C85" s="111"/>
      <c r="D85" s="113">
        <f>$X$18</f>
        <v>0</v>
      </c>
      <c r="E85" s="104"/>
      <c r="F85" s="112">
        <f>$AC$18</f>
        <v>0</v>
      </c>
      <c r="G85" s="102"/>
      <c r="H85" s="103">
        <f>$R$19</f>
        <v>0</v>
      </c>
      <c r="I85" s="111"/>
      <c r="J85" s="113">
        <f>$X$19</f>
        <v>0</v>
      </c>
      <c r="K85" s="104"/>
      <c r="L85" s="112">
        <f>$AC$19</f>
        <v>0</v>
      </c>
      <c r="M85" s="107"/>
      <c r="N85" s="107"/>
      <c r="O85" s="107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94"/>
      <c r="AE85" s="94"/>
      <c r="AF85" s="94"/>
      <c r="AG85" s="94"/>
    </row>
    <row r="86" ht="11.25" customHeight="1">
      <c r="A86" s="95"/>
      <c r="B86" s="96"/>
      <c r="C86" s="95"/>
      <c r="D86" s="95"/>
      <c r="E86" s="95"/>
      <c r="F86" s="114" t="str">
        <f>$AD$18</f>
        <v>#DIV/0!</v>
      </c>
      <c r="G86" s="95"/>
      <c r="H86" s="96"/>
      <c r="I86" s="95"/>
      <c r="J86" s="95"/>
      <c r="K86" s="95"/>
      <c r="L86" s="114" t="str">
        <f>$AD$19</f>
        <v>#DIV/0!</v>
      </c>
      <c r="M86" s="95"/>
      <c r="N86" s="95"/>
      <c r="O86" s="95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4"/>
      <c r="AE86" s="94"/>
      <c r="AF86" s="94"/>
      <c r="AG86" s="94"/>
    </row>
    <row r="87">
      <c r="A87" s="95"/>
      <c r="B87" s="101" t="s">
        <v>4060</v>
      </c>
      <c r="C87" s="95"/>
      <c r="D87" s="109" t="s">
        <v>4061</v>
      </c>
      <c r="E87" s="95"/>
      <c r="F87" s="101" t="s">
        <v>4091</v>
      </c>
      <c r="G87" s="95"/>
      <c r="H87" s="101" t="s">
        <v>4060</v>
      </c>
      <c r="I87" s="95"/>
      <c r="J87" s="109" t="s">
        <v>4061</v>
      </c>
      <c r="K87" s="95"/>
      <c r="L87" s="101" t="s">
        <v>4091</v>
      </c>
      <c r="M87" s="95"/>
      <c r="N87" s="95"/>
      <c r="O87" s="95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4"/>
      <c r="AE87" s="94"/>
      <c r="AF87" s="94"/>
      <c r="AG87" s="94"/>
    </row>
    <row r="88" ht="46.5" customHeight="1">
      <c r="A88" s="95"/>
      <c r="B88" s="115" t="str">
        <f>$W$18</f>
        <v>#DIV/0!</v>
      </c>
      <c r="C88" s="116"/>
      <c r="D88" s="113">
        <f>$Y$18</f>
        <v>0</v>
      </c>
      <c r="E88" s="116"/>
      <c r="F88" s="105">
        <f>COUNTIFS(US!$A:$A, "&gt;=" &amp; DATE(2025,1,1), US!$A:$A, "&lt;=" &amp; DATE(2025,1,31), US!$G:$G, "Ja") </f>
        <v>0</v>
      </c>
      <c r="G88" s="95"/>
      <c r="H88" s="115" t="str">
        <f>$W$19</f>
        <v>#DIV/0!</v>
      </c>
      <c r="I88" s="116"/>
      <c r="J88" s="113">
        <f>$Y$19</f>
        <v>0</v>
      </c>
      <c r="K88" s="116"/>
      <c r="L88" s="146">
        <f>COUNTIFS(US!A:A, "&gt;=" &amp; DATE(2025,2,1), US!A:A, "&lt;=" &amp; DATE(2025,2,28), US!G:G, "Ja") </f>
        <v>0</v>
      </c>
      <c r="M88" s="95"/>
      <c r="N88" s="95"/>
      <c r="O88" s="95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4"/>
      <c r="AE88" s="94"/>
      <c r="AF88" s="94"/>
      <c r="AG88" s="94"/>
    </row>
    <row r="89">
      <c r="A89" s="95"/>
      <c r="B89" s="96"/>
      <c r="C89" s="95"/>
      <c r="D89" s="95"/>
      <c r="E89" s="95"/>
      <c r="F89" s="95"/>
      <c r="G89" s="95"/>
      <c r="H89" s="96"/>
      <c r="I89" s="95"/>
      <c r="J89" s="95"/>
      <c r="K89" s="95"/>
      <c r="L89" s="95"/>
      <c r="M89" s="95"/>
      <c r="N89" s="95"/>
      <c r="O89" s="95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4"/>
      <c r="AE89" s="94"/>
      <c r="AF89" s="94"/>
      <c r="AG89" s="94"/>
    </row>
    <row r="90"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4"/>
      <c r="AE90" s="94"/>
      <c r="AF90" s="94"/>
      <c r="AG90" s="94"/>
    </row>
    <row r="91"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4"/>
      <c r="AE91" s="94"/>
      <c r="AF91" s="94"/>
      <c r="AG91" s="94"/>
    </row>
    <row r="92">
      <c r="A92" s="95"/>
      <c r="B92" s="96" t="s">
        <v>4092</v>
      </c>
      <c r="C92" s="95"/>
      <c r="D92" s="95"/>
      <c r="E92" s="95"/>
      <c r="F92" s="95"/>
      <c r="G92" s="95"/>
      <c r="H92" s="148" t="s">
        <v>4093</v>
      </c>
      <c r="I92" s="95"/>
      <c r="J92" s="95"/>
      <c r="K92" s="95"/>
      <c r="L92" s="95"/>
      <c r="M92" s="95"/>
      <c r="N92" s="95"/>
      <c r="O92" s="95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4"/>
      <c r="AE92" s="94"/>
      <c r="AF92" s="94"/>
      <c r="AG92" s="94"/>
    </row>
    <row r="93">
      <c r="A93" s="95"/>
      <c r="B93" s="98"/>
      <c r="C93" s="95"/>
      <c r="D93" s="98"/>
      <c r="E93" s="95"/>
      <c r="F93" s="98"/>
      <c r="G93" s="95"/>
      <c r="H93" s="98"/>
      <c r="I93" s="95"/>
      <c r="J93" s="98"/>
      <c r="K93" s="95"/>
      <c r="L93" s="98"/>
      <c r="M93" s="95"/>
      <c r="N93" s="95"/>
      <c r="O93" s="95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4"/>
      <c r="AE93" s="94"/>
      <c r="AF93" s="94"/>
      <c r="AG93" s="94"/>
    </row>
    <row r="94">
      <c r="A94" s="99"/>
      <c r="B94" s="100" t="s">
        <v>4051</v>
      </c>
      <c r="C94" s="99"/>
      <c r="D94" s="100" t="s">
        <v>4052</v>
      </c>
      <c r="E94" s="99"/>
      <c r="F94" s="101" t="s">
        <v>4053</v>
      </c>
      <c r="G94" s="99"/>
      <c r="H94" s="100" t="s">
        <v>4051</v>
      </c>
      <c r="I94" s="99"/>
      <c r="J94" s="100" t="s">
        <v>4052</v>
      </c>
      <c r="K94" s="99"/>
      <c r="L94" s="101" t="s">
        <v>4053</v>
      </c>
      <c r="M94" s="95"/>
      <c r="N94" s="95"/>
      <c r="O94" s="95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4"/>
      <c r="AE94" s="94"/>
      <c r="AF94" s="94"/>
      <c r="AG94" s="94"/>
    </row>
    <row r="95" ht="40.5" customHeight="1">
      <c r="A95" s="102"/>
      <c r="B95" s="103" t="str">
        <f>$U$20</f>
        <v>#DIV/0!</v>
      </c>
      <c r="C95" s="104"/>
      <c r="D95" s="146">
        <f>$S$20</f>
        <v>0</v>
      </c>
      <c r="E95" s="104"/>
      <c r="F95" s="106" t="str">
        <f>$Z$20</f>
        <v>#DIV/0!</v>
      </c>
      <c r="G95" s="102"/>
      <c r="H95" s="103" t="str">
        <f>$U$21</f>
        <v>#DIV/0!</v>
      </c>
      <c r="I95" s="104"/>
      <c r="J95" s="146">
        <f>$S$21</f>
        <v>0</v>
      </c>
      <c r="K95" s="104"/>
      <c r="L95" s="106" t="str">
        <f>$Z$21</f>
        <v>#DIV/0!</v>
      </c>
      <c r="M95" s="107"/>
      <c r="N95" s="107"/>
      <c r="O95" s="107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94"/>
      <c r="AE95" s="94"/>
      <c r="AF95" s="94"/>
      <c r="AG95" s="94"/>
    </row>
    <row r="96" ht="11.25" customHeight="1">
      <c r="A96" s="95"/>
      <c r="B96" s="98"/>
      <c r="C96" s="95"/>
      <c r="D96" s="98"/>
      <c r="E96" s="95"/>
      <c r="F96" s="98"/>
      <c r="G96" s="95"/>
      <c r="H96" s="98"/>
      <c r="I96" s="95"/>
      <c r="J96" s="98"/>
      <c r="K96" s="95"/>
      <c r="L96" s="98"/>
      <c r="M96" s="95"/>
      <c r="N96" s="95"/>
      <c r="O96" s="95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4"/>
      <c r="AE96" s="94"/>
      <c r="AF96" s="94"/>
      <c r="AG96" s="94"/>
    </row>
    <row r="97">
      <c r="A97" s="99"/>
      <c r="B97" s="100" t="s">
        <v>4054</v>
      </c>
      <c r="C97" s="99"/>
      <c r="D97" s="109" t="s">
        <v>4055</v>
      </c>
      <c r="E97" s="95"/>
      <c r="F97" s="101" t="s">
        <v>4056</v>
      </c>
      <c r="G97" s="99"/>
      <c r="H97" s="100" t="s">
        <v>4054</v>
      </c>
      <c r="I97" s="99"/>
      <c r="J97" s="109" t="s">
        <v>4055</v>
      </c>
      <c r="K97" s="95"/>
      <c r="L97" s="101" t="s">
        <v>4056</v>
      </c>
      <c r="M97" s="95"/>
      <c r="N97" s="95"/>
      <c r="O97" s="95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4"/>
      <c r="AE97" s="94"/>
      <c r="AF97" s="94"/>
      <c r="AG97" s="94"/>
    </row>
    <row r="98" ht="37.5" customHeight="1">
      <c r="A98" s="102"/>
      <c r="B98" s="103" t="str">
        <f>$V$20</f>
        <v>#DIV/0!</v>
      </c>
      <c r="C98" s="104"/>
      <c r="D98" s="147">
        <f>$T$20</f>
        <v>0</v>
      </c>
      <c r="E98" s="111"/>
      <c r="F98" s="112">
        <f>$AA$20</f>
        <v>0</v>
      </c>
      <c r="G98" s="102"/>
      <c r="H98" s="103" t="str">
        <f>$V$21</f>
        <v>#DIV/0!</v>
      </c>
      <c r="I98" s="104"/>
      <c r="J98" s="147">
        <f>$T$21</f>
        <v>0</v>
      </c>
      <c r="K98" s="111"/>
      <c r="L98" s="112">
        <f>$AA$21</f>
        <v>0</v>
      </c>
      <c r="M98" s="107"/>
      <c r="N98" s="107"/>
      <c r="O98" s="107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94"/>
      <c r="AE98" s="94"/>
      <c r="AF98" s="94"/>
      <c r="AG98" s="94"/>
    </row>
    <row r="99" ht="11.25" customHeight="1">
      <c r="A99" s="95"/>
      <c r="B99" s="98"/>
      <c r="C99" s="95"/>
      <c r="D99" s="95"/>
      <c r="E99" s="95"/>
      <c r="F99" s="95"/>
      <c r="G99" s="95"/>
      <c r="H99" s="98"/>
      <c r="I99" s="95"/>
      <c r="J99" s="95"/>
      <c r="K99" s="95"/>
      <c r="L99" s="95"/>
      <c r="M99" s="95"/>
      <c r="N99" s="95"/>
      <c r="O99" s="95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4"/>
      <c r="AE99" s="94"/>
      <c r="AF99" s="94"/>
      <c r="AG99" s="94"/>
    </row>
    <row r="100">
      <c r="A100" s="99"/>
      <c r="B100" s="101" t="s">
        <v>4057</v>
      </c>
      <c r="C100" s="95"/>
      <c r="D100" s="109" t="s">
        <v>4058</v>
      </c>
      <c r="E100" s="99"/>
      <c r="F100" s="101" t="s">
        <v>4059</v>
      </c>
      <c r="G100" s="99"/>
      <c r="H100" s="101" t="s">
        <v>4057</v>
      </c>
      <c r="I100" s="95"/>
      <c r="J100" s="109" t="s">
        <v>4058</v>
      </c>
      <c r="K100" s="99"/>
      <c r="L100" s="101" t="s">
        <v>4059</v>
      </c>
      <c r="M100" s="95"/>
      <c r="N100" s="95"/>
      <c r="O100" s="95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4"/>
      <c r="AE100" s="94"/>
      <c r="AF100" s="94"/>
      <c r="AG100" s="94"/>
    </row>
    <row r="101" ht="44.25" customHeight="1">
      <c r="A101" s="102"/>
      <c r="B101" s="103">
        <f>$R$20</f>
        <v>0</v>
      </c>
      <c r="C101" s="111"/>
      <c r="D101" s="113">
        <f>$X$20</f>
        <v>0</v>
      </c>
      <c r="E101" s="104"/>
      <c r="F101" s="112">
        <f>$AC$20</f>
        <v>0</v>
      </c>
      <c r="G101" s="102"/>
      <c r="H101" s="103">
        <f>$R$21</f>
        <v>0</v>
      </c>
      <c r="I101" s="111"/>
      <c r="J101" s="113">
        <f>$X$21</f>
        <v>0</v>
      </c>
      <c r="K101" s="104"/>
      <c r="L101" s="112">
        <f>$AC$21</f>
        <v>0</v>
      </c>
      <c r="M101" s="107"/>
      <c r="N101" s="107"/>
      <c r="O101" s="107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94"/>
      <c r="AE101" s="94"/>
      <c r="AF101" s="94"/>
      <c r="AG101" s="94"/>
    </row>
    <row r="102" ht="11.25" customHeight="1">
      <c r="A102" s="95"/>
      <c r="B102" s="96"/>
      <c r="C102" s="95"/>
      <c r="D102" s="95"/>
      <c r="E102" s="95"/>
      <c r="F102" s="114" t="str">
        <f>$AD$47</f>
        <v>#VALUE!</v>
      </c>
      <c r="G102" s="95"/>
      <c r="H102" s="96"/>
      <c r="I102" s="95"/>
      <c r="J102" s="95"/>
      <c r="K102" s="95"/>
      <c r="L102" s="114" t="str">
        <f>$AD$21</f>
        <v>#DIV/0!</v>
      </c>
      <c r="M102" s="95"/>
      <c r="N102" s="95"/>
      <c r="O102" s="95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4"/>
      <c r="AE102" s="94"/>
      <c r="AF102" s="94"/>
      <c r="AG102" s="94"/>
    </row>
    <row r="103">
      <c r="A103" s="95"/>
      <c r="B103" s="101" t="s">
        <v>4060</v>
      </c>
      <c r="C103" s="95"/>
      <c r="D103" s="109" t="s">
        <v>4061</v>
      </c>
      <c r="E103" s="95"/>
      <c r="F103" s="101" t="s">
        <v>4091</v>
      </c>
      <c r="G103" s="95"/>
      <c r="H103" s="101" t="s">
        <v>4060</v>
      </c>
      <c r="I103" s="95"/>
      <c r="J103" s="109" t="s">
        <v>4061</v>
      </c>
      <c r="K103" s="95"/>
      <c r="L103" s="101" t="s">
        <v>4091</v>
      </c>
      <c r="M103" s="95"/>
      <c r="N103" s="95"/>
      <c r="O103" s="95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4"/>
      <c r="AE103" s="94"/>
      <c r="AF103" s="94"/>
      <c r="AG103" s="94"/>
    </row>
    <row r="104" ht="42.75" customHeight="1">
      <c r="A104" s="95"/>
      <c r="B104" s="115" t="str">
        <f>$W$20</f>
        <v>#DIV/0!</v>
      </c>
      <c r="C104" s="116"/>
      <c r="D104" s="113">
        <f>$Y$20</f>
        <v>0</v>
      </c>
      <c r="E104" s="116"/>
      <c r="F104" s="105">
        <f>COUNTIFS(US!A:A, "&gt;=" &amp; DATE(2025,3,1), US!A:A, "&lt;=" &amp; DATE(2025,3,31), US!G:G, "Ja")</f>
        <v>0</v>
      </c>
      <c r="G104" s="95"/>
      <c r="H104" s="115" t="str">
        <f>$W$21</f>
        <v>#DIV/0!</v>
      </c>
      <c r="I104" s="116"/>
      <c r="J104" s="113">
        <f>$Y$21</f>
        <v>0</v>
      </c>
      <c r="K104" s="116"/>
      <c r="L104" s="146">
        <f>$AB$21</f>
        <v>0</v>
      </c>
      <c r="M104" s="95"/>
      <c r="N104" s="95"/>
      <c r="O104" s="95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4"/>
      <c r="AE104" s="94"/>
      <c r="AF104" s="94"/>
      <c r="AG104" s="94"/>
    </row>
    <row r="105">
      <c r="A105" s="95"/>
      <c r="B105" s="96"/>
      <c r="C105" s="95"/>
      <c r="D105" s="95"/>
      <c r="E105" s="95"/>
      <c r="F105" s="95"/>
      <c r="G105" s="95"/>
      <c r="H105" s="149"/>
      <c r="I105" s="95"/>
      <c r="J105" s="95"/>
      <c r="K105" s="95"/>
      <c r="L105" s="95"/>
      <c r="M105" s="95"/>
      <c r="N105" s="95"/>
      <c r="O105" s="95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4"/>
      <c r="AE105" s="94"/>
      <c r="AF105" s="94"/>
      <c r="AG105" s="94"/>
    </row>
    <row r="106">
      <c r="A106" s="95"/>
      <c r="B106" s="96"/>
      <c r="C106" s="95"/>
      <c r="D106" s="95"/>
      <c r="E106" s="95"/>
      <c r="F106" s="95"/>
      <c r="G106" s="95"/>
      <c r="H106" s="149"/>
      <c r="I106" s="95"/>
      <c r="J106" s="95"/>
      <c r="K106" s="95"/>
      <c r="L106" s="95"/>
      <c r="M106" s="95"/>
      <c r="N106" s="95"/>
      <c r="O106" s="95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4"/>
      <c r="AE106" s="94"/>
      <c r="AF106" s="94"/>
      <c r="AG106" s="94"/>
    </row>
    <row r="107">
      <c r="A107" s="95"/>
      <c r="B107" s="96"/>
      <c r="C107" s="95"/>
      <c r="D107" s="95"/>
      <c r="E107" s="95"/>
      <c r="F107" s="95"/>
      <c r="G107" s="95"/>
      <c r="H107" s="149"/>
      <c r="I107" s="95"/>
      <c r="J107" s="95"/>
      <c r="K107" s="95"/>
      <c r="L107" s="95"/>
      <c r="M107" s="95"/>
      <c r="N107" s="95"/>
      <c r="O107" s="95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4"/>
      <c r="AE107" s="94"/>
      <c r="AF107" s="94"/>
      <c r="AG107" s="94"/>
    </row>
    <row r="108">
      <c r="A108" s="95"/>
      <c r="B108" s="96" t="s">
        <v>4094</v>
      </c>
      <c r="C108" s="95"/>
      <c r="D108" s="95"/>
      <c r="E108" s="95"/>
      <c r="F108" s="95"/>
      <c r="G108" s="95"/>
      <c r="H108" s="149" t="s">
        <v>4095</v>
      </c>
      <c r="I108" s="95"/>
      <c r="J108" s="95"/>
      <c r="K108" s="95"/>
      <c r="L108" s="95"/>
      <c r="M108" s="95"/>
      <c r="N108" s="95"/>
      <c r="O108" s="95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4"/>
      <c r="AE108" s="94"/>
      <c r="AF108" s="94"/>
      <c r="AG108" s="94"/>
    </row>
    <row r="109">
      <c r="A109" s="95"/>
      <c r="B109" s="98"/>
      <c r="C109" s="95"/>
      <c r="D109" s="98"/>
      <c r="E109" s="95"/>
      <c r="F109" s="98"/>
      <c r="G109" s="95"/>
      <c r="H109" s="98"/>
      <c r="I109" s="95"/>
      <c r="J109" s="98"/>
      <c r="K109" s="95"/>
      <c r="L109" s="98"/>
      <c r="M109" s="95"/>
      <c r="N109" s="95"/>
      <c r="O109" s="95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4"/>
      <c r="AE109" s="94"/>
      <c r="AF109" s="94"/>
      <c r="AG109" s="94"/>
    </row>
    <row r="110">
      <c r="A110" s="99"/>
      <c r="B110" s="100" t="s">
        <v>4051</v>
      </c>
      <c r="C110" s="99"/>
      <c r="D110" s="100" t="s">
        <v>4052</v>
      </c>
      <c r="E110" s="99"/>
      <c r="F110" s="101" t="s">
        <v>4053</v>
      </c>
      <c r="G110" s="99"/>
      <c r="H110" s="100" t="s">
        <v>4051</v>
      </c>
      <c r="I110" s="99"/>
      <c r="J110" s="100" t="s">
        <v>4052</v>
      </c>
      <c r="K110" s="99"/>
      <c r="L110" s="101" t="s">
        <v>4053</v>
      </c>
      <c r="M110" s="95"/>
      <c r="N110" s="95"/>
      <c r="O110" s="95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4"/>
      <c r="AE110" s="94"/>
      <c r="AF110" s="94"/>
      <c r="AG110" s="94"/>
    </row>
    <row r="111" ht="40.5" customHeight="1">
      <c r="A111" s="102"/>
      <c r="B111" s="103" t="str">
        <f>$U$22</f>
        <v>#DIV/0!</v>
      </c>
      <c r="C111" s="104"/>
      <c r="D111" s="146">
        <f>$S$22</f>
        <v>0</v>
      </c>
      <c r="E111" s="104"/>
      <c r="F111" s="106" t="str">
        <f>$Z$22</f>
        <v>#DIV/0!</v>
      </c>
      <c r="G111" s="102"/>
      <c r="H111" s="103" t="str">
        <f>$U$23</f>
        <v>#DIV/0!</v>
      </c>
      <c r="I111" s="104"/>
      <c r="J111" s="146">
        <f>$S$23</f>
        <v>0</v>
      </c>
      <c r="K111" s="104"/>
      <c r="L111" s="106" t="str">
        <f>$Z$23</f>
        <v>#DIV/0!</v>
      </c>
      <c r="M111" s="107"/>
      <c r="N111" s="107"/>
      <c r="O111" s="107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94"/>
      <c r="AE111" s="94"/>
      <c r="AF111" s="94"/>
      <c r="AG111" s="94"/>
    </row>
    <row r="112" ht="11.25" customHeight="1">
      <c r="A112" s="95"/>
      <c r="B112" s="98"/>
      <c r="C112" s="95"/>
      <c r="D112" s="98"/>
      <c r="E112" s="95"/>
      <c r="F112" s="98"/>
      <c r="G112" s="95"/>
      <c r="H112" s="98"/>
      <c r="I112" s="95"/>
      <c r="J112" s="98"/>
      <c r="K112" s="95"/>
      <c r="L112" s="98"/>
      <c r="M112" s="95"/>
      <c r="N112" s="95"/>
      <c r="O112" s="95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4"/>
      <c r="AE112" s="94"/>
      <c r="AF112" s="94"/>
      <c r="AG112" s="94"/>
    </row>
    <row r="113">
      <c r="A113" s="99"/>
      <c r="B113" s="100" t="s">
        <v>4054</v>
      </c>
      <c r="C113" s="99"/>
      <c r="D113" s="109" t="s">
        <v>4055</v>
      </c>
      <c r="E113" s="95"/>
      <c r="F113" s="101" t="s">
        <v>4056</v>
      </c>
      <c r="G113" s="99"/>
      <c r="H113" s="100" t="s">
        <v>4054</v>
      </c>
      <c r="I113" s="99"/>
      <c r="J113" s="109" t="s">
        <v>4055</v>
      </c>
      <c r="K113" s="95"/>
      <c r="L113" s="101" t="s">
        <v>4056</v>
      </c>
      <c r="M113" s="95"/>
      <c r="N113" s="95"/>
      <c r="O113" s="95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4"/>
      <c r="AE113" s="94"/>
      <c r="AF113" s="94"/>
      <c r="AG113" s="94"/>
    </row>
    <row r="114" ht="37.5" customHeight="1">
      <c r="A114" s="102"/>
      <c r="B114" s="103" t="str">
        <f>$V$22</f>
        <v>#DIV/0!</v>
      </c>
      <c r="C114" s="104"/>
      <c r="D114" s="147">
        <f>$T$22</f>
        <v>0</v>
      </c>
      <c r="E114" s="111"/>
      <c r="F114" s="112">
        <f>$AA$22</f>
        <v>0</v>
      </c>
      <c r="G114" s="102"/>
      <c r="H114" s="103" t="str">
        <f>$V$23</f>
        <v>#DIV/0!</v>
      </c>
      <c r="I114" s="104"/>
      <c r="J114" s="147">
        <f>$T$23</f>
        <v>0</v>
      </c>
      <c r="K114" s="111"/>
      <c r="L114" s="112">
        <f>$AA$23</f>
        <v>0</v>
      </c>
      <c r="M114" s="107"/>
      <c r="N114" s="107"/>
      <c r="O114" s="107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94"/>
      <c r="AE114" s="94"/>
      <c r="AF114" s="94"/>
      <c r="AG114" s="94"/>
    </row>
    <row r="115" ht="11.25" customHeight="1">
      <c r="A115" s="95"/>
      <c r="B115" s="98"/>
      <c r="C115" s="95"/>
      <c r="D115" s="95"/>
      <c r="E115" s="95"/>
      <c r="F115" s="95"/>
      <c r="G115" s="95"/>
      <c r="H115" s="98"/>
      <c r="I115" s="95"/>
      <c r="J115" s="95"/>
      <c r="K115" s="95"/>
      <c r="L115" s="95"/>
      <c r="M115" s="95"/>
      <c r="N115" s="95"/>
      <c r="O115" s="95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4"/>
      <c r="AE115" s="94"/>
      <c r="AF115" s="94"/>
      <c r="AG115" s="94"/>
    </row>
    <row r="116">
      <c r="A116" s="99"/>
      <c r="B116" s="101" t="s">
        <v>4057</v>
      </c>
      <c r="C116" s="95"/>
      <c r="D116" s="109" t="s">
        <v>4058</v>
      </c>
      <c r="E116" s="99"/>
      <c r="F116" s="101" t="s">
        <v>4059</v>
      </c>
      <c r="G116" s="99"/>
      <c r="H116" s="101" t="s">
        <v>4057</v>
      </c>
      <c r="I116" s="95"/>
      <c r="J116" s="109" t="s">
        <v>4058</v>
      </c>
      <c r="K116" s="99"/>
      <c r="L116" s="101" t="s">
        <v>4059</v>
      </c>
      <c r="M116" s="95"/>
      <c r="N116" s="95"/>
      <c r="O116" s="95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4"/>
      <c r="AE116" s="94"/>
      <c r="AF116" s="94"/>
      <c r="AG116" s="94"/>
    </row>
    <row r="117" ht="44.25" customHeight="1">
      <c r="A117" s="102"/>
      <c r="B117" s="103">
        <f>$R$22</f>
        <v>0</v>
      </c>
      <c r="C117" s="111"/>
      <c r="D117" s="113">
        <f>$X$22</f>
        <v>0</v>
      </c>
      <c r="E117" s="104"/>
      <c r="F117" s="112">
        <f>$AC$22</f>
        <v>0</v>
      </c>
      <c r="G117" s="102"/>
      <c r="H117" s="103">
        <f>$R$23</f>
        <v>0</v>
      </c>
      <c r="I117" s="111"/>
      <c r="J117" s="113">
        <f>$X$23</f>
        <v>0</v>
      </c>
      <c r="K117" s="104"/>
      <c r="L117" s="112">
        <f>$AC$23</f>
        <v>0</v>
      </c>
      <c r="M117" s="107"/>
      <c r="N117" s="107"/>
      <c r="O117" s="107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94"/>
      <c r="AE117" s="94"/>
      <c r="AF117" s="94"/>
      <c r="AG117" s="94"/>
    </row>
    <row r="118" ht="11.25" customHeight="1">
      <c r="A118" s="95"/>
      <c r="B118" s="96"/>
      <c r="C118" s="95"/>
      <c r="D118" s="95"/>
      <c r="E118" s="95"/>
      <c r="F118" s="114" t="str">
        <f>$AD$22</f>
        <v>#DIV/0!</v>
      </c>
      <c r="G118" s="95"/>
      <c r="H118" s="96"/>
      <c r="I118" s="95"/>
      <c r="J118" s="95"/>
      <c r="K118" s="95"/>
      <c r="L118" s="114" t="str">
        <f>$AD$23</f>
        <v>#DIV/0!</v>
      </c>
      <c r="M118" s="95"/>
      <c r="N118" s="95"/>
      <c r="O118" s="95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4"/>
      <c r="AE118" s="94"/>
      <c r="AF118" s="94"/>
      <c r="AG118" s="94"/>
    </row>
    <row r="119">
      <c r="A119" s="95"/>
      <c r="B119" s="101" t="s">
        <v>4060</v>
      </c>
      <c r="C119" s="95"/>
      <c r="D119" s="109" t="s">
        <v>4061</v>
      </c>
      <c r="E119" s="95"/>
      <c r="F119" s="101" t="s">
        <v>4091</v>
      </c>
      <c r="G119" s="95"/>
      <c r="H119" s="101" t="s">
        <v>4060</v>
      </c>
      <c r="I119" s="95"/>
      <c r="J119" s="109" t="s">
        <v>4061</v>
      </c>
      <c r="K119" s="95"/>
      <c r="L119" s="101" t="s">
        <v>4091</v>
      </c>
      <c r="M119" s="95"/>
      <c r="N119" s="95"/>
      <c r="O119" s="95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4"/>
      <c r="AE119" s="94"/>
      <c r="AF119" s="94"/>
      <c r="AG119" s="94"/>
    </row>
    <row r="120" ht="42.75" customHeight="1">
      <c r="A120" s="95"/>
      <c r="B120" s="115" t="str">
        <f>$W$22</f>
        <v>#DIV/0!</v>
      </c>
      <c r="C120" s="116"/>
      <c r="D120" s="113">
        <f>$Y$22</f>
        <v>0</v>
      </c>
      <c r="E120" s="116"/>
      <c r="F120" s="105">
        <f>$AB$22</f>
        <v>0</v>
      </c>
      <c r="G120" s="95"/>
      <c r="H120" s="115" t="str">
        <f>$W$23</f>
        <v>#DIV/0!</v>
      </c>
      <c r="I120" s="116"/>
      <c r="J120" s="113">
        <f>$Y$23</f>
        <v>0</v>
      </c>
      <c r="K120" s="116"/>
      <c r="L120" s="146">
        <f>$AB$23</f>
        <v>0</v>
      </c>
      <c r="M120" s="95"/>
      <c r="N120" s="95"/>
      <c r="O120" s="95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4"/>
      <c r="AE120" s="94"/>
      <c r="AF120" s="94"/>
      <c r="AG120" s="94"/>
    </row>
    <row r="121">
      <c r="A121" s="95"/>
      <c r="B121" s="96"/>
      <c r="C121" s="95"/>
      <c r="D121" s="95"/>
      <c r="E121" s="95"/>
      <c r="F121" s="95"/>
      <c r="G121" s="95"/>
      <c r="H121" s="150"/>
      <c r="I121" s="95"/>
      <c r="J121" s="95"/>
      <c r="K121" s="95"/>
      <c r="L121" s="95"/>
      <c r="M121" s="95"/>
      <c r="N121" s="95"/>
      <c r="O121" s="95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4"/>
      <c r="AE121" s="94"/>
      <c r="AF121" s="94"/>
      <c r="AG121" s="94"/>
    </row>
    <row r="122">
      <c r="A122" s="95"/>
      <c r="B122" s="96"/>
      <c r="C122" s="95"/>
      <c r="D122" s="95"/>
      <c r="E122" s="95"/>
      <c r="F122" s="95"/>
      <c r="G122" s="95"/>
      <c r="H122" s="150"/>
      <c r="I122" s="95"/>
      <c r="J122" s="95"/>
      <c r="K122" s="95"/>
      <c r="L122" s="95"/>
      <c r="M122" s="95"/>
      <c r="N122" s="95"/>
      <c r="O122" s="95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4"/>
      <c r="AE122" s="94"/>
      <c r="AF122" s="94"/>
      <c r="AG122" s="94"/>
    </row>
    <row r="123">
      <c r="A123" s="95"/>
      <c r="B123" s="96"/>
      <c r="C123" s="95"/>
      <c r="D123" s="95"/>
      <c r="E123" s="95"/>
      <c r="F123" s="95"/>
      <c r="G123" s="95"/>
      <c r="H123" s="150"/>
      <c r="I123" s="95"/>
      <c r="J123" s="95"/>
      <c r="K123" s="95"/>
      <c r="L123" s="95"/>
      <c r="M123" s="95"/>
      <c r="N123" s="95"/>
      <c r="O123" s="95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4"/>
      <c r="AE123" s="94"/>
      <c r="AF123" s="94"/>
      <c r="AG123" s="94"/>
    </row>
    <row r="124">
      <c r="A124" s="95"/>
      <c r="B124" s="96" t="s">
        <v>4096</v>
      </c>
      <c r="C124" s="95"/>
      <c r="D124" s="95"/>
      <c r="E124" s="95"/>
      <c r="F124" s="95"/>
      <c r="G124" s="95"/>
      <c r="H124" s="150">
        <v>45870.0</v>
      </c>
      <c r="I124" s="95"/>
      <c r="J124" s="95"/>
      <c r="K124" s="95"/>
      <c r="L124" s="95"/>
      <c r="M124" s="95"/>
      <c r="N124" s="95"/>
      <c r="O124" s="95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4"/>
      <c r="AE124" s="94"/>
      <c r="AF124" s="94"/>
      <c r="AG124" s="94"/>
    </row>
    <row r="125">
      <c r="A125" s="95"/>
      <c r="B125" s="98"/>
      <c r="C125" s="95"/>
      <c r="D125" s="98"/>
      <c r="E125" s="95"/>
      <c r="F125" s="98"/>
      <c r="G125" s="95"/>
      <c r="H125" s="98"/>
      <c r="I125" s="95"/>
      <c r="J125" s="98"/>
      <c r="K125" s="95"/>
      <c r="L125" s="98"/>
      <c r="M125" s="95"/>
      <c r="N125" s="95"/>
      <c r="O125" s="95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4"/>
      <c r="AE125" s="94"/>
      <c r="AF125" s="94"/>
      <c r="AG125" s="94"/>
    </row>
    <row r="126">
      <c r="A126" s="99"/>
      <c r="B126" s="100" t="s">
        <v>4051</v>
      </c>
      <c r="C126" s="99"/>
      <c r="D126" s="100" t="s">
        <v>4052</v>
      </c>
      <c r="E126" s="99"/>
      <c r="F126" s="101" t="s">
        <v>4053</v>
      </c>
      <c r="G126" s="99"/>
      <c r="H126" s="100" t="s">
        <v>4051</v>
      </c>
      <c r="I126" s="99"/>
      <c r="J126" s="100" t="s">
        <v>4052</v>
      </c>
      <c r="K126" s="99"/>
      <c r="L126" s="101" t="s">
        <v>4053</v>
      </c>
      <c r="M126" s="95"/>
      <c r="N126" s="95"/>
      <c r="O126" s="95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4"/>
      <c r="AE126" s="94"/>
      <c r="AF126" s="94"/>
      <c r="AG126" s="94"/>
    </row>
    <row r="127" ht="40.5" customHeight="1">
      <c r="A127" s="102"/>
      <c r="B127" s="103">
        <f>$U$24</f>
        <v>0</v>
      </c>
      <c r="C127" s="104"/>
      <c r="D127" s="146">
        <f>$S$24</f>
        <v>19</v>
      </c>
      <c r="E127" s="104"/>
      <c r="F127" s="106">
        <f>$Z$24</f>
        <v>0.6842105263</v>
      </c>
      <c r="G127" s="102"/>
      <c r="H127" s="103" t="str">
        <f>$U$25</f>
        <v>#DIV/0!</v>
      </c>
      <c r="I127" s="104"/>
      <c r="J127" s="146">
        <f>$S$25</f>
        <v>0</v>
      </c>
      <c r="K127" s="104"/>
      <c r="L127" s="106" t="str">
        <f>$Z$25</f>
        <v>#DIV/0!</v>
      </c>
      <c r="M127" s="107"/>
      <c r="N127" s="107"/>
      <c r="O127" s="107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94"/>
      <c r="AE127" s="94"/>
      <c r="AF127" s="94"/>
      <c r="AG127" s="94"/>
    </row>
    <row r="128" ht="11.25" customHeight="1">
      <c r="A128" s="95"/>
      <c r="B128" s="98"/>
      <c r="C128" s="95"/>
      <c r="D128" s="98"/>
      <c r="E128" s="95"/>
      <c r="F128" s="98"/>
      <c r="G128" s="95"/>
      <c r="H128" s="98"/>
      <c r="I128" s="95"/>
      <c r="J128" s="98"/>
      <c r="K128" s="95"/>
      <c r="L128" s="98"/>
      <c r="M128" s="95"/>
      <c r="N128" s="95"/>
      <c r="O128" s="95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4"/>
      <c r="AE128" s="94"/>
      <c r="AF128" s="94"/>
      <c r="AG128" s="94"/>
    </row>
    <row r="129">
      <c r="A129" s="99"/>
      <c r="B129" s="100" t="s">
        <v>4054</v>
      </c>
      <c r="C129" s="99"/>
      <c r="D129" s="109" t="s">
        <v>4055</v>
      </c>
      <c r="E129" s="95"/>
      <c r="F129" s="101" t="s">
        <v>4056</v>
      </c>
      <c r="G129" s="99"/>
      <c r="H129" s="100" t="s">
        <v>4054</v>
      </c>
      <c r="I129" s="99"/>
      <c r="J129" s="109" t="s">
        <v>4055</v>
      </c>
      <c r="K129" s="95"/>
      <c r="L129" s="101" t="s">
        <v>4056</v>
      </c>
      <c r="M129" s="95"/>
      <c r="N129" s="95"/>
      <c r="O129" s="95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4"/>
      <c r="AE129" s="94"/>
      <c r="AF129" s="94"/>
      <c r="AG129" s="94"/>
    </row>
    <row r="130" ht="37.5" customHeight="1">
      <c r="A130" s="102"/>
      <c r="B130" s="103">
        <f>$V$24</f>
        <v>0</v>
      </c>
      <c r="C130" s="104"/>
      <c r="D130" s="147">
        <f>$T$24</f>
        <v>13</v>
      </c>
      <c r="E130" s="111"/>
      <c r="F130" s="112">
        <f>$AA$24</f>
        <v>7670</v>
      </c>
      <c r="G130" s="102"/>
      <c r="H130" s="103" t="str">
        <f>$V$25</f>
        <v>#DIV/0!</v>
      </c>
      <c r="I130" s="104"/>
      <c r="J130" s="147">
        <f>$T$25</f>
        <v>0</v>
      </c>
      <c r="K130" s="111"/>
      <c r="L130" s="112">
        <f>$AA$25</f>
        <v>0</v>
      </c>
      <c r="M130" s="107"/>
      <c r="N130" s="107"/>
      <c r="O130" s="107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94"/>
      <c r="AE130" s="94"/>
      <c r="AF130" s="94"/>
      <c r="AG130" s="94"/>
    </row>
    <row r="131" ht="11.25" customHeight="1">
      <c r="A131" s="95"/>
      <c r="B131" s="98"/>
      <c r="C131" s="95"/>
      <c r="D131" s="95"/>
      <c r="E131" s="95"/>
      <c r="F131" s="95"/>
      <c r="G131" s="95"/>
      <c r="H131" s="98"/>
      <c r="I131" s="95"/>
      <c r="J131" s="95"/>
      <c r="K131" s="95"/>
      <c r="L131" s="95"/>
      <c r="M131" s="95"/>
      <c r="N131" s="95"/>
      <c r="O131" s="95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4"/>
      <c r="AE131" s="94"/>
      <c r="AF131" s="94"/>
      <c r="AG131" s="94"/>
    </row>
    <row r="132">
      <c r="A132" s="99"/>
      <c r="B132" s="101" t="s">
        <v>4057</v>
      </c>
      <c r="C132" s="95"/>
      <c r="D132" s="109" t="s">
        <v>4058</v>
      </c>
      <c r="E132" s="99"/>
      <c r="F132" s="101" t="s">
        <v>4059</v>
      </c>
      <c r="G132" s="99"/>
      <c r="H132" s="101" t="s">
        <v>4057</v>
      </c>
      <c r="I132" s="95"/>
      <c r="J132" s="109" t="s">
        <v>4058</v>
      </c>
      <c r="K132" s="99"/>
      <c r="L132" s="101" t="s">
        <v>4059</v>
      </c>
      <c r="M132" s="95"/>
      <c r="N132" s="95"/>
      <c r="O132" s="95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4"/>
      <c r="AE132" s="94"/>
      <c r="AF132" s="94"/>
      <c r="AG132" s="94"/>
    </row>
    <row r="133" ht="44.25" customHeight="1">
      <c r="A133" s="102"/>
      <c r="B133" s="103">
        <f>$R$24</f>
        <v>0</v>
      </c>
      <c r="C133" s="111"/>
      <c r="D133" s="113">
        <f>$X$24</f>
        <v>15140</v>
      </c>
      <c r="E133" s="104"/>
      <c r="F133" s="112">
        <f>$AC$24</f>
        <v>7470</v>
      </c>
      <c r="G133" s="102"/>
      <c r="H133" s="103">
        <f>$R$25</f>
        <v>0</v>
      </c>
      <c r="I133" s="111"/>
      <c r="J133" s="113">
        <f>$X$25</f>
        <v>0</v>
      </c>
      <c r="K133" s="104"/>
      <c r="L133" s="112">
        <f>$AC$25</f>
        <v>0</v>
      </c>
      <c r="M133" s="107"/>
      <c r="N133" s="107"/>
      <c r="O133" s="107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94"/>
      <c r="AE133" s="94"/>
      <c r="AF133" s="94"/>
      <c r="AG133" s="94"/>
    </row>
    <row r="134" ht="11.25" customHeight="1">
      <c r="A134" s="95"/>
      <c r="B134" s="96"/>
      <c r="C134" s="95"/>
      <c r="D134" s="95"/>
      <c r="E134" s="95"/>
      <c r="F134" s="114">
        <f>$AD$24</f>
        <v>0.1578947368</v>
      </c>
      <c r="G134" s="95"/>
      <c r="H134" s="96"/>
      <c r="I134" s="95"/>
      <c r="J134" s="95"/>
      <c r="K134" s="95"/>
      <c r="L134" s="114" t="str">
        <f>$AD$25</f>
        <v>#DIV/0!</v>
      </c>
      <c r="M134" s="95"/>
      <c r="N134" s="95"/>
      <c r="O134" s="95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4"/>
      <c r="AE134" s="94"/>
      <c r="AF134" s="94"/>
      <c r="AG134" s="94"/>
    </row>
    <row r="135">
      <c r="A135" s="95"/>
      <c r="B135" s="101" t="s">
        <v>4060</v>
      </c>
      <c r="C135" s="95"/>
      <c r="D135" s="109" t="s">
        <v>4061</v>
      </c>
      <c r="E135" s="95"/>
      <c r="F135" s="101" t="s">
        <v>4091</v>
      </c>
      <c r="G135" s="95"/>
      <c r="H135" s="101" t="s">
        <v>4060</v>
      </c>
      <c r="I135" s="95"/>
      <c r="J135" s="109" t="s">
        <v>4061</v>
      </c>
      <c r="K135" s="95"/>
      <c r="L135" s="101" t="s">
        <v>4091</v>
      </c>
      <c r="M135" s="95"/>
      <c r="N135" s="95"/>
      <c r="O135" s="95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4"/>
      <c r="AE135" s="94"/>
      <c r="AF135" s="94"/>
      <c r="AG135" s="94"/>
    </row>
    <row r="136" ht="42.75" customHeight="1">
      <c r="A136" s="95"/>
      <c r="B136" s="115" t="str">
        <f>$W$24</f>
        <v>#DIV/0!</v>
      </c>
      <c r="C136" s="116"/>
      <c r="D136" s="113">
        <f>$Y$24</f>
        <v>33470</v>
      </c>
      <c r="E136" s="116"/>
      <c r="F136" s="105">
        <f>$AB$24</f>
        <v>3</v>
      </c>
      <c r="G136" s="95"/>
      <c r="H136" s="115" t="str">
        <f>$W$25</f>
        <v>#DIV/0!</v>
      </c>
      <c r="I136" s="116"/>
      <c r="J136" s="113">
        <f>$Y$25</f>
        <v>0</v>
      </c>
      <c r="K136" s="116"/>
      <c r="L136" s="105">
        <f>$AB$25</f>
        <v>0</v>
      </c>
      <c r="M136" s="95"/>
      <c r="N136" s="95"/>
      <c r="O136" s="95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4"/>
      <c r="AE136" s="94"/>
      <c r="AF136" s="94"/>
      <c r="AG136" s="94"/>
    </row>
    <row r="137">
      <c r="A137" s="95"/>
      <c r="B137" s="150"/>
      <c r="C137" s="95"/>
      <c r="D137" s="95"/>
      <c r="E137" s="95"/>
      <c r="F137" s="95"/>
      <c r="G137" s="95"/>
      <c r="H137" s="149"/>
      <c r="I137" s="95"/>
      <c r="J137" s="95"/>
      <c r="K137" s="95"/>
      <c r="L137" s="95"/>
      <c r="M137" s="95"/>
      <c r="N137" s="95"/>
      <c r="O137" s="95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4"/>
      <c r="AE137" s="94"/>
      <c r="AF137" s="94"/>
      <c r="AG137" s="94"/>
    </row>
    <row r="138">
      <c r="A138" s="95"/>
      <c r="B138" s="150"/>
      <c r="C138" s="95"/>
      <c r="D138" s="95"/>
      <c r="E138" s="95"/>
      <c r="F138" s="95"/>
      <c r="G138" s="95"/>
      <c r="H138" s="149"/>
      <c r="I138" s="95"/>
      <c r="J138" s="95"/>
      <c r="K138" s="95"/>
      <c r="L138" s="95"/>
      <c r="M138" s="95"/>
      <c r="N138" s="95"/>
      <c r="O138" s="95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4"/>
      <c r="AE138" s="94"/>
      <c r="AF138" s="94"/>
      <c r="AG138" s="94"/>
    </row>
    <row r="139">
      <c r="A139" s="95"/>
      <c r="B139" s="150"/>
      <c r="C139" s="95"/>
      <c r="D139" s="95"/>
      <c r="E139" s="95"/>
      <c r="F139" s="95"/>
      <c r="G139" s="95"/>
      <c r="H139" s="149"/>
      <c r="I139" s="95"/>
      <c r="J139" s="95"/>
      <c r="K139" s="95"/>
      <c r="L139" s="95"/>
      <c r="M139" s="95"/>
      <c r="N139" s="95"/>
      <c r="O139" s="95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4"/>
      <c r="AE139" s="94"/>
      <c r="AF139" s="94"/>
      <c r="AG139" s="94"/>
    </row>
    <row r="140">
      <c r="A140" s="95"/>
      <c r="B140" s="150">
        <v>45901.0</v>
      </c>
      <c r="C140" s="95"/>
      <c r="D140" s="95"/>
      <c r="E140" s="95"/>
      <c r="F140" s="95"/>
      <c r="G140" s="95"/>
      <c r="H140" s="149" t="s">
        <v>4097</v>
      </c>
      <c r="I140" s="95"/>
      <c r="J140" s="95"/>
      <c r="K140" s="95"/>
      <c r="L140" s="95"/>
      <c r="M140" s="95"/>
      <c r="N140" s="95"/>
      <c r="O140" s="95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4"/>
      <c r="AE140" s="94"/>
      <c r="AF140" s="94"/>
      <c r="AG140" s="94"/>
    </row>
    <row r="141">
      <c r="A141" s="95"/>
      <c r="B141" s="98"/>
      <c r="C141" s="95"/>
      <c r="D141" s="98"/>
      <c r="E141" s="95"/>
      <c r="F141" s="98"/>
      <c r="G141" s="95"/>
      <c r="H141" s="98"/>
      <c r="I141" s="95"/>
      <c r="J141" s="98"/>
      <c r="K141" s="95"/>
      <c r="L141" s="98"/>
      <c r="M141" s="95"/>
      <c r="N141" s="95"/>
      <c r="O141" s="95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4"/>
      <c r="AE141" s="94"/>
      <c r="AF141" s="94"/>
      <c r="AG141" s="94"/>
    </row>
    <row r="142">
      <c r="A142" s="99"/>
      <c r="B142" s="100" t="s">
        <v>4051</v>
      </c>
      <c r="C142" s="99"/>
      <c r="D142" s="100" t="s">
        <v>4052</v>
      </c>
      <c r="E142" s="99"/>
      <c r="F142" s="101" t="s">
        <v>4053</v>
      </c>
      <c r="G142" s="99"/>
      <c r="H142" s="100" t="s">
        <v>4051</v>
      </c>
      <c r="I142" s="99"/>
      <c r="J142" s="100" t="s">
        <v>4052</v>
      </c>
      <c r="K142" s="99"/>
      <c r="L142" s="101" t="s">
        <v>4053</v>
      </c>
      <c r="M142" s="95"/>
      <c r="N142" s="95"/>
      <c r="O142" s="95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4"/>
      <c r="AE142" s="94"/>
      <c r="AF142" s="94"/>
      <c r="AG142" s="94"/>
    </row>
    <row r="143" ht="40.5" customHeight="1">
      <c r="A143" s="102"/>
      <c r="B143" s="103" t="str">
        <f>$U$26</f>
        <v>#DIV/0!</v>
      </c>
      <c r="C143" s="104"/>
      <c r="D143" s="146">
        <f>$S$26</f>
        <v>0</v>
      </c>
      <c r="E143" s="104"/>
      <c r="F143" s="106" t="str">
        <f>$Z$26</f>
        <v>#DIV/0!</v>
      </c>
      <c r="G143" s="102"/>
      <c r="H143" s="103" t="str">
        <f>$U$27</f>
        <v>#DIV/0!</v>
      </c>
      <c r="I143" s="104"/>
      <c r="J143" s="146">
        <f>$S$27</f>
        <v>0</v>
      </c>
      <c r="K143" s="104"/>
      <c r="L143" s="106" t="str">
        <f>$Z$27</f>
        <v>#DIV/0!</v>
      </c>
      <c r="M143" s="107"/>
      <c r="N143" s="107"/>
      <c r="O143" s="107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94"/>
      <c r="AE143" s="94"/>
      <c r="AF143" s="94"/>
      <c r="AG143" s="94"/>
    </row>
    <row r="144" ht="11.25" customHeight="1">
      <c r="A144" s="95"/>
      <c r="B144" s="98"/>
      <c r="C144" s="95"/>
      <c r="D144" s="98"/>
      <c r="E144" s="95"/>
      <c r="F144" s="98"/>
      <c r="G144" s="95"/>
      <c r="H144" s="98"/>
      <c r="I144" s="95"/>
      <c r="J144" s="98"/>
      <c r="K144" s="95"/>
      <c r="L144" s="98"/>
      <c r="M144" s="95"/>
      <c r="N144" s="95"/>
      <c r="O144" s="95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4"/>
      <c r="AE144" s="94"/>
      <c r="AF144" s="94"/>
      <c r="AG144" s="94"/>
    </row>
    <row r="145">
      <c r="A145" s="99"/>
      <c r="B145" s="100" t="s">
        <v>4054</v>
      </c>
      <c r="C145" s="99"/>
      <c r="D145" s="109" t="s">
        <v>4055</v>
      </c>
      <c r="E145" s="95"/>
      <c r="F145" s="101" t="s">
        <v>4056</v>
      </c>
      <c r="G145" s="99"/>
      <c r="H145" s="100" t="s">
        <v>4054</v>
      </c>
      <c r="I145" s="99"/>
      <c r="J145" s="109" t="s">
        <v>4055</v>
      </c>
      <c r="K145" s="95"/>
      <c r="L145" s="101" t="s">
        <v>4056</v>
      </c>
      <c r="M145" s="95"/>
      <c r="N145" s="95"/>
      <c r="O145" s="95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4"/>
      <c r="AE145" s="94"/>
      <c r="AF145" s="94"/>
      <c r="AG145" s="94"/>
    </row>
    <row r="146" ht="37.5" customHeight="1">
      <c r="A146" s="102"/>
      <c r="B146" s="103" t="str">
        <f>$V$26</f>
        <v>#DIV/0!</v>
      </c>
      <c r="C146" s="104"/>
      <c r="D146" s="147">
        <f>$T$26</f>
        <v>0</v>
      </c>
      <c r="E146" s="111"/>
      <c r="F146" s="112">
        <f>$AA$26</f>
        <v>0</v>
      </c>
      <c r="G146" s="102"/>
      <c r="H146" s="103" t="str">
        <f>$V$27</f>
        <v>#DIV/0!</v>
      </c>
      <c r="I146" s="104"/>
      <c r="J146" s="147">
        <f>$T$27</f>
        <v>0</v>
      </c>
      <c r="K146" s="111"/>
      <c r="L146" s="112">
        <f>$AA$27</f>
        <v>0</v>
      </c>
      <c r="M146" s="107"/>
      <c r="N146" s="107"/>
      <c r="O146" s="107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94"/>
      <c r="AE146" s="94"/>
      <c r="AF146" s="94"/>
      <c r="AG146" s="94"/>
    </row>
    <row r="147" ht="11.25" customHeight="1">
      <c r="A147" s="95"/>
      <c r="B147" s="98"/>
      <c r="C147" s="95"/>
      <c r="D147" s="95"/>
      <c r="E147" s="95"/>
      <c r="F147" s="95"/>
      <c r="G147" s="95"/>
      <c r="H147" s="98"/>
      <c r="I147" s="95"/>
      <c r="J147" s="95"/>
      <c r="K147" s="95"/>
      <c r="L147" s="95"/>
      <c r="M147" s="95"/>
      <c r="N147" s="95"/>
      <c r="O147" s="95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4"/>
      <c r="AE147" s="94"/>
      <c r="AF147" s="94"/>
      <c r="AG147" s="94"/>
    </row>
    <row r="148">
      <c r="A148" s="99"/>
      <c r="B148" s="101" t="s">
        <v>4057</v>
      </c>
      <c r="C148" s="95"/>
      <c r="D148" s="109" t="s">
        <v>4058</v>
      </c>
      <c r="E148" s="99"/>
      <c r="F148" s="101" t="s">
        <v>4059</v>
      </c>
      <c r="G148" s="99"/>
      <c r="H148" s="101" t="s">
        <v>4057</v>
      </c>
      <c r="I148" s="95"/>
      <c r="J148" s="109" t="s">
        <v>4058</v>
      </c>
      <c r="K148" s="99"/>
      <c r="L148" s="101" t="s">
        <v>4059</v>
      </c>
      <c r="M148" s="95"/>
      <c r="N148" s="95"/>
      <c r="O148" s="95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4"/>
      <c r="AE148" s="94"/>
      <c r="AF148" s="94"/>
      <c r="AG148" s="94"/>
    </row>
    <row r="149" ht="44.25" customHeight="1">
      <c r="A149" s="102"/>
      <c r="B149" s="103">
        <f>$R$26</f>
        <v>0</v>
      </c>
      <c r="C149" s="111"/>
      <c r="D149" s="113">
        <f>$X$26</f>
        <v>0</v>
      </c>
      <c r="E149" s="104"/>
      <c r="F149" s="112">
        <f>$AC$26</f>
        <v>0</v>
      </c>
      <c r="G149" s="102"/>
      <c r="H149" s="103">
        <f>$R$27</f>
        <v>0</v>
      </c>
      <c r="I149" s="111"/>
      <c r="J149" s="113">
        <f>$X$27</f>
        <v>0</v>
      </c>
      <c r="K149" s="104"/>
      <c r="L149" s="112">
        <f>$AC$27</f>
        <v>0</v>
      </c>
      <c r="M149" s="107"/>
      <c r="N149" s="107"/>
      <c r="O149" s="107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94"/>
      <c r="AE149" s="94"/>
      <c r="AF149" s="94"/>
      <c r="AG149" s="94"/>
    </row>
    <row r="150" ht="11.25" customHeight="1">
      <c r="A150" s="95"/>
      <c r="B150" s="96"/>
      <c r="C150" s="95"/>
      <c r="D150" s="95"/>
      <c r="E150" s="95"/>
      <c r="F150" s="114" t="str">
        <f>$AD$26</f>
        <v>#DIV/0!</v>
      </c>
      <c r="G150" s="95"/>
      <c r="H150" s="96"/>
      <c r="I150" s="95"/>
      <c r="J150" s="95"/>
      <c r="K150" s="95"/>
      <c r="L150" s="114" t="str">
        <f>$AD$27</f>
        <v>#DIV/0!</v>
      </c>
      <c r="M150" s="95"/>
      <c r="N150" s="95"/>
      <c r="O150" s="95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4"/>
      <c r="AE150" s="94"/>
      <c r="AF150" s="94"/>
      <c r="AG150" s="94"/>
    </row>
    <row r="151">
      <c r="A151" s="95"/>
      <c r="B151" s="101" t="s">
        <v>4060</v>
      </c>
      <c r="C151" s="95"/>
      <c r="D151" s="109" t="s">
        <v>4061</v>
      </c>
      <c r="E151" s="95"/>
      <c r="F151" s="101" t="s">
        <v>4091</v>
      </c>
      <c r="G151" s="95"/>
      <c r="H151" s="101" t="s">
        <v>4060</v>
      </c>
      <c r="I151" s="95"/>
      <c r="J151" s="109" t="s">
        <v>4061</v>
      </c>
      <c r="K151" s="95"/>
      <c r="L151" s="101" t="s">
        <v>4091</v>
      </c>
      <c r="M151" s="95"/>
      <c r="N151" s="95"/>
      <c r="O151" s="95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4"/>
      <c r="AE151" s="94"/>
      <c r="AF151" s="94"/>
      <c r="AG151" s="94"/>
    </row>
    <row r="152" ht="42.75" customHeight="1">
      <c r="A152" s="95"/>
      <c r="B152" s="115" t="str">
        <f>$W$26</f>
        <v>#DIV/0!</v>
      </c>
      <c r="C152" s="116"/>
      <c r="D152" s="113">
        <f>$Y$26</f>
        <v>0</v>
      </c>
      <c r="E152" s="116"/>
      <c r="F152" s="105">
        <f>$AB$26</f>
        <v>0</v>
      </c>
      <c r="G152" s="95"/>
      <c r="H152" s="115" t="str">
        <f>$W$27</f>
        <v>#DIV/0!</v>
      </c>
      <c r="I152" s="116"/>
      <c r="J152" s="113">
        <f>$Y$27</f>
        <v>0</v>
      </c>
      <c r="K152" s="116"/>
      <c r="L152" s="105">
        <f>$AB$27</f>
        <v>0</v>
      </c>
      <c r="M152" s="95"/>
      <c r="N152" s="95"/>
      <c r="O152" s="95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4"/>
      <c r="AE152" s="94"/>
      <c r="AF152" s="94"/>
      <c r="AG152" s="94"/>
    </row>
    <row r="153">
      <c r="A153" s="95"/>
      <c r="B153" s="150"/>
      <c r="C153" s="95"/>
      <c r="D153" s="95"/>
      <c r="E153" s="95"/>
      <c r="F153" s="95"/>
      <c r="G153" s="95"/>
      <c r="H153" s="149"/>
      <c r="I153" s="95"/>
      <c r="J153" s="95"/>
      <c r="K153" s="95"/>
      <c r="L153" s="95"/>
      <c r="M153" s="95"/>
      <c r="N153" s="95"/>
      <c r="O153" s="95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4"/>
      <c r="AE153" s="94"/>
      <c r="AF153" s="94"/>
      <c r="AG153" s="94"/>
    </row>
    <row r="154">
      <c r="A154" s="95"/>
      <c r="B154" s="150"/>
      <c r="C154" s="95"/>
      <c r="D154" s="95"/>
      <c r="E154" s="95"/>
      <c r="F154" s="95"/>
      <c r="G154" s="95"/>
      <c r="H154" s="149"/>
      <c r="I154" s="95"/>
      <c r="J154" s="95"/>
      <c r="K154" s="95"/>
      <c r="L154" s="95"/>
      <c r="M154" s="95"/>
      <c r="N154" s="95"/>
      <c r="O154" s="95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4"/>
      <c r="AE154" s="94"/>
      <c r="AF154" s="94"/>
      <c r="AG154" s="94"/>
    </row>
    <row r="155">
      <c r="A155" s="95"/>
      <c r="B155" s="150"/>
      <c r="C155" s="95"/>
      <c r="D155" s="95"/>
      <c r="E155" s="95"/>
      <c r="F155" s="95"/>
      <c r="G155" s="95"/>
      <c r="H155" s="149"/>
      <c r="I155" s="95"/>
      <c r="J155" s="95"/>
      <c r="K155" s="95"/>
      <c r="L155" s="95"/>
      <c r="M155" s="95"/>
      <c r="N155" s="95"/>
      <c r="O155" s="95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4"/>
      <c r="AE155" s="94"/>
      <c r="AF155" s="94"/>
      <c r="AG155" s="94"/>
    </row>
    <row r="156">
      <c r="A156" s="95"/>
      <c r="B156" s="150">
        <v>45962.0</v>
      </c>
      <c r="C156" s="95"/>
      <c r="D156" s="95"/>
      <c r="E156" s="95"/>
      <c r="F156" s="95"/>
      <c r="G156" s="95"/>
      <c r="H156" s="150">
        <v>45992.0</v>
      </c>
      <c r="I156" s="95"/>
      <c r="J156" s="95"/>
      <c r="K156" s="95"/>
      <c r="L156" s="95"/>
      <c r="M156" s="95"/>
      <c r="N156" s="95"/>
      <c r="O156" s="95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4"/>
      <c r="AE156" s="94"/>
      <c r="AF156" s="94"/>
      <c r="AG156" s="94"/>
    </row>
    <row r="157">
      <c r="A157" s="95"/>
      <c r="B157" s="98"/>
      <c r="C157" s="95"/>
      <c r="D157" s="98"/>
      <c r="E157" s="95"/>
      <c r="F157" s="98"/>
      <c r="G157" s="95"/>
      <c r="H157" s="98"/>
      <c r="I157" s="95"/>
      <c r="J157" s="98"/>
      <c r="K157" s="95"/>
      <c r="L157" s="98"/>
      <c r="M157" s="95"/>
      <c r="N157" s="95"/>
      <c r="O157" s="95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4"/>
      <c r="AE157" s="94"/>
      <c r="AF157" s="94"/>
      <c r="AG157" s="94"/>
    </row>
    <row r="158">
      <c r="A158" s="99"/>
      <c r="B158" s="100" t="s">
        <v>4051</v>
      </c>
      <c r="C158" s="99"/>
      <c r="D158" s="100" t="s">
        <v>4052</v>
      </c>
      <c r="E158" s="99"/>
      <c r="F158" s="101" t="s">
        <v>4053</v>
      </c>
      <c r="G158" s="99"/>
      <c r="H158" s="100" t="s">
        <v>4051</v>
      </c>
      <c r="I158" s="99"/>
      <c r="J158" s="100" t="s">
        <v>4052</v>
      </c>
      <c r="K158" s="99"/>
      <c r="L158" s="101" t="s">
        <v>4053</v>
      </c>
      <c r="M158" s="95"/>
      <c r="N158" s="95"/>
      <c r="O158" s="95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4"/>
      <c r="AE158" s="94"/>
      <c r="AF158" s="94"/>
      <c r="AG158" s="94"/>
    </row>
    <row r="159" ht="40.5" customHeight="1">
      <c r="A159" s="102"/>
      <c r="B159" s="103" t="str">
        <f>$U$28</f>
        <v>#DIV/0!</v>
      </c>
      <c r="C159" s="104"/>
      <c r="D159" s="146">
        <f>$S$28</f>
        <v>0</v>
      </c>
      <c r="E159" s="104"/>
      <c r="F159" s="106" t="str">
        <f>$Z$28</f>
        <v>#DIV/0!</v>
      </c>
      <c r="G159" s="102"/>
      <c r="H159" s="103" t="str">
        <f>$U$29</f>
        <v>#DIV/0!</v>
      </c>
      <c r="I159" s="104"/>
      <c r="J159" s="146">
        <f>$S$29</f>
        <v>0</v>
      </c>
      <c r="K159" s="104"/>
      <c r="L159" s="106" t="str">
        <f>$Z$29</f>
        <v>#DIV/0!</v>
      </c>
      <c r="M159" s="107"/>
      <c r="N159" s="107"/>
      <c r="O159" s="107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94"/>
      <c r="AE159" s="94"/>
      <c r="AF159" s="94"/>
      <c r="AG159" s="94"/>
    </row>
    <row r="160" ht="11.25" customHeight="1">
      <c r="A160" s="95"/>
      <c r="B160" s="98"/>
      <c r="C160" s="95"/>
      <c r="D160" s="98"/>
      <c r="E160" s="95"/>
      <c r="F160" s="98"/>
      <c r="G160" s="95"/>
      <c r="H160" s="98"/>
      <c r="I160" s="95"/>
      <c r="J160" s="98"/>
      <c r="K160" s="95"/>
      <c r="L160" s="98"/>
      <c r="M160" s="95"/>
      <c r="N160" s="95"/>
      <c r="O160" s="95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4"/>
      <c r="AE160" s="94"/>
      <c r="AF160" s="94"/>
      <c r="AG160" s="94"/>
    </row>
    <row r="161">
      <c r="A161" s="99"/>
      <c r="B161" s="100" t="s">
        <v>4054</v>
      </c>
      <c r="C161" s="99"/>
      <c r="D161" s="109" t="s">
        <v>4055</v>
      </c>
      <c r="E161" s="95"/>
      <c r="F161" s="101" t="s">
        <v>4056</v>
      </c>
      <c r="G161" s="99"/>
      <c r="H161" s="100" t="s">
        <v>4054</v>
      </c>
      <c r="I161" s="99"/>
      <c r="J161" s="109" t="s">
        <v>4055</v>
      </c>
      <c r="K161" s="95"/>
      <c r="L161" s="101" t="s">
        <v>4056</v>
      </c>
      <c r="M161" s="95"/>
      <c r="N161" s="95"/>
      <c r="O161" s="95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4"/>
      <c r="AE161" s="94"/>
      <c r="AF161" s="94"/>
      <c r="AG161" s="94"/>
    </row>
    <row r="162" ht="37.5" customHeight="1">
      <c r="A162" s="102"/>
      <c r="B162" s="103" t="str">
        <f>$V$28</f>
        <v>#DIV/0!</v>
      </c>
      <c r="C162" s="104"/>
      <c r="D162" s="147">
        <f>$T$28</f>
        <v>0</v>
      </c>
      <c r="E162" s="111"/>
      <c r="F162" s="112">
        <f>$AA$28</f>
        <v>0</v>
      </c>
      <c r="G162" s="102"/>
      <c r="H162" s="103" t="str">
        <f>$V$29</f>
        <v>#DIV/0!</v>
      </c>
      <c r="I162" s="104"/>
      <c r="J162" s="147">
        <f>$T$29</f>
        <v>0</v>
      </c>
      <c r="K162" s="111"/>
      <c r="L162" s="112">
        <f>$AA$29</f>
        <v>0</v>
      </c>
      <c r="M162" s="107"/>
      <c r="N162" s="107"/>
      <c r="O162" s="107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94"/>
      <c r="AE162" s="94"/>
      <c r="AF162" s="94"/>
      <c r="AG162" s="94"/>
    </row>
    <row r="163" ht="11.25" customHeight="1">
      <c r="A163" s="95"/>
      <c r="B163" s="98"/>
      <c r="C163" s="95"/>
      <c r="D163" s="95"/>
      <c r="E163" s="95"/>
      <c r="F163" s="95"/>
      <c r="G163" s="95"/>
      <c r="H163" s="98"/>
      <c r="I163" s="95"/>
      <c r="J163" s="95"/>
      <c r="K163" s="95"/>
      <c r="L163" s="95"/>
      <c r="M163" s="95"/>
      <c r="N163" s="95"/>
      <c r="O163" s="95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4"/>
      <c r="AE163" s="94"/>
      <c r="AF163" s="94"/>
      <c r="AG163" s="94"/>
    </row>
    <row r="164">
      <c r="A164" s="99"/>
      <c r="B164" s="101" t="s">
        <v>4057</v>
      </c>
      <c r="C164" s="95"/>
      <c r="D164" s="109" t="s">
        <v>4058</v>
      </c>
      <c r="E164" s="99"/>
      <c r="F164" s="101" t="s">
        <v>4059</v>
      </c>
      <c r="G164" s="99"/>
      <c r="H164" s="101" t="s">
        <v>4057</v>
      </c>
      <c r="I164" s="95"/>
      <c r="J164" s="109" t="s">
        <v>4058</v>
      </c>
      <c r="K164" s="99"/>
      <c r="L164" s="101" t="s">
        <v>4059</v>
      </c>
      <c r="M164" s="95"/>
      <c r="N164" s="95"/>
      <c r="O164" s="95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4"/>
      <c r="AE164" s="94"/>
      <c r="AF164" s="94"/>
      <c r="AG164" s="94"/>
    </row>
    <row r="165" ht="44.25" customHeight="1">
      <c r="A165" s="102"/>
      <c r="B165" s="103">
        <f>$R$28</f>
        <v>0</v>
      </c>
      <c r="C165" s="111"/>
      <c r="D165" s="113">
        <f>$X$28</f>
        <v>0</v>
      </c>
      <c r="E165" s="104"/>
      <c r="F165" s="112">
        <f>$AC$28</f>
        <v>0</v>
      </c>
      <c r="G165" s="102"/>
      <c r="H165" s="103">
        <f>$R$29</f>
        <v>0</v>
      </c>
      <c r="I165" s="111"/>
      <c r="J165" s="113">
        <f>$X$29</f>
        <v>0</v>
      </c>
      <c r="K165" s="104"/>
      <c r="L165" s="112">
        <f>$AC$29</f>
        <v>0</v>
      </c>
      <c r="M165" s="107"/>
      <c r="N165" s="107"/>
      <c r="O165" s="107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94"/>
      <c r="AE165" s="94"/>
      <c r="AF165" s="94"/>
      <c r="AG165" s="94"/>
    </row>
    <row r="166" ht="11.25" customHeight="1">
      <c r="A166" s="95"/>
      <c r="B166" s="96"/>
      <c r="C166" s="95"/>
      <c r="D166" s="95"/>
      <c r="E166" s="95"/>
      <c r="F166" s="114" t="str">
        <f>$AD$28</f>
        <v>#DIV/0!</v>
      </c>
      <c r="G166" s="95"/>
      <c r="H166" s="96"/>
      <c r="I166" s="95"/>
      <c r="J166" s="95"/>
      <c r="K166" s="95"/>
      <c r="L166" s="114" t="str">
        <f>$AD$29</f>
        <v>#DIV/0!</v>
      </c>
      <c r="M166" s="95"/>
      <c r="N166" s="95"/>
      <c r="O166" s="95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4"/>
      <c r="AE166" s="94"/>
      <c r="AF166" s="94"/>
      <c r="AG166" s="94"/>
    </row>
    <row r="167">
      <c r="A167" s="95"/>
      <c r="B167" s="101" t="s">
        <v>4060</v>
      </c>
      <c r="C167" s="95"/>
      <c r="D167" s="109" t="s">
        <v>4061</v>
      </c>
      <c r="E167" s="95"/>
      <c r="F167" s="101" t="s">
        <v>4091</v>
      </c>
      <c r="G167" s="95"/>
      <c r="H167" s="101" t="s">
        <v>4060</v>
      </c>
      <c r="I167" s="95"/>
      <c r="J167" s="109" t="s">
        <v>4061</v>
      </c>
      <c r="K167" s="95"/>
      <c r="L167" s="101" t="s">
        <v>4091</v>
      </c>
      <c r="M167" s="95"/>
      <c r="N167" s="95"/>
      <c r="O167" s="95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4"/>
      <c r="AE167" s="94"/>
      <c r="AF167" s="94"/>
      <c r="AG167" s="94"/>
    </row>
    <row r="168" ht="42.75" customHeight="1">
      <c r="A168" s="95"/>
      <c r="B168" s="115" t="str">
        <f>$W$28</f>
        <v>#DIV/0!</v>
      </c>
      <c r="C168" s="116"/>
      <c r="D168" s="113">
        <f>$Y$28</f>
        <v>0</v>
      </c>
      <c r="E168" s="116"/>
      <c r="F168" s="105">
        <f>$AB$28</f>
        <v>0</v>
      </c>
      <c r="G168" s="95"/>
      <c r="H168" s="115" t="str">
        <f>$W$29</f>
        <v>#DIV/0!</v>
      </c>
      <c r="I168" s="116"/>
      <c r="J168" s="113">
        <f>$Y$29</f>
        <v>0</v>
      </c>
      <c r="K168" s="116"/>
      <c r="L168" s="105">
        <f>$AB$29</f>
        <v>0</v>
      </c>
      <c r="M168" s="95"/>
      <c r="N168" s="95"/>
      <c r="O168" s="95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4"/>
      <c r="AE168" s="94"/>
      <c r="AF168" s="94"/>
      <c r="AG168" s="94"/>
    </row>
    <row r="169"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4"/>
      <c r="AE169" s="94"/>
      <c r="AF169" s="94"/>
      <c r="AG169" s="94"/>
    </row>
    <row r="170"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4"/>
      <c r="AE170" s="94"/>
      <c r="AF170" s="94"/>
      <c r="AG170" s="94"/>
    </row>
    <row r="171"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4"/>
      <c r="AE171" s="94"/>
      <c r="AF171" s="94"/>
      <c r="AG171" s="94"/>
    </row>
    <row r="172" ht="64.5" customHeight="1"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4"/>
      <c r="AE172" s="94"/>
      <c r="AF172" s="94"/>
      <c r="AG172" s="94"/>
    </row>
    <row r="173"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4"/>
      <c r="AE173" s="94"/>
      <c r="AF173" s="94"/>
      <c r="AG173" s="94"/>
    </row>
    <row r="174"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4"/>
      <c r="AE174" s="94"/>
      <c r="AF174" s="94"/>
      <c r="AG174" s="94"/>
    </row>
    <row r="175" ht="64.5" customHeight="1"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4"/>
      <c r="AE175" s="94"/>
      <c r="AF175" s="94"/>
      <c r="AG175" s="94"/>
    </row>
    <row r="176"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4"/>
      <c r="AE176" s="94"/>
      <c r="AF176" s="94"/>
      <c r="AG176" s="94"/>
    </row>
    <row r="177"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4"/>
      <c r="AE177" s="94"/>
      <c r="AF177" s="94"/>
      <c r="AG177" s="94"/>
    </row>
    <row r="178" ht="64.5" customHeight="1"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4"/>
      <c r="AE178" s="94"/>
      <c r="AF178" s="94"/>
      <c r="AG178" s="94"/>
    </row>
    <row r="179"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4"/>
      <c r="AE179" s="94"/>
      <c r="AF179" s="94"/>
      <c r="AG179" s="94"/>
    </row>
    <row r="180"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4"/>
      <c r="AE180" s="94"/>
      <c r="AF180" s="94"/>
      <c r="AG180" s="94"/>
    </row>
    <row r="181"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4"/>
      <c r="AE181" s="94"/>
      <c r="AF181" s="94"/>
      <c r="AG181" s="94"/>
    </row>
    <row r="182"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4"/>
      <c r="AE182" s="94"/>
      <c r="AF182" s="94"/>
      <c r="AG182" s="94"/>
    </row>
    <row r="183"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4"/>
      <c r="AE183" s="94"/>
      <c r="AF183" s="94"/>
      <c r="AG183" s="94"/>
    </row>
    <row r="184"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4"/>
      <c r="AE184" s="94"/>
      <c r="AF184" s="94"/>
      <c r="AG184" s="94"/>
    </row>
    <row r="185"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4"/>
      <c r="AE185" s="94"/>
      <c r="AF185" s="94"/>
      <c r="AG185" s="94"/>
    </row>
    <row r="186"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4"/>
      <c r="AE186" s="94"/>
      <c r="AF186" s="94"/>
      <c r="AG186" s="94"/>
    </row>
    <row r="187"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4"/>
      <c r="AE187" s="94"/>
      <c r="AF187" s="94"/>
      <c r="AG187" s="94"/>
    </row>
    <row r="188"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4"/>
      <c r="AE188" s="94"/>
      <c r="AF188" s="94"/>
      <c r="AG188" s="94"/>
    </row>
    <row r="189"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4"/>
      <c r="AE189" s="94"/>
      <c r="AF189" s="94"/>
      <c r="AG189" s="94"/>
    </row>
    <row r="190"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4"/>
      <c r="AE190" s="94"/>
      <c r="AF190" s="94"/>
      <c r="AG190" s="94"/>
    </row>
    <row r="191"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4"/>
      <c r="AE191" s="94"/>
      <c r="AF191" s="94"/>
      <c r="AG191" s="94"/>
    </row>
    <row r="192"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4"/>
      <c r="AE192" s="94"/>
      <c r="AF192" s="94"/>
      <c r="AG192" s="94"/>
    </row>
    <row r="193"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4"/>
      <c r="AE193" s="94"/>
      <c r="AF193" s="94"/>
      <c r="AG193" s="94"/>
    </row>
    <row r="194"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4"/>
      <c r="AE194" s="94"/>
      <c r="AF194" s="94"/>
      <c r="AG194" s="94"/>
    </row>
    <row r="195"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4"/>
      <c r="AE195" s="94"/>
      <c r="AF195" s="94"/>
      <c r="AG195" s="94"/>
    </row>
    <row r="196"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4"/>
      <c r="AE196" s="94"/>
      <c r="AF196" s="94"/>
      <c r="AG196" s="94"/>
    </row>
    <row r="197"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4"/>
      <c r="AE197" s="94"/>
      <c r="AF197" s="94"/>
      <c r="AG197" s="94"/>
    </row>
    <row r="198"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4"/>
      <c r="AE198" s="94"/>
      <c r="AF198" s="94"/>
      <c r="AG198" s="94"/>
    </row>
    <row r="199"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4"/>
      <c r="AE199" s="94"/>
      <c r="AF199" s="94"/>
      <c r="AG199" s="94"/>
    </row>
    <row r="200"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4"/>
      <c r="AE200" s="94"/>
      <c r="AF200" s="94"/>
      <c r="AG200" s="94"/>
    </row>
    <row r="201"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4"/>
      <c r="AE201" s="94"/>
      <c r="AF201" s="94"/>
      <c r="AG201" s="94"/>
    </row>
    <row r="202"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4"/>
      <c r="AE202" s="94"/>
      <c r="AF202" s="94"/>
      <c r="AG202" s="94"/>
    </row>
    <row r="203"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4"/>
      <c r="AE203" s="94"/>
      <c r="AF203" s="94"/>
      <c r="AG203" s="94"/>
    </row>
    <row r="204"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4"/>
      <c r="AE204" s="94"/>
      <c r="AF204" s="94"/>
      <c r="AG204" s="94"/>
    </row>
    <row r="205"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4"/>
      <c r="AE205" s="94"/>
      <c r="AF205" s="94"/>
      <c r="AG205" s="94"/>
    </row>
    <row r="206"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4"/>
      <c r="AE206" s="94"/>
      <c r="AF206" s="94"/>
      <c r="AG206" s="94"/>
    </row>
    <row r="207"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4"/>
      <c r="AE207" s="94"/>
      <c r="AF207" s="94"/>
      <c r="AG207" s="94"/>
    </row>
    <row r="208"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4"/>
      <c r="AE208" s="94"/>
      <c r="AF208" s="94"/>
      <c r="AG208" s="94"/>
    </row>
    <row r="209"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4"/>
      <c r="AE209" s="94"/>
      <c r="AF209" s="94"/>
      <c r="AG209" s="94"/>
    </row>
    <row r="210"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4"/>
      <c r="AE210" s="94"/>
      <c r="AF210" s="94"/>
      <c r="AG210" s="94"/>
    </row>
    <row r="211"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4"/>
      <c r="AE211" s="94"/>
      <c r="AF211" s="94"/>
      <c r="AG211" s="94"/>
    </row>
    <row r="212"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4"/>
      <c r="AE212" s="94"/>
      <c r="AF212" s="94"/>
      <c r="AG212" s="94"/>
    </row>
    <row r="213"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4"/>
      <c r="AE213" s="94"/>
      <c r="AF213" s="94"/>
      <c r="AG213" s="94"/>
    </row>
    <row r="214"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4"/>
      <c r="AE214" s="94"/>
      <c r="AF214" s="94"/>
      <c r="AG214" s="94"/>
    </row>
    <row r="215"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4"/>
      <c r="AE215" s="94"/>
      <c r="AF215" s="94"/>
      <c r="AG215" s="94"/>
    </row>
    <row r="216"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4"/>
      <c r="AE216" s="94"/>
      <c r="AF216" s="94"/>
      <c r="AG216" s="94"/>
    </row>
    <row r="217"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4"/>
      <c r="AE217" s="94"/>
      <c r="AF217" s="94"/>
      <c r="AG217" s="94"/>
    </row>
    <row r="218"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4"/>
      <c r="AE218" s="94"/>
      <c r="AF218" s="94"/>
      <c r="AG218" s="94"/>
    </row>
    <row r="219"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4"/>
      <c r="AE219" s="94"/>
      <c r="AF219" s="94"/>
      <c r="AG219" s="94"/>
    </row>
    <row r="220"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4"/>
      <c r="AE220" s="94"/>
      <c r="AF220" s="94"/>
      <c r="AG220" s="94"/>
    </row>
    <row r="221"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4"/>
      <c r="AE221" s="94"/>
      <c r="AF221" s="94"/>
      <c r="AG221" s="94"/>
    </row>
    <row r="222"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4"/>
      <c r="AE222" s="94"/>
      <c r="AF222" s="94"/>
      <c r="AG222" s="94"/>
    </row>
    <row r="223"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4"/>
      <c r="AE223" s="94"/>
      <c r="AF223" s="94"/>
      <c r="AG223" s="94"/>
    </row>
    <row r="224"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4"/>
      <c r="AE224" s="94"/>
      <c r="AF224" s="94"/>
      <c r="AG224" s="94"/>
    </row>
    <row r="225"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4"/>
      <c r="AE225" s="94"/>
      <c r="AF225" s="94"/>
      <c r="AG225" s="94"/>
    </row>
    <row r="226"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4"/>
      <c r="AE226" s="94"/>
      <c r="AF226" s="94"/>
      <c r="AG226" s="94"/>
    </row>
    <row r="227"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4"/>
      <c r="AE227" s="94"/>
      <c r="AF227" s="94"/>
      <c r="AG227" s="94"/>
    </row>
    <row r="228"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4"/>
      <c r="AE228" s="94"/>
      <c r="AF228" s="94"/>
      <c r="AG228" s="94"/>
    </row>
    <row r="229"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4"/>
      <c r="AE229" s="94"/>
      <c r="AF229" s="94"/>
      <c r="AG229" s="94"/>
    </row>
    <row r="230"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4"/>
      <c r="AE230" s="94"/>
      <c r="AF230" s="94"/>
      <c r="AG230" s="94"/>
    </row>
    <row r="231"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4"/>
      <c r="AE231" s="94"/>
      <c r="AF231" s="94"/>
      <c r="AG231" s="94"/>
    </row>
    <row r="232"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4"/>
      <c r="AE232" s="94"/>
      <c r="AF232" s="94"/>
      <c r="AG232" s="94"/>
    </row>
    <row r="233"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4"/>
      <c r="AE233" s="94"/>
      <c r="AF233" s="94"/>
      <c r="AG233" s="94"/>
    </row>
    <row r="234"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4"/>
      <c r="AE234" s="94"/>
      <c r="AF234" s="94"/>
      <c r="AG234" s="94"/>
    </row>
    <row r="235"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4"/>
      <c r="AE235" s="94"/>
      <c r="AF235" s="94"/>
      <c r="AG235" s="94"/>
    </row>
    <row r="236"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4"/>
      <c r="AE236" s="94"/>
      <c r="AF236" s="94"/>
      <c r="AG236" s="94"/>
    </row>
    <row r="237"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4"/>
      <c r="AE237" s="94"/>
      <c r="AF237" s="94"/>
      <c r="AG237" s="94"/>
    </row>
    <row r="238"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4"/>
      <c r="AE238" s="94"/>
      <c r="AF238" s="94"/>
      <c r="AG238" s="94"/>
    </row>
    <row r="239"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4"/>
      <c r="AE239" s="94"/>
      <c r="AF239" s="94"/>
      <c r="AG239" s="94"/>
    </row>
    <row r="240"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4"/>
      <c r="AE240" s="94"/>
      <c r="AF240" s="94"/>
      <c r="AG240" s="94"/>
    </row>
    <row r="241"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4"/>
      <c r="AE241" s="94"/>
      <c r="AF241" s="94"/>
      <c r="AG241" s="94"/>
    </row>
    <row r="242"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4"/>
      <c r="AE242" s="94"/>
      <c r="AF242" s="94"/>
      <c r="AG242" s="94"/>
    </row>
    <row r="243"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4"/>
      <c r="AE243" s="94"/>
      <c r="AF243" s="94"/>
      <c r="AG243" s="94"/>
    </row>
    <row r="244"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4"/>
      <c r="AE244" s="94"/>
      <c r="AF244" s="94"/>
      <c r="AG244" s="94"/>
    </row>
    <row r="245"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4"/>
      <c r="AE245" s="94"/>
      <c r="AF245" s="94"/>
      <c r="AG245" s="94"/>
    </row>
    <row r="246"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4"/>
      <c r="AE246" s="94"/>
      <c r="AF246" s="94"/>
      <c r="AG246" s="94"/>
    </row>
    <row r="247"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4"/>
      <c r="AE247" s="94"/>
      <c r="AF247" s="94"/>
      <c r="AG247" s="94"/>
    </row>
    <row r="248"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4"/>
      <c r="AE248" s="94"/>
      <c r="AF248" s="94"/>
      <c r="AG248" s="94"/>
    </row>
    <row r="249"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4"/>
      <c r="AE249" s="94"/>
      <c r="AF249" s="94"/>
      <c r="AG249" s="94"/>
    </row>
    <row r="250"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4"/>
      <c r="AE250" s="94"/>
      <c r="AF250" s="94"/>
      <c r="AG250" s="94"/>
    </row>
    <row r="251"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4"/>
      <c r="AE251" s="94"/>
      <c r="AF251" s="94"/>
      <c r="AG251" s="94"/>
    </row>
    <row r="252"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4"/>
      <c r="AE252" s="94"/>
      <c r="AF252" s="94"/>
      <c r="AG252" s="94"/>
    </row>
    <row r="253"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4"/>
      <c r="AE253" s="94"/>
      <c r="AF253" s="94"/>
      <c r="AG253" s="94"/>
    </row>
    <row r="254"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4"/>
      <c r="AE254" s="94"/>
      <c r="AF254" s="94"/>
      <c r="AG254" s="94"/>
    </row>
    <row r="255"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4"/>
      <c r="AE255" s="94"/>
      <c r="AF255" s="94"/>
      <c r="AG255" s="94"/>
    </row>
    <row r="256"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4"/>
      <c r="AE256" s="94"/>
      <c r="AF256" s="94"/>
      <c r="AG256" s="94"/>
    </row>
    <row r="257"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4"/>
      <c r="AE257" s="94"/>
      <c r="AF257" s="94"/>
      <c r="AG257" s="94"/>
    </row>
    <row r="258"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4"/>
      <c r="AE258" s="94"/>
      <c r="AF258" s="94"/>
      <c r="AG258" s="94"/>
    </row>
    <row r="259"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4"/>
      <c r="AE259" s="94"/>
      <c r="AF259" s="94"/>
      <c r="AG259" s="94"/>
    </row>
    <row r="260"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4"/>
      <c r="AE260" s="94"/>
      <c r="AF260" s="94"/>
      <c r="AG260" s="94"/>
    </row>
    <row r="261"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4"/>
      <c r="AE261" s="94"/>
      <c r="AF261" s="94"/>
      <c r="AG261" s="94"/>
    </row>
    <row r="262"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4"/>
      <c r="AE262" s="94"/>
      <c r="AF262" s="94"/>
      <c r="AG262" s="94"/>
    </row>
    <row r="263"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4"/>
      <c r="AE263" s="94"/>
      <c r="AF263" s="94"/>
      <c r="AG263" s="94"/>
    </row>
    <row r="264"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4"/>
      <c r="AE264" s="94"/>
      <c r="AF264" s="94"/>
      <c r="AG264" s="94"/>
    </row>
    <row r="265"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4"/>
      <c r="AE265" s="94"/>
      <c r="AF265" s="94"/>
      <c r="AG265" s="94"/>
    </row>
    <row r="266"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4"/>
      <c r="AE266" s="94"/>
      <c r="AF266" s="94"/>
      <c r="AG266" s="94"/>
    </row>
    <row r="267"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4"/>
      <c r="AE267" s="94"/>
      <c r="AF267" s="94"/>
      <c r="AG267" s="94"/>
    </row>
    <row r="268"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4"/>
      <c r="AE268" s="94"/>
      <c r="AF268" s="94"/>
      <c r="AG268" s="94"/>
    </row>
    <row r="269"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4"/>
      <c r="AE269" s="94"/>
      <c r="AF269" s="94"/>
      <c r="AG269" s="94"/>
    </row>
    <row r="270"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4"/>
      <c r="AE270" s="94"/>
      <c r="AF270" s="94"/>
      <c r="AG270" s="94"/>
    </row>
    <row r="271"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4"/>
      <c r="AE271" s="94"/>
      <c r="AF271" s="94"/>
      <c r="AG271" s="94"/>
    </row>
    <row r="272"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4"/>
      <c r="AE272" s="94"/>
      <c r="AF272" s="94"/>
      <c r="AG272" s="94"/>
    </row>
    <row r="273"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4"/>
      <c r="AE273" s="94"/>
      <c r="AF273" s="94"/>
      <c r="AG273" s="94"/>
    </row>
    <row r="274"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4"/>
      <c r="AE274" s="94"/>
      <c r="AF274" s="94"/>
      <c r="AG274" s="94"/>
    </row>
    <row r="275"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4"/>
      <c r="AE275" s="94"/>
      <c r="AF275" s="94"/>
      <c r="AG275" s="94"/>
    </row>
    <row r="276"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4"/>
      <c r="AE276" s="94"/>
      <c r="AF276" s="94"/>
      <c r="AG276" s="94"/>
    </row>
    <row r="277"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4"/>
      <c r="AE277" s="94"/>
      <c r="AF277" s="94"/>
      <c r="AG277" s="94"/>
    </row>
    <row r="278"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4"/>
      <c r="AE278" s="94"/>
      <c r="AF278" s="94"/>
      <c r="AG278" s="94"/>
    </row>
    <row r="279"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4"/>
      <c r="AE279" s="94"/>
      <c r="AF279" s="94"/>
      <c r="AG279" s="94"/>
    </row>
    <row r="280"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4"/>
      <c r="AE280" s="94"/>
      <c r="AF280" s="94"/>
      <c r="AG280" s="94"/>
    </row>
    <row r="281"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4"/>
      <c r="AE281" s="94"/>
      <c r="AF281" s="94"/>
      <c r="AG281" s="94"/>
    </row>
    <row r="282"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4"/>
      <c r="AE282" s="94"/>
      <c r="AF282" s="94"/>
      <c r="AG282" s="94"/>
    </row>
    <row r="283"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4"/>
      <c r="AE283" s="94"/>
      <c r="AF283" s="94"/>
      <c r="AG283" s="94"/>
    </row>
    <row r="284"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4"/>
      <c r="AE284" s="94"/>
      <c r="AF284" s="94"/>
      <c r="AG284" s="94"/>
    </row>
    <row r="285"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4"/>
      <c r="AE285" s="94"/>
      <c r="AF285" s="94"/>
      <c r="AG285" s="94"/>
    </row>
    <row r="286"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4"/>
      <c r="AE286" s="94"/>
      <c r="AF286" s="94"/>
      <c r="AG286" s="94"/>
    </row>
    <row r="287"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4"/>
      <c r="AE287" s="94"/>
      <c r="AF287" s="94"/>
      <c r="AG287" s="94"/>
    </row>
    <row r="288"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4"/>
      <c r="AE288" s="94"/>
      <c r="AF288" s="94"/>
      <c r="AG288" s="94"/>
    </row>
    <row r="289"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4"/>
      <c r="AE289" s="94"/>
      <c r="AF289" s="94"/>
      <c r="AG289" s="94"/>
    </row>
    <row r="290"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4"/>
      <c r="AE290" s="94"/>
      <c r="AF290" s="94"/>
      <c r="AG290" s="94"/>
    </row>
    <row r="291"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4"/>
      <c r="AE291" s="94"/>
      <c r="AF291" s="94"/>
      <c r="AG291" s="94"/>
    </row>
    <row r="292"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4"/>
      <c r="AE292" s="94"/>
      <c r="AF292" s="94"/>
      <c r="AG292" s="94"/>
    </row>
    <row r="293"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4"/>
      <c r="AE293" s="94"/>
      <c r="AF293" s="94"/>
      <c r="AG293" s="94"/>
    </row>
    <row r="294"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4"/>
      <c r="AE294" s="94"/>
      <c r="AF294" s="94"/>
      <c r="AG294" s="94"/>
    </row>
    <row r="295"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4"/>
      <c r="AE295" s="94"/>
      <c r="AF295" s="94"/>
      <c r="AG295" s="94"/>
    </row>
    <row r="296"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4"/>
      <c r="AE296" s="94"/>
      <c r="AF296" s="94"/>
      <c r="AG296" s="94"/>
    </row>
    <row r="297"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4"/>
      <c r="AE297" s="94"/>
      <c r="AF297" s="94"/>
      <c r="AG297" s="94"/>
    </row>
    <row r="298"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4"/>
      <c r="AE298" s="94"/>
      <c r="AF298" s="94"/>
      <c r="AG298" s="94"/>
    </row>
    <row r="299"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4"/>
      <c r="AE299" s="94"/>
      <c r="AF299" s="94"/>
      <c r="AG299" s="94"/>
    </row>
    <row r="300"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4"/>
      <c r="AE300" s="94"/>
      <c r="AF300" s="94"/>
      <c r="AG300" s="94"/>
    </row>
    <row r="301"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4"/>
      <c r="AE301" s="94"/>
      <c r="AF301" s="94"/>
      <c r="AG301" s="94"/>
    </row>
    <row r="302"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4"/>
      <c r="AE302" s="94"/>
      <c r="AF302" s="94"/>
      <c r="AG302" s="94"/>
    </row>
    <row r="303"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4"/>
      <c r="AE303" s="94"/>
      <c r="AF303" s="94"/>
      <c r="AG303" s="94"/>
    </row>
    <row r="304"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4"/>
      <c r="AE304" s="94"/>
      <c r="AF304" s="94"/>
      <c r="AG304" s="94"/>
    </row>
    <row r="305"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4"/>
      <c r="AE305" s="94"/>
      <c r="AF305" s="94"/>
      <c r="AG305" s="94"/>
    </row>
    <row r="306"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4"/>
      <c r="AE306" s="94"/>
      <c r="AF306" s="94"/>
      <c r="AG306" s="94"/>
    </row>
    <row r="307"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4"/>
      <c r="AE307" s="94"/>
      <c r="AF307" s="94"/>
      <c r="AG307" s="94"/>
    </row>
    <row r="308"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4"/>
      <c r="AE308" s="94"/>
      <c r="AF308" s="94"/>
      <c r="AG308" s="94"/>
    </row>
    <row r="309"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4"/>
      <c r="AE309" s="94"/>
      <c r="AF309" s="94"/>
      <c r="AG309" s="94"/>
    </row>
    <row r="310"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4"/>
      <c r="AE310" s="94"/>
      <c r="AF310" s="94"/>
      <c r="AG310" s="94"/>
    </row>
    <row r="311"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4"/>
      <c r="AE311" s="94"/>
      <c r="AF311" s="94"/>
      <c r="AG311" s="94"/>
    </row>
    <row r="312"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4"/>
      <c r="AE312" s="94"/>
      <c r="AF312" s="94"/>
      <c r="AG312" s="94"/>
    </row>
    <row r="313"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4"/>
      <c r="AE313" s="94"/>
      <c r="AF313" s="94"/>
      <c r="AG313" s="94"/>
    </row>
    <row r="314"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4"/>
      <c r="AE314" s="94"/>
      <c r="AF314" s="94"/>
      <c r="AG314" s="94"/>
    </row>
    <row r="315"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4"/>
      <c r="AE315" s="94"/>
      <c r="AF315" s="94"/>
      <c r="AG315" s="94"/>
    </row>
    <row r="316"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4"/>
      <c r="AE316" s="94"/>
      <c r="AF316" s="94"/>
      <c r="AG316" s="94"/>
    </row>
    <row r="317"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4"/>
      <c r="AE317" s="94"/>
      <c r="AF317" s="94"/>
      <c r="AG317" s="94"/>
    </row>
    <row r="318"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4"/>
      <c r="AE318" s="94"/>
      <c r="AF318" s="94"/>
      <c r="AG318" s="94"/>
    </row>
    <row r="319"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4"/>
      <c r="AE319" s="94"/>
      <c r="AF319" s="94"/>
      <c r="AG319" s="94"/>
    </row>
    <row r="320"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4"/>
      <c r="AE320" s="94"/>
      <c r="AF320" s="94"/>
      <c r="AG320" s="94"/>
    </row>
    <row r="321"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4"/>
      <c r="AE321" s="94"/>
      <c r="AF321" s="94"/>
      <c r="AG321" s="94"/>
    </row>
    <row r="322"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4"/>
      <c r="AE322" s="94"/>
      <c r="AF322" s="94"/>
      <c r="AG322" s="94"/>
    </row>
    <row r="323"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4"/>
      <c r="AE323" s="94"/>
      <c r="AF323" s="94"/>
      <c r="AG323" s="94"/>
    </row>
    <row r="324"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4"/>
      <c r="AE324" s="94"/>
      <c r="AF324" s="94"/>
      <c r="AG324" s="94"/>
    </row>
    <row r="325"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4"/>
      <c r="AE325" s="94"/>
      <c r="AF325" s="94"/>
      <c r="AG325" s="94"/>
    </row>
    <row r="326"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4"/>
      <c r="AE326" s="94"/>
      <c r="AF326" s="94"/>
      <c r="AG326" s="94"/>
    </row>
    <row r="327"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4"/>
      <c r="AE327" s="94"/>
      <c r="AF327" s="94"/>
      <c r="AG327" s="94"/>
    </row>
    <row r="328"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4"/>
      <c r="AE328" s="94"/>
      <c r="AF328" s="94"/>
      <c r="AG328" s="94"/>
    </row>
    <row r="329"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4"/>
      <c r="AE329" s="94"/>
      <c r="AF329" s="94"/>
      <c r="AG329" s="94"/>
    </row>
    <row r="330"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4"/>
      <c r="AE330" s="94"/>
      <c r="AF330" s="94"/>
      <c r="AG330" s="94"/>
    </row>
    <row r="331"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4"/>
      <c r="AE331" s="94"/>
      <c r="AF331" s="94"/>
      <c r="AG331" s="94"/>
    </row>
    <row r="332"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4"/>
      <c r="AE332" s="94"/>
      <c r="AF332" s="94"/>
      <c r="AG332" s="94"/>
    </row>
    <row r="333"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4"/>
      <c r="AE333" s="94"/>
      <c r="AF333" s="94"/>
      <c r="AG333" s="94"/>
    </row>
    <row r="334"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4"/>
      <c r="AE334" s="94"/>
      <c r="AF334" s="94"/>
      <c r="AG334" s="94"/>
    </row>
    <row r="335"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4"/>
      <c r="AE335" s="94"/>
      <c r="AF335" s="94"/>
      <c r="AG335" s="94"/>
    </row>
    <row r="336"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4"/>
      <c r="AE336" s="94"/>
      <c r="AF336" s="94"/>
      <c r="AG336" s="94"/>
    </row>
    <row r="337"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4"/>
      <c r="AE337" s="94"/>
      <c r="AF337" s="94"/>
      <c r="AG337" s="94"/>
    </row>
    <row r="338"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4"/>
      <c r="AE338" s="94"/>
      <c r="AF338" s="94"/>
      <c r="AG338" s="94"/>
    </row>
    <row r="339"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4"/>
      <c r="AE339" s="94"/>
      <c r="AF339" s="94"/>
      <c r="AG339" s="94"/>
    </row>
    <row r="340"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4"/>
      <c r="AE340" s="94"/>
      <c r="AF340" s="94"/>
      <c r="AG340" s="94"/>
    </row>
    <row r="341"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4"/>
      <c r="AE341" s="94"/>
      <c r="AF341" s="94"/>
      <c r="AG341" s="94"/>
    </row>
    <row r="342"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4"/>
      <c r="AE342" s="94"/>
      <c r="AF342" s="94"/>
      <c r="AG342" s="94"/>
    </row>
    <row r="343"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4"/>
      <c r="AE343" s="94"/>
      <c r="AF343" s="94"/>
      <c r="AG343" s="94"/>
    </row>
    <row r="344"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4"/>
      <c r="AE344" s="94"/>
      <c r="AF344" s="94"/>
      <c r="AG344" s="94"/>
    </row>
    <row r="345"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4"/>
      <c r="AE345" s="94"/>
      <c r="AF345" s="94"/>
      <c r="AG345" s="94"/>
    </row>
    <row r="346"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4"/>
      <c r="AE346" s="94"/>
      <c r="AF346" s="94"/>
      <c r="AG346" s="94"/>
    </row>
    <row r="347"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4"/>
      <c r="AE347" s="94"/>
      <c r="AF347" s="94"/>
      <c r="AG347" s="94"/>
    </row>
    <row r="348"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4"/>
      <c r="AE348" s="94"/>
      <c r="AF348" s="94"/>
      <c r="AG348" s="94"/>
    </row>
    <row r="349"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4"/>
      <c r="AE349" s="94"/>
      <c r="AF349" s="94"/>
      <c r="AG349" s="94"/>
    </row>
    <row r="350"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4"/>
      <c r="AE350" s="94"/>
      <c r="AF350" s="94"/>
      <c r="AG350" s="94"/>
    </row>
    <row r="351"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4"/>
      <c r="AE351" s="94"/>
      <c r="AF351" s="94"/>
      <c r="AG351" s="94"/>
    </row>
    <row r="352"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4"/>
      <c r="AE352" s="94"/>
      <c r="AF352" s="94"/>
      <c r="AG352" s="94"/>
    </row>
    <row r="353"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4"/>
      <c r="AE353" s="94"/>
      <c r="AF353" s="94"/>
      <c r="AG353" s="94"/>
    </row>
    <row r="354"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4"/>
      <c r="AE354" s="94"/>
      <c r="AF354" s="94"/>
      <c r="AG354" s="94"/>
    </row>
    <row r="355"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4"/>
      <c r="AE355" s="94"/>
      <c r="AF355" s="94"/>
      <c r="AG355" s="94"/>
    </row>
    <row r="356"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4"/>
      <c r="AE356" s="94"/>
      <c r="AF356" s="94"/>
      <c r="AG356" s="94"/>
    </row>
    <row r="357"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4"/>
      <c r="AE357" s="94"/>
      <c r="AF357" s="94"/>
      <c r="AG357" s="94"/>
    </row>
    <row r="358"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4"/>
      <c r="AE358" s="94"/>
      <c r="AF358" s="94"/>
      <c r="AG358" s="94"/>
    </row>
    <row r="359"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4"/>
      <c r="AE359" s="94"/>
      <c r="AF359" s="94"/>
      <c r="AG359" s="94"/>
    </row>
    <row r="360"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4"/>
      <c r="AE360" s="94"/>
      <c r="AF360" s="94"/>
      <c r="AG360" s="94"/>
    </row>
    <row r="361"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4"/>
      <c r="AE361" s="94"/>
      <c r="AF361" s="94"/>
      <c r="AG361" s="94"/>
    </row>
    <row r="362"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4"/>
      <c r="AE362" s="94"/>
      <c r="AF362" s="94"/>
      <c r="AG362" s="94"/>
    </row>
    <row r="363"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4"/>
      <c r="AE363" s="94"/>
      <c r="AF363" s="94"/>
      <c r="AG363" s="94"/>
    </row>
    <row r="364"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4"/>
      <c r="AE364" s="94"/>
      <c r="AF364" s="94"/>
      <c r="AG364" s="94"/>
    </row>
    <row r="365"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4"/>
      <c r="AE365" s="94"/>
      <c r="AF365" s="94"/>
      <c r="AG365" s="94"/>
    </row>
    <row r="366"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4"/>
      <c r="AE366" s="94"/>
      <c r="AF366" s="94"/>
      <c r="AG366" s="94"/>
    </row>
    <row r="367"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4"/>
      <c r="AE367" s="94"/>
      <c r="AF367" s="94"/>
      <c r="AG367" s="94"/>
    </row>
    <row r="368"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4"/>
      <c r="AE368" s="94"/>
      <c r="AF368" s="94"/>
      <c r="AG368" s="94"/>
    </row>
    <row r="369"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4"/>
      <c r="AE369" s="94"/>
      <c r="AF369" s="94"/>
      <c r="AG369" s="94"/>
    </row>
    <row r="370"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4"/>
      <c r="AE370" s="94"/>
      <c r="AF370" s="94"/>
      <c r="AG370" s="94"/>
    </row>
    <row r="371"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4"/>
      <c r="AE371" s="94"/>
      <c r="AF371" s="94"/>
      <c r="AG371" s="94"/>
    </row>
    <row r="372"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4"/>
      <c r="AE372" s="94"/>
      <c r="AF372" s="94"/>
      <c r="AG372" s="94"/>
    </row>
    <row r="373"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4"/>
      <c r="AE373" s="94"/>
      <c r="AF373" s="94"/>
      <c r="AG373" s="94"/>
    </row>
    <row r="374"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4"/>
      <c r="AE374" s="94"/>
      <c r="AF374" s="94"/>
      <c r="AG374" s="94"/>
    </row>
    <row r="375"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4"/>
      <c r="AE375" s="94"/>
      <c r="AF375" s="94"/>
      <c r="AG375" s="94"/>
    </row>
    <row r="376"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4"/>
      <c r="AE376" s="94"/>
      <c r="AF376" s="94"/>
      <c r="AG376" s="94"/>
    </row>
    <row r="377"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4"/>
      <c r="AE377" s="94"/>
      <c r="AF377" s="94"/>
      <c r="AG377" s="94"/>
    </row>
    <row r="378"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4"/>
      <c r="AE378" s="94"/>
      <c r="AF378" s="94"/>
      <c r="AG378" s="94"/>
    </row>
    <row r="379"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4"/>
      <c r="AE379" s="94"/>
      <c r="AF379" s="94"/>
      <c r="AG379" s="94"/>
    </row>
    <row r="380"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4"/>
      <c r="AE380" s="94"/>
      <c r="AF380" s="94"/>
      <c r="AG380" s="94"/>
    </row>
    <row r="381"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4"/>
      <c r="AE381" s="94"/>
      <c r="AF381" s="94"/>
      <c r="AG381" s="94"/>
    </row>
    <row r="382"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4"/>
      <c r="AE382" s="94"/>
      <c r="AF382" s="94"/>
      <c r="AG382" s="94"/>
    </row>
    <row r="383"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4"/>
      <c r="AE383" s="94"/>
      <c r="AF383" s="94"/>
      <c r="AG383" s="94"/>
    </row>
    <row r="384"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4"/>
      <c r="AE384" s="94"/>
      <c r="AF384" s="94"/>
      <c r="AG384" s="94"/>
    </row>
    <row r="385"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4"/>
      <c r="AE385" s="94"/>
      <c r="AF385" s="94"/>
      <c r="AG385" s="94"/>
    </row>
    <row r="386"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4"/>
      <c r="AE386" s="94"/>
      <c r="AF386" s="94"/>
      <c r="AG386" s="94"/>
    </row>
    <row r="387"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4"/>
      <c r="AE387" s="94"/>
      <c r="AF387" s="94"/>
      <c r="AG387" s="94"/>
    </row>
    <row r="388"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4"/>
      <c r="AE388" s="94"/>
      <c r="AF388" s="94"/>
      <c r="AG388" s="94"/>
    </row>
    <row r="389"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4"/>
      <c r="AE389" s="94"/>
      <c r="AF389" s="94"/>
      <c r="AG389" s="94"/>
    </row>
    <row r="390"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4"/>
      <c r="AE390" s="94"/>
      <c r="AF390" s="94"/>
      <c r="AG390" s="94"/>
    </row>
    <row r="391"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4"/>
      <c r="AE391" s="94"/>
      <c r="AF391" s="94"/>
      <c r="AG391" s="94"/>
    </row>
    <row r="392"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4"/>
      <c r="AE392" s="94"/>
      <c r="AF392" s="94"/>
      <c r="AG392" s="94"/>
    </row>
    <row r="393"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4"/>
      <c r="AE393" s="94"/>
      <c r="AF393" s="94"/>
      <c r="AG393" s="94"/>
    </row>
    <row r="394"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4"/>
      <c r="AE394" s="94"/>
      <c r="AF394" s="94"/>
      <c r="AG394" s="94"/>
    </row>
    <row r="395"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4"/>
      <c r="AE395" s="94"/>
      <c r="AF395" s="94"/>
      <c r="AG395" s="94"/>
    </row>
    <row r="396"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4"/>
      <c r="AE396" s="94"/>
      <c r="AF396" s="94"/>
      <c r="AG396" s="94"/>
    </row>
    <row r="397"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4"/>
      <c r="AE397" s="94"/>
      <c r="AF397" s="94"/>
      <c r="AG397" s="94"/>
    </row>
    <row r="398"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4"/>
      <c r="AE398" s="94"/>
      <c r="AF398" s="94"/>
      <c r="AG398" s="94"/>
    </row>
    <row r="399"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4"/>
      <c r="AE399" s="94"/>
      <c r="AF399" s="94"/>
      <c r="AG399" s="94"/>
    </row>
    <row r="400"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4"/>
      <c r="AE400" s="94"/>
      <c r="AF400" s="94"/>
      <c r="AG400" s="94"/>
    </row>
    <row r="401"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4"/>
      <c r="AE401" s="94"/>
      <c r="AF401" s="94"/>
      <c r="AG401" s="94"/>
    </row>
    <row r="402"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4"/>
      <c r="AE402" s="94"/>
      <c r="AF402" s="94"/>
      <c r="AG402" s="94"/>
    </row>
    <row r="403"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4"/>
      <c r="AE403" s="94"/>
      <c r="AF403" s="94"/>
      <c r="AG403" s="94"/>
    </row>
    <row r="404"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4"/>
      <c r="AE404" s="94"/>
      <c r="AF404" s="94"/>
      <c r="AG404" s="94"/>
    </row>
    <row r="405"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4"/>
      <c r="AE405" s="94"/>
      <c r="AF405" s="94"/>
      <c r="AG405" s="94"/>
    </row>
    <row r="406"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4"/>
      <c r="AE406" s="94"/>
      <c r="AF406" s="94"/>
      <c r="AG406" s="94"/>
    </row>
    <row r="407"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4"/>
      <c r="AE407" s="94"/>
      <c r="AF407" s="94"/>
      <c r="AG407" s="94"/>
    </row>
    <row r="408"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4"/>
      <c r="AE408" s="94"/>
      <c r="AF408" s="94"/>
      <c r="AG408" s="94"/>
    </row>
    <row r="409"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4"/>
      <c r="AE409" s="94"/>
      <c r="AF409" s="94"/>
      <c r="AG409" s="94"/>
    </row>
    <row r="410"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4"/>
      <c r="AE410" s="94"/>
      <c r="AF410" s="94"/>
      <c r="AG410" s="94"/>
    </row>
    <row r="411"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4"/>
      <c r="AE411" s="94"/>
      <c r="AF411" s="94"/>
      <c r="AG411" s="94"/>
    </row>
    <row r="412"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4"/>
      <c r="AE412" s="94"/>
      <c r="AF412" s="94"/>
      <c r="AG412" s="94"/>
    </row>
    <row r="413"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4"/>
      <c r="AE413" s="94"/>
      <c r="AF413" s="94"/>
      <c r="AG413" s="94"/>
    </row>
    <row r="414"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4"/>
      <c r="AE414" s="94"/>
      <c r="AF414" s="94"/>
      <c r="AG414" s="94"/>
    </row>
    <row r="415"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4"/>
      <c r="AE415" s="94"/>
      <c r="AF415" s="94"/>
      <c r="AG415" s="94"/>
    </row>
    <row r="416"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4"/>
      <c r="AE416" s="94"/>
      <c r="AF416" s="94"/>
      <c r="AG416" s="94"/>
    </row>
    <row r="417"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4"/>
      <c r="AE417" s="94"/>
      <c r="AF417" s="94"/>
      <c r="AG417" s="94"/>
    </row>
    <row r="418"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4"/>
      <c r="AE418" s="94"/>
      <c r="AF418" s="94"/>
      <c r="AG418" s="94"/>
    </row>
    <row r="419"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4"/>
      <c r="AE419" s="94"/>
      <c r="AF419" s="94"/>
      <c r="AG419" s="94"/>
    </row>
    <row r="420"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4"/>
      <c r="AE420" s="94"/>
      <c r="AF420" s="94"/>
      <c r="AG420" s="94"/>
    </row>
    <row r="421"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4"/>
      <c r="AE421" s="94"/>
      <c r="AF421" s="94"/>
      <c r="AG421" s="94"/>
    </row>
    <row r="422"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4"/>
      <c r="AE422" s="94"/>
      <c r="AF422" s="94"/>
      <c r="AG422" s="94"/>
    </row>
    <row r="423"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4"/>
      <c r="AE423" s="94"/>
      <c r="AF423" s="94"/>
      <c r="AG423" s="94"/>
    </row>
    <row r="424"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4"/>
      <c r="AE424" s="94"/>
      <c r="AF424" s="94"/>
      <c r="AG424" s="94"/>
    </row>
    <row r="425"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4"/>
      <c r="AE425" s="94"/>
      <c r="AF425" s="94"/>
      <c r="AG425" s="94"/>
    </row>
    <row r="426"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4"/>
      <c r="AE426" s="94"/>
      <c r="AF426" s="94"/>
      <c r="AG426" s="94"/>
    </row>
    <row r="427"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4"/>
      <c r="AE427" s="94"/>
      <c r="AF427" s="94"/>
      <c r="AG427" s="94"/>
    </row>
    <row r="428"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4"/>
      <c r="AE428" s="94"/>
      <c r="AF428" s="94"/>
      <c r="AG428" s="94"/>
    </row>
    <row r="429"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4"/>
      <c r="AE429" s="94"/>
      <c r="AF429" s="94"/>
      <c r="AG429" s="94"/>
    </row>
    <row r="430"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4"/>
      <c r="AE430" s="94"/>
      <c r="AF430" s="94"/>
      <c r="AG430" s="94"/>
    </row>
    <row r="431"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4"/>
      <c r="AE431" s="94"/>
      <c r="AF431" s="94"/>
      <c r="AG431" s="94"/>
    </row>
    <row r="432"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4"/>
      <c r="AE432" s="94"/>
      <c r="AF432" s="94"/>
      <c r="AG432" s="94"/>
    </row>
    <row r="433"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4"/>
      <c r="AE433" s="94"/>
      <c r="AF433" s="94"/>
      <c r="AG433" s="94"/>
    </row>
    <row r="434"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4"/>
      <c r="AE434" s="94"/>
      <c r="AF434" s="94"/>
      <c r="AG434" s="94"/>
    </row>
    <row r="435"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4"/>
      <c r="AE435" s="94"/>
      <c r="AF435" s="94"/>
      <c r="AG435" s="94"/>
    </row>
    <row r="436"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4"/>
      <c r="AE436" s="94"/>
      <c r="AF436" s="94"/>
      <c r="AG436" s="94"/>
    </row>
    <row r="437"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4"/>
      <c r="AE437" s="94"/>
      <c r="AF437" s="94"/>
      <c r="AG437" s="94"/>
    </row>
    <row r="438"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4"/>
      <c r="AE438" s="94"/>
      <c r="AF438" s="94"/>
      <c r="AG438" s="94"/>
    </row>
    <row r="439"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4"/>
      <c r="AE439" s="94"/>
      <c r="AF439" s="94"/>
      <c r="AG439" s="94"/>
    </row>
    <row r="440"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4"/>
      <c r="AE440" s="94"/>
      <c r="AF440" s="94"/>
      <c r="AG440" s="94"/>
    </row>
    <row r="441"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4"/>
      <c r="AE441" s="94"/>
      <c r="AF441" s="94"/>
      <c r="AG441" s="94"/>
    </row>
    <row r="442"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4"/>
      <c r="AE442" s="94"/>
      <c r="AF442" s="94"/>
      <c r="AG442" s="94"/>
    </row>
    <row r="443"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4"/>
      <c r="AE443" s="94"/>
      <c r="AF443" s="94"/>
      <c r="AG443" s="94"/>
    </row>
    <row r="444"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4"/>
      <c r="AE444" s="94"/>
      <c r="AF444" s="94"/>
      <c r="AG444" s="94"/>
    </row>
    <row r="445"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4"/>
      <c r="AE445" s="94"/>
      <c r="AF445" s="94"/>
      <c r="AG445" s="94"/>
    </row>
    <row r="446"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4"/>
      <c r="AE446" s="94"/>
      <c r="AF446" s="94"/>
      <c r="AG446" s="94"/>
    </row>
    <row r="447"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4"/>
      <c r="AE447" s="94"/>
      <c r="AF447" s="94"/>
      <c r="AG447" s="94"/>
    </row>
    <row r="448"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4"/>
      <c r="AE448" s="94"/>
      <c r="AF448" s="94"/>
      <c r="AG448" s="94"/>
    </row>
    <row r="449"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4"/>
      <c r="AE449" s="94"/>
      <c r="AF449" s="94"/>
      <c r="AG449" s="94"/>
    </row>
    <row r="450"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4"/>
      <c r="AE450" s="94"/>
      <c r="AF450" s="94"/>
      <c r="AG450" s="94"/>
    </row>
    <row r="451"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4"/>
      <c r="AE451" s="94"/>
      <c r="AF451" s="94"/>
      <c r="AG451" s="94"/>
    </row>
    <row r="452"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4"/>
      <c r="AE452" s="94"/>
      <c r="AF452" s="94"/>
      <c r="AG452" s="94"/>
    </row>
    <row r="453"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4"/>
      <c r="AE453" s="94"/>
      <c r="AF453" s="94"/>
      <c r="AG453" s="94"/>
    </row>
    <row r="454"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4"/>
      <c r="AE454" s="94"/>
      <c r="AF454" s="94"/>
      <c r="AG454" s="94"/>
    </row>
    <row r="455"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4"/>
      <c r="AE455" s="94"/>
      <c r="AF455" s="94"/>
      <c r="AG455" s="94"/>
    </row>
    <row r="456"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4"/>
      <c r="AE456" s="94"/>
      <c r="AF456" s="94"/>
      <c r="AG456" s="94"/>
    </row>
    <row r="457"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4"/>
      <c r="AE457" s="94"/>
      <c r="AF457" s="94"/>
      <c r="AG457" s="94"/>
    </row>
    <row r="458"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4"/>
      <c r="AE458" s="94"/>
      <c r="AF458" s="94"/>
      <c r="AG458" s="94"/>
    </row>
    <row r="459"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4"/>
      <c r="AE459" s="94"/>
      <c r="AF459" s="94"/>
      <c r="AG459" s="94"/>
    </row>
    <row r="460"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4"/>
      <c r="AE460" s="94"/>
      <c r="AF460" s="94"/>
      <c r="AG460" s="94"/>
    </row>
    <row r="461"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4"/>
      <c r="AE461" s="94"/>
      <c r="AF461" s="94"/>
      <c r="AG461" s="94"/>
    </row>
    <row r="462"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4"/>
      <c r="AE462" s="94"/>
      <c r="AF462" s="94"/>
      <c r="AG462" s="94"/>
    </row>
    <row r="463"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4"/>
      <c r="AE463" s="94"/>
      <c r="AF463" s="94"/>
      <c r="AG463" s="94"/>
    </row>
    <row r="464"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4"/>
      <c r="AE464" s="94"/>
      <c r="AF464" s="94"/>
      <c r="AG464" s="94"/>
    </row>
    <row r="465"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4"/>
      <c r="AE465" s="94"/>
      <c r="AF465" s="94"/>
      <c r="AG465" s="94"/>
    </row>
    <row r="466"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4"/>
      <c r="AE466" s="94"/>
      <c r="AF466" s="94"/>
      <c r="AG466" s="94"/>
    </row>
    <row r="467"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4"/>
      <c r="AE467" s="94"/>
      <c r="AF467" s="94"/>
      <c r="AG467" s="94"/>
    </row>
    <row r="468"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4"/>
      <c r="AE468" s="94"/>
      <c r="AF468" s="94"/>
      <c r="AG468" s="94"/>
    </row>
    <row r="469"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4"/>
      <c r="AE469" s="94"/>
      <c r="AF469" s="94"/>
      <c r="AG469" s="94"/>
    </row>
    <row r="470"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4"/>
      <c r="AE470" s="94"/>
      <c r="AF470" s="94"/>
      <c r="AG470" s="94"/>
    </row>
    <row r="471"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4"/>
      <c r="AE471" s="94"/>
      <c r="AF471" s="94"/>
      <c r="AG471" s="94"/>
    </row>
    <row r="472"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4"/>
      <c r="AE472" s="94"/>
      <c r="AF472" s="94"/>
      <c r="AG472" s="94"/>
    </row>
    <row r="473"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4"/>
      <c r="AE473" s="94"/>
      <c r="AF473" s="94"/>
      <c r="AG473" s="94"/>
    </row>
    <row r="474"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4"/>
      <c r="AE474" s="94"/>
      <c r="AF474" s="94"/>
      <c r="AG474" s="94"/>
    </row>
    <row r="475"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4"/>
      <c r="AE475" s="94"/>
      <c r="AF475" s="94"/>
      <c r="AG475" s="94"/>
    </row>
    <row r="476"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4"/>
      <c r="AE476" s="94"/>
      <c r="AF476" s="94"/>
      <c r="AG476" s="94"/>
    </row>
    <row r="477"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4"/>
      <c r="AE477" s="94"/>
      <c r="AF477" s="94"/>
      <c r="AG477" s="94"/>
    </row>
    <row r="478"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4"/>
      <c r="AE478" s="94"/>
      <c r="AF478" s="94"/>
      <c r="AG478" s="94"/>
    </row>
    <row r="479"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4"/>
      <c r="AE479" s="94"/>
      <c r="AF479" s="94"/>
      <c r="AG479" s="94"/>
    </row>
    <row r="480"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4"/>
      <c r="AE480" s="94"/>
      <c r="AF480" s="94"/>
      <c r="AG480" s="94"/>
    </row>
    <row r="481"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4"/>
      <c r="AE481" s="94"/>
      <c r="AF481" s="94"/>
      <c r="AG481" s="94"/>
    </row>
    <row r="482"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4"/>
      <c r="AE482" s="94"/>
      <c r="AF482" s="94"/>
      <c r="AG482" s="94"/>
    </row>
    <row r="483"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4"/>
      <c r="AE483" s="94"/>
      <c r="AF483" s="94"/>
      <c r="AG483" s="94"/>
    </row>
    <row r="484"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4"/>
      <c r="AE484" s="94"/>
      <c r="AF484" s="94"/>
      <c r="AG484" s="94"/>
    </row>
    <row r="485"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4"/>
      <c r="AE485" s="94"/>
      <c r="AF485" s="94"/>
      <c r="AG485" s="94"/>
    </row>
    <row r="486"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4"/>
      <c r="AE486" s="94"/>
      <c r="AF486" s="94"/>
      <c r="AG486" s="94"/>
    </row>
    <row r="487"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4"/>
      <c r="AE487" s="94"/>
      <c r="AF487" s="94"/>
      <c r="AG487" s="94"/>
    </row>
    <row r="488"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4"/>
      <c r="AE488" s="94"/>
      <c r="AF488" s="94"/>
      <c r="AG488" s="94"/>
    </row>
    <row r="489"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4"/>
      <c r="AE489" s="94"/>
      <c r="AF489" s="94"/>
      <c r="AG489" s="94"/>
    </row>
    <row r="490"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4"/>
      <c r="AE490" s="94"/>
      <c r="AF490" s="94"/>
      <c r="AG490" s="94"/>
    </row>
    <row r="491"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4"/>
      <c r="AE491" s="94"/>
      <c r="AF491" s="94"/>
      <c r="AG491" s="94"/>
    </row>
    <row r="492"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4"/>
      <c r="AE492" s="94"/>
      <c r="AF492" s="94"/>
      <c r="AG492" s="94"/>
    </row>
    <row r="493"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4"/>
      <c r="AE493" s="94"/>
      <c r="AF493" s="94"/>
      <c r="AG493" s="94"/>
    </row>
    <row r="494"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4"/>
      <c r="AE494" s="94"/>
      <c r="AF494" s="94"/>
      <c r="AG494" s="94"/>
    </row>
    <row r="495"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4"/>
      <c r="AE495" s="94"/>
      <c r="AF495" s="94"/>
      <c r="AG495" s="94"/>
    </row>
    <row r="496"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4"/>
      <c r="AE496" s="94"/>
      <c r="AF496" s="94"/>
      <c r="AG496" s="94"/>
    </row>
    <row r="497"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4"/>
      <c r="AE497" s="94"/>
      <c r="AF497" s="94"/>
      <c r="AG497" s="94"/>
    </row>
    <row r="498"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4"/>
      <c r="AE498" s="94"/>
      <c r="AF498" s="94"/>
      <c r="AG498" s="94"/>
    </row>
    <row r="499"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4"/>
      <c r="AE499" s="94"/>
      <c r="AF499" s="94"/>
      <c r="AG499" s="94"/>
    </row>
    <row r="500"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4"/>
      <c r="AE500" s="94"/>
      <c r="AF500" s="94"/>
      <c r="AG500" s="94"/>
    </row>
    <row r="501"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4"/>
      <c r="AE501" s="94"/>
      <c r="AF501" s="94"/>
      <c r="AG501" s="94"/>
    </row>
    <row r="502"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4"/>
      <c r="AE502" s="94"/>
      <c r="AF502" s="94"/>
      <c r="AG502" s="94"/>
    </row>
    <row r="503"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4"/>
      <c r="AE503" s="94"/>
      <c r="AF503" s="94"/>
      <c r="AG503" s="94"/>
    </row>
    <row r="504"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4"/>
      <c r="AE504" s="94"/>
      <c r="AF504" s="94"/>
      <c r="AG504" s="94"/>
    </row>
    <row r="505"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4"/>
      <c r="AE505" s="94"/>
      <c r="AF505" s="94"/>
      <c r="AG505" s="94"/>
    </row>
    <row r="506"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4"/>
      <c r="AE506" s="94"/>
      <c r="AF506" s="94"/>
      <c r="AG506" s="94"/>
    </row>
    <row r="507"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4"/>
      <c r="AE507" s="94"/>
      <c r="AF507" s="94"/>
      <c r="AG507" s="94"/>
    </row>
    <row r="508"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4"/>
      <c r="AE508" s="94"/>
      <c r="AF508" s="94"/>
      <c r="AG508" s="94"/>
    </row>
    <row r="509"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4"/>
      <c r="AE509" s="94"/>
      <c r="AF509" s="94"/>
      <c r="AG509" s="94"/>
    </row>
    <row r="510"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4"/>
      <c r="AE510" s="94"/>
      <c r="AF510" s="94"/>
      <c r="AG510" s="94"/>
    </row>
    <row r="511"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4"/>
      <c r="AE511" s="94"/>
      <c r="AF511" s="94"/>
      <c r="AG511" s="94"/>
    </row>
    <row r="512"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4"/>
      <c r="AE512" s="94"/>
      <c r="AF512" s="94"/>
      <c r="AG512" s="94"/>
    </row>
    <row r="513"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4"/>
      <c r="AE513" s="94"/>
      <c r="AF513" s="94"/>
      <c r="AG513" s="94"/>
    </row>
    <row r="514"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4"/>
      <c r="AE514" s="94"/>
      <c r="AF514" s="94"/>
      <c r="AG514" s="94"/>
    </row>
    <row r="515"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4"/>
      <c r="AE515" s="94"/>
      <c r="AF515" s="94"/>
      <c r="AG515" s="94"/>
    </row>
    <row r="516"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4"/>
      <c r="AE516" s="94"/>
      <c r="AF516" s="94"/>
      <c r="AG516" s="94"/>
    </row>
    <row r="517"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4"/>
      <c r="AE517" s="94"/>
      <c r="AF517" s="94"/>
      <c r="AG517" s="94"/>
    </row>
    <row r="518"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4"/>
      <c r="AE518" s="94"/>
      <c r="AF518" s="94"/>
      <c r="AG518" s="94"/>
    </row>
    <row r="519"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4"/>
      <c r="AE519" s="94"/>
      <c r="AF519" s="94"/>
      <c r="AG519" s="94"/>
    </row>
    <row r="520"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4"/>
      <c r="AE520" s="94"/>
      <c r="AF520" s="94"/>
      <c r="AG520" s="94"/>
    </row>
    <row r="521"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4"/>
      <c r="AE521" s="94"/>
      <c r="AF521" s="94"/>
      <c r="AG521" s="94"/>
    </row>
    <row r="522"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4"/>
      <c r="AE522" s="94"/>
      <c r="AF522" s="94"/>
      <c r="AG522" s="94"/>
    </row>
    <row r="523"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4"/>
      <c r="AE523" s="94"/>
      <c r="AF523" s="94"/>
      <c r="AG523" s="94"/>
    </row>
    <row r="524"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4"/>
      <c r="AE524" s="94"/>
      <c r="AF524" s="94"/>
      <c r="AG524" s="94"/>
    </row>
    <row r="525"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4"/>
      <c r="AE525" s="94"/>
      <c r="AF525" s="94"/>
      <c r="AG525" s="94"/>
    </row>
    <row r="526"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4"/>
      <c r="AE526" s="94"/>
      <c r="AF526" s="94"/>
      <c r="AG526" s="94"/>
    </row>
    <row r="527"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4"/>
      <c r="AE527" s="94"/>
      <c r="AF527" s="94"/>
      <c r="AG527" s="94"/>
    </row>
    <row r="528"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4"/>
      <c r="AE528" s="94"/>
      <c r="AF528" s="94"/>
      <c r="AG528" s="94"/>
    </row>
    <row r="529"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4"/>
      <c r="AE529" s="94"/>
      <c r="AF529" s="94"/>
      <c r="AG529" s="94"/>
    </row>
    <row r="530"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4"/>
      <c r="AE530" s="94"/>
      <c r="AF530" s="94"/>
      <c r="AG530" s="94"/>
    </row>
    <row r="531"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4"/>
      <c r="AE531" s="94"/>
      <c r="AF531" s="94"/>
      <c r="AG531" s="94"/>
    </row>
    <row r="532"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4"/>
      <c r="AE532" s="94"/>
      <c r="AF532" s="94"/>
      <c r="AG532" s="94"/>
    </row>
    <row r="533"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4"/>
      <c r="AE533" s="94"/>
      <c r="AF533" s="94"/>
      <c r="AG533" s="94"/>
    </row>
    <row r="534"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4"/>
      <c r="AE534" s="94"/>
      <c r="AF534" s="94"/>
      <c r="AG534" s="94"/>
    </row>
    <row r="535"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4"/>
      <c r="AE535" s="94"/>
      <c r="AF535" s="94"/>
      <c r="AG535" s="94"/>
    </row>
    <row r="536"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4"/>
      <c r="AE536" s="94"/>
      <c r="AF536" s="94"/>
      <c r="AG536" s="94"/>
    </row>
    <row r="537"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4"/>
      <c r="AE537" s="94"/>
      <c r="AF537" s="94"/>
      <c r="AG537" s="94"/>
    </row>
    <row r="538"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4"/>
      <c r="AE538" s="94"/>
      <c r="AF538" s="94"/>
      <c r="AG538" s="94"/>
    </row>
    <row r="539"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4"/>
      <c r="AE539" s="94"/>
      <c r="AF539" s="94"/>
      <c r="AG539" s="94"/>
    </row>
    <row r="540"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4"/>
      <c r="AE540" s="94"/>
      <c r="AF540" s="94"/>
      <c r="AG540" s="94"/>
    </row>
    <row r="541"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4"/>
      <c r="AE541" s="94"/>
      <c r="AF541" s="94"/>
      <c r="AG541" s="94"/>
    </row>
    <row r="542"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4"/>
      <c r="AE542" s="94"/>
      <c r="AF542" s="94"/>
      <c r="AG542" s="94"/>
    </row>
    <row r="543"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4"/>
      <c r="AE543" s="94"/>
      <c r="AF543" s="94"/>
      <c r="AG543" s="94"/>
    </row>
    <row r="544"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4"/>
      <c r="AE544" s="94"/>
      <c r="AF544" s="94"/>
      <c r="AG544" s="94"/>
    </row>
    <row r="545"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4"/>
      <c r="AE545" s="94"/>
      <c r="AF545" s="94"/>
      <c r="AG545" s="94"/>
    </row>
    <row r="546"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4"/>
      <c r="AE546" s="94"/>
      <c r="AF546" s="94"/>
      <c r="AG546" s="94"/>
    </row>
    <row r="547"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4"/>
      <c r="AE547" s="94"/>
      <c r="AF547" s="94"/>
      <c r="AG547" s="94"/>
    </row>
    <row r="548"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4"/>
      <c r="AE548" s="94"/>
      <c r="AF548" s="94"/>
      <c r="AG548" s="94"/>
    </row>
    <row r="549"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4"/>
      <c r="AE549" s="94"/>
      <c r="AF549" s="94"/>
      <c r="AG549" s="94"/>
    </row>
    <row r="550"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4"/>
      <c r="AE550" s="94"/>
      <c r="AF550" s="94"/>
      <c r="AG550" s="94"/>
    </row>
    <row r="551"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4"/>
      <c r="AE551" s="94"/>
      <c r="AF551" s="94"/>
      <c r="AG551" s="94"/>
    </row>
    <row r="552"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4"/>
      <c r="AE552" s="94"/>
      <c r="AF552" s="94"/>
      <c r="AG552" s="94"/>
    </row>
    <row r="553"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4"/>
      <c r="AE553" s="94"/>
      <c r="AF553" s="94"/>
      <c r="AG553" s="94"/>
    </row>
    <row r="554"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4"/>
      <c r="AE554" s="94"/>
      <c r="AF554" s="94"/>
      <c r="AG554" s="94"/>
    </row>
    <row r="555"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4"/>
      <c r="AE555" s="94"/>
      <c r="AF555" s="94"/>
      <c r="AG555" s="94"/>
    </row>
    <row r="556"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4"/>
      <c r="AE556" s="94"/>
      <c r="AF556" s="94"/>
      <c r="AG556" s="94"/>
    </row>
    <row r="557"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4"/>
      <c r="AE557" s="94"/>
      <c r="AF557" s="94"/>
      <c r="AG557" s="94"/>
    </row>
    <row r="558"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4"/>
      <c r="AE558" s="94"/>
      <c r="AF558" s="94"/>
      <c r="AG558" s="94"/>
    </row>
    <row r="559"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4"/>
      <c r="AE559" s="94"/>
      <c r="AF559" s="94"/>
      <c r="AG559" s="94"/>
    </row>
    <row r="560"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4"/>
      <c r="AE560" s="94"/>
      <c r="AF560" s="94"/>
      <c r="AG560" s="94"/>
    </row>
    <row r="561"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4"/>
      <c r="AE561" s="94"/>
      <c r="AF561" s="94"/>
      <c r="AG561" s="94"/>
    </row>
    <row r="562"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4"/>
      <c r="AE562" s="94"/>
      <c r="AF562" s="94"/>
      <c r="AG562" s="94"/>
    </row>
    <row r="563"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4"/>
      <c r="AE563" s="94"/>
      <c r="AF563" s="94"/>
      <c r="AG563" s="94"/>
    </row>
    <row r="564"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4"/>
      <c r="AE564" s="94"/>
      <c r="AF564" s="94"/>
      <c r="AG564" s="94"/>
    </row>
    <row r="565"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4"/>
      <c r="AE565" s="94"/>
      <c r="AF565" s="94"/>
      <c r="AG565" s="94"/>
    </row>
    <row r="566"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4"/>
      <c r="AE566" s="94"/>
      <c r="AF566" s="94"/>
      <c r="AG566" s="94"/>
    </row>
    <row r="567"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4"/>
      <c r="AE567" s="94"/>
      <c r="AF567" s="94"/>
      <c r="AG567" s="94"/>
    </row>
    <row r="568"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4"/>
      <c r="AE568" s="94"/>
      <c r="AF568" s="94"/>
      <c r="AG568" s="94"/>
    </row>
    <row r="569"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4"/>
      <c r="AE569" s="94"/>
      <c r="AF569" s="94"/>
      <c r="AG569" s="94"/>
    </row>
    <row r="570"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4"/>
      <c r="AE570" s="94"/>
      <c r="AF570" s="94"/>
      <c r="AG570" s="94"/>
    </row>
    <row r="571"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4"/>
      <c r="AE571" s="94"/>
      <c r="AF571" s="94"/>
      <c r="AG571" s="94"/>
    </row>
    <row r="572"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4"/>
      <c r="AE572" s="94"/>
      <c r="AF572" s="94"/>
      <c r="AG572" s="94"/>
    </row>
    <row r="573"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4"/>
      <c r="AE573" s="94"/>
      <c r="AF573" s="94"/>
      <c r="AG573" s="94"/>
    </row>
    <row r="574"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4"/>
      <c r="AE574" s="94"/>
      <c r="AF574" s="94"/>
      <c r="AG574" s="94"/>
    </row>
    <row r="575"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4"/>
      <c r="AE575" s="94"/>
      <c r="AF575" s="94"/>
      <c r="AG575" s="94"/>
    </row>
    <row r="576"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4"/>
      <c r="AE576" s="94"/>
      <c r="AF576" s="94"/>
      <c r="AG576" s="94"/>
    </row>
    <row r="577"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4"/>
      <c r="AE577" s="94"/>
      <c r="AF577" s="94"/>
      <c r="AG577" s="94"/>
    </row>
    <row r="578"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4"/>
      <c r="AE578" s="94"/>
      <c r="AF578" s="94"/>
      <c r="AG578" s="94"/>
    </row>
    <row r="579"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4"/>
      <c r="AE579" s="94"/>
      <c r="AF579" s="94"/>
      <c r="AG579" s="94"/>
    </row>
    <row r="580"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4"/>
      <c r="AE580" s="94"/>
      <c r="AF580" s="94"/>
      <c r="AG580" s="94"/>
    </row>
    <row r="581"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4"/>
      <c r="AE581" s="94"/>
      <c r="AF581" s="94"/>
      <c r="AG581" s="94"/>
    </row>
    <row r="582"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4"/>
      <c r="AE582" s="94"/>
      <c r="AF582" s="94"/>
      <c r="AG582" s="94"/>
    </row>
    <row r="583"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4"/>
      <c r="AE583" s="94"/>
      <c r="AF583" s="94"/>
      <c r="AG583" s="94"/>
    </row>
    <row r="584"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4"/>
      <c r="AE584" s="94"/>
      <c r="AF584" s="94"/>
      <c r="AG584" s="94"/>
    </row>
    <row r="585"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4"/>
      <c r="AE585" s="94"/>
      <c r="AF585" s="94"/>
      <c r="AG585" s="94"/>
    </row>
    <row r="586"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4"/>
      <c r="AE586" s="94"/>
      <c r="AF586" s="94"/>
      <c r="AG586" s="94"/>
    </row>
    <row r="587"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4"/>
      <c r="AE587" s="94"/>
      <c r="AF587" s="94"/>
      <c r="AG587" s="94"/>
    </row>
    <row r="588"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4"/>
      <c r="AE588" s="94"/>
      <c r="AF588" s="94"/>
      <c r="AG588" s="94"/>
    </row>
    <row r="589"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4"/>
      <c r="AE589" s="94"/>
      <c r="AF589" s="94"/>
      <c r="AG589" s="94"/>
    </row>
    <row r="590"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4"/>
      <c r="AE590" s="94"/>
      <c r="AF590" s="94"/>
      <c r="AG590" s="94"/>
    </row>
    <row r="591"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4"/>
      <c r="AE591" s="94"/>
      <c r="AF591" s="94"/>
      <c r="AG591" s="94"/>
    </row>
    <row r="592"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4"/>
      <c r="AE592" s="94"/>
      <c r="AF592" s="94"/>
      <c r="AG592" s="94"/>
    </row>
    <row r="593"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4"/>
      <c r="AE593" s="94"/>
      <c r="AF593" s="94"/>
      <c r="AG593" s="94"/>
    </row>
    <row r="594"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4"/>
      <c r="AE594" s="94"/>
      <c r="AF594" s="94"/>
      <c r="AG594" s="94"/>
    </row>
    <row r="595"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4"/>
      <c r="AE595" s="94"/>
      <c r="AF595" s="94"/>
      <c r="AG595" s="94"/>
    </row>
    <row r="596"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4"/>
      <c r="AE596" s="94"/>
      <c r="AF596" s="94"/>
      <c r="AG596" s="94"/>
    </row>
    <row r="597"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4"/>
      <c r="AE597" s="94"/>
      <c r="AF597" s="94"/>
      <c r="AG597" s="94"/>
    </row>
    <row r="598"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4"/>
      <c r="AE598" s="94"/>
      <c r="AF598" s="94"/>
      <c r="AG598" s="94"/>
    </row>
    <row r="599"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4"/>
      <c r="AE599" s="94"/>
      <c r="AF599" s="94"/>
      <c r="AG599" s="94"/>
    </row>
    <row r="600"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4"/>
      <c r="AE600" s="94"/>
      <c r="AF600" s="94"/>
      <c r="AG600" s="94"/>
    </row>
    <row r="601"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4"/>
      <c r="AE601" s="94"/>
      <c r="AF601" s="94"/>
      <c r="AG601" s="94"/>
    </row>
    <row r="602"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4"/>
      <c r="AE602" s="94"/>
      <c r="AF602" s="94"/>
      <c r="AG602" s="94"/>
    </row>
    <row r="603"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4"/>
      <c r="AE603" s="94"/>
      <c r="AF603" s="94"/>
      <c r="AG603" s="94"/>
    </row>
    <row r="604"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4"/>
      <c r="AE604" s="94"/>
      <c r="AF604" s="94"/>
      <c r="AG604" s="94"/>
    </row>
    <row r="605"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4"/>
      <c r="AE605" s="94"/>
      <c r="AF605" s="94"/>
      <c r="AG605" s="94"/>
    </row>
    <row r="606"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4"/>
      <c r="AE606" s="94"/>
      <c r="AF606" s="94"/>
      <c r="AG606" s="94"/>
    </row>
    <row r="607"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4"/>
      <c r="AE607" s="94"/>
      <c r="AF607" s="94"/>
      <c r="AG607" s="94"/>
    </row>
    <row r="608"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4"/>
      <c r="AE608" s="94"/>
      <c r="AF608" s="94"/>
      <c r="AG608" s="94"/>
    </row>
    <row r="609"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4"/>
      <c r="AE609" s="94"/>
      <c r="AF609" s="94"/>
      <c r="AG609" s="94"/>
    </row>
    <row r="610"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4"/>
      <c r="AE610" s="94"/>
      <c r="AF610" s="94"/>
      <c r="AG610" s="94"/>
    </row>
    <row r="611"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4"/>
      <c r="AE611" s="94"/>
      <c r="AF611" s="94"/>
      <c r="AG611" s="94"/>
    </row>
    <row r="612"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4"/>
      <c r="AE612" s="94"/>
      <c r="AF612" s="94"/>
      <c r="AG612" s="94"/>
    </row>
    <row r="613"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4"/>
      <c r="AE613" s="94"/>
      <c r="AF613" s="94"/>
      <c r="AG613" s="94"/>
    </row>
    <row r="614"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4"/>
      <c r="AE614" s="94"/>
      <c r="AF614" s="94"/>
      <c r="AG614" s="94"/>
    </row>
    <row r="615"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4"/>
      <c r="AE615" s="94"/>
      <c r="AF615" s="94"/>
      <c r="AG615" s="94"/>
    </row>
    <row r="616"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4"/>
      <c r="AE616" s="94"/>
      <c r="AF616" s="94"/>
      <c r="AG616" s="94"/>
    </row>
    <row r="617"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4"/>
      <c r="AE617" s="94"/>
      <c r="AF617" s="94"/>
      <c r="AG617" s="94"/>
    </row>
    <row r="618"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4"/>
      <c r="AE618" s="94"/>
      <c r="AF618" s="94"/>
      <c r="AG618" s="94"/>
    </row>
    <row r="619"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4"/>
      <c r="AE619" s="94"/>
      <c r="AF619" s="94"/>
      <c r="AG619" s="94"/>
    </row>
    <row r="620"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4"/>
      <c r="AE620" s="94"/>
      <c r="AF620" s="94"/>
      <c r="AG620" s="94"/>
    </row>
    <row r="621"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4"/>
      <c r="AE621" s="94"/>
      <c r="AF621" s="94"/>
      <c r="AG621" s="94"/>
    </row>
    <row r="622"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4"/>
      <c r="AE622" s="94"/>
      <c r="AF622" s="94"/>
      <c r="AG622" s="94"/>
    </row>
    <row r="623"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4"/>
      <c r="AE623" s="94"/>
      <c r="AF623" s="94"/>
      <c r="AG623" s="94"/>
    </row>
    <row r="624"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4"/>
      <c r="AE624" s="94"/>
      <c r="AF624" s="94"/>
      <c r="AG624" s="94"/>
    </row>
    <row r="625"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4"/>
      <c r="AE625" s="94"/>
      <c r="AF625" s="94"/>
      <c r="AG625" s="94"/>
    </row>
    <row r="626"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4"/>
      <c r="AE626" s="94"/>
      <c r="AF626" s="94"/>
      <c r="AG626" s="94"/>
    </row>
    <row r="627"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4"/>
      <c r="AE627" s="94"/>
      <c r="AF627" s="94"/>
      <c r="AG627" s="94"/>
    </row>
    <row r="628"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4"/>
      <c r="AE628" s="94"/>
      <c r="AF628" s="94"/>
      <c r="AG628" s="94"/>
    </row>
    <row r="629"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4"/>
      <c r="AE629" s="94"/>
      <c r="AF629" s="94"/>
      <c r="AG629" s="94"/>
    </row>
    <row r="630"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4"/>
      <c r="AE630" s="94"/>
      <c r="AF630" s="94"/>
      <c r="AG630" s="94"/>
    </row>
    <row r="631"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4"/>
      <c r="AE631" s="94"/>
      <c r="AF631" s="94"/>
      <c r="AG631" s="94"/>
    </row>
    <row r="632"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4"/>
      <c r="AE632" s="94"/>
      <c r="AF632" s="94"/>
      <c r="AG632" s="94"/>
    </row>
    <row r="633"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4"/>
      <c r="AE633" s="94"/>
      <c r="AF633" s="94"/>
      <c r="AG633" s="94"/>
    </row>
    <row r="634"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4"/>
      <c r="AE634" s="94"/>
      <c r="AF634" s="94"/>
      <c r="AG634" s="94"/>
    </row>
    <row r="635"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4"/>
      <c r="AE635" s="94"/>
      <c r="AF635" s="94"/>
      <c r="AG635" s="94"/>
    </row>
    <row r="636"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4"/>
      <c r="AE636" s="94"/>
      <c r="AF636" s="94"/>
      <c r="AG636" s="94"/>
    </row>
    <row r="637"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4"/>
      <c r="AE637" s="94"/>
      <c r="AF637" s="94"/>
      <c r="AG637" s="94"/>
    </row>
    <row r="638"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4"/>
      <c r="AE638" s="94"/>
      <c r="AF638" s="94"/>
      <c r="AG638" s="94"/>
    </row>
    <row r="639"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4"/>
      <c r="AE639" s="94"/>
      <c r="AF639" s="94"/>
      <c r="AG639" s="94"/>
    </row>
    <row r="640"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4"/>
      <c r="AE640" s="94"/>
      <c r="AF640" s="94"/>
      <c r="AG640" s="94"/>
    </row>
    <row r="641"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4"/>
      <c r="AE641" s="94"/>
      <c r="AF641" s="94"/>
      <c r="AG641" s="94"/>
    </row>
    <row r="642"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4"/>
      <c r="AE642" s="94"/>
      <c r="AF642" s="94"/>
      <c r="AG642" s="94"/>
    </row>
    <row r="643"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4"/>
      <c r="AE643" s="94"/>
      <c r="AF643" s="94"/>
      <c r="AG643" s="94"/>
    </row>
    <row r="644"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4"/>
      <c r="AE644" s="94"/>
      <c r="AF644" s="94"/>
      <c r="AG644" s="94"/>
    </row>
    <row r="645"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4"/>
      <c r="AE645" s="94"/>
      <c r="AF645" s="94"/>
      <c r="AG645" s="94"/>
    </row>
    <row r="646"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4"/>
      <c r="AE646" s="94"/>
      <c r="AF646" s="94"/>
      <c r="AG646" s="94"/>
    </row>
    <row r="647"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4"/>
      <c r="AE647" s="94"/>
      <c r="AF647" s="94"/>
      <c r="AG647" s="94"/>
    </row>
    <row r="648"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4"/>
      <c r="AE648" s="94"/>
      <c r="AF648" s="94"/>
      <c r="AG648" s="94"/>
    </row>
    <row r="649"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4"/>
      <c r="AE649" s="94"/>
      <c r="AF649" s="94"/>
      <c r="AG649" s="94"/>
    </row>
    <row r="650"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4"/>
      <c r="AE650" s="94"/>
      <c r="AF650" s="94"/>
      <c r="AG650" s="94"/>
    </row>
    <row r="651"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4"/>
      <c r="AE651" s="94"/>
      <c r="AF651" s="94"/>
      <c r="AG651" s="94"/>
    </row>
    <row r="652"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4"/>
      <c r="AE652" s="94"/>
      <c r="AF652" s="94"/>
      <c r="AG652" s="94"/>
    </row>
    <row r="653"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4"/>
      <c r="AE653" s="94"/>
      <c r="AF653" s="94"/>
      <c r="AG653" s="94"/>
    </row>
    <row r="654"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4"/>
      <c r="AE654" s="94"/>
      <c r="AF654" s="94"/>
      <c r="AG654" s="94"/>
    </row>
    <row r="655"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4"/>
      <c r="AE655" s="94"/>
      <c r="AF655" s="94"/>
      <c r="AG655" s="94"/>
    </row>
    <row r="656"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4"/>
      <c r="AE656" s="94"/>
      <c r="AF656" s="94"/>
      <c r="AG656" s="94"/>
    </row>
    <row r="657"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4"/>
      <c r="AE657" s="94"/>
      <c r="AF657" s="94"/>
      <c r="AG657" s="94"/>
    </row>
    <row r="658"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4"/>
      <c r="AE658" s="94"/>
      <c r="AF658" s="94"/>
      <c r="AG658" s="94"/>
    </row>
    <row r="659"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4"/>
      <c r="AE659" s="94"/>
      <c r="AF659" s="94"/>
      <c r="AG659" s="94"/>
    </row>
    <row r="660"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4"/>
      <c r="AE660" s="94"/>
      <c r="AF660" s="94"/>
      <c r="AG660" s="94"/>
    </row>
    <row r="661"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4"/>
      <c r="AE661" s="94"/>
      <c r="AF661" s="94"/>
      <c r="AG661" s="94"/>
    </row>
    <row r="662"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4"/>
      <c r="AE662" s="94"/>
      <c r="AF662" s="94"/>
      <c r="AG662" s="94"/>
    </row>
    <row r="663"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4"/>
      <c r="AE663" s="94"/>
      <c r="AF663" s="94"/>
      <c r="AG663" s="94"/>
    </row>
    <row r="664"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4"/>
      <c r="AE664" s="94"/>
      <c r="AF664" s="94"/>
      <c r="AG664" s="94"/>
    </row>
    <row r="665"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4"/>
      <c r="AE665" s="94"/>
      <c r="AF665" s="94"/>
      <c r="AG665" s="94"/>
    </row>
    <row r="666"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4"/>
      <c r="AE666" s="94"/>
      <c r="AF666" s="94"/>
      <c r="AG666" s="94"/>
    </row>
    <row r="667"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4"/>
      <c r="AE667" s="94"/>
      <c r="AF667" s="94"/>
      <c r="AG667" s="94"/>
    </row>
    <row r="668"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4"/>
      <c r="AE668" s="94"/>
      <c r="AF668" s="94"/>
      <c r="AG668" s="94"/>
    </row>
    <row r="669"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4"/>
      <c r="AE669" s="94"/>
      <c r="AF669" s="94"/>
      <c r="AG669" s="94"/>
    </row>
    <row r="670"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4"/>
      <c r="AE670" s="94"/>
      <c r="AF670" s="94"/>
      <c r="AG670" s="94"/>
    </row>
    <row r="671"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4"/>
      <c r="AE671" s="94"/>
      <c r="AF671" s="94"/>
      <c r="AG671" s="94"/>
    </row>
    <row r="672"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4"/>
      <c r="AE672" s="94"/>
      <c r="AF672" s="94"/>
      <c r="AG672" s="94"/>
    </row>
    <row r="673"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4"/>
      <c r="AE673" s="94"/>
      <c r="AF673" s="94"/>
      <c r="AG673" s="94"/>
    </row>
    <row r="674"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4"/>
      <c r="AE674" s="94"/>
      <c r="AF674" s="94"/>
      <c r="AG674" s="94"/>
    </row>
    <row r="675"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4"/>
      <c r="AE675" s="94"/>
      <c r="AF675" s="94"/>
      <c r="AG675" s="94"/>
    </row>
    <row r="676"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4"/>
      <c r="AE676" s="94"/>
      <c r="AF676" s="94"/>
      <c r="AG676" s="94"/>
    </row>
    <row r="677"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4"/>
      <c r="AE677" s="94"/>
      <c r="AF677" s="94"/>
      <c r="AG677" s="94"/>
    </row>
    <row r="678"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4"/>
      <c r="AE678" s="94"/>
      <c r="AF678" s="94"/>
      <c r="AG678" s="94"/>
    </row>
    <row r="679"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4"/>
      <c r="AE679" s="94"/>
      <c r="AF679" s="94"/>
      <c r="AG679" s="94"/>
    </row>
    <row r="680"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4"/>
      <c r="AE680" s="94"/>
      <c r="AF680" s="94"/>
      <c r="AG680" s="94"/>
    </row>
    <row r="681"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4"/>
      <c r="AE681" s="94"/>
      <c r="AF681" s="94"/>
      <c r="AG681" s="94"/>
    </row>
    <row r="682"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4"/>
      <c r="AE682" s="94"/>
      <c r="AF682" s="94"/>
      <c r="AG682" s="94"/>
    </row>
    <row r="683"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4"/>
      <c r="AE683" s="94"/>
      <c r="AF683" s="94"/>
      <c r="AG683" s="94"/>
    </row>
    <row r="684"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4"/>
      <c r="AE684" s="94"/>
      <c r="AF684" s="94"/>
      <c r="AG684" s="94"/>
    </row>
    <row r="685"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4"/>
      <c r="AE685" s="94"/>
      <c r="AF685" s="94"/>
      <c r="AG685" s="94"/>
    </row>
    <row r="686"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4"/>
      <c r="AE686" s="94"/>
      <c r="AF686" s="94"/>
      <c r="AG686" s="94"/>
    </row>
    <row r="687"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4"/>
      <c r="AE687" s="94"/>
      <c r="AF687" s="94"/>
      <c r="AG687" s="94"/>
    </row>
    <row r="688"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4"/>
      <c r="AE688" s="94"/>
      <c r="AF688" s="94"/>
      <c r="AG688" s="94"/>
    </row>
    <row r="689"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4"/>
      <c r="AE689" s="94"/>
      <c r="AF689" s="94"/>
      <c r="AG689" s="94"/>
    </row>
    <row r="690"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4"/>
      <c r="AE690" s="94"/>
      <c r="AF690" s="94"/>
      <c r="AG690" s="94"/>
    </row>
    <row r="691"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4"/>
      <c r="AE691" s="94"/>
      <c r="AF691" s="94"/>
      <c r="AG691" s="94"/>
    </row>
    <row r="692"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4"/>
      <c r="AE692" s="94"/>
      <c r="AF692" s="94"/>
      <c r="AG692" s="94"/>
    </row>
    <row r="693"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4"/>
      <c r="AE693" s="94"/>
      <c r="AF693" s="94"/>
      <c r="AG693" s="94"/>
    </row>
    <row r="694"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4"/>
      <c r="AE694" s="94"/>
      <c r="AF694" s="94"/>
      <c r="AG694" s="94"/>
    </row>
    <row r="695"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4"/>
      <c r="AE695" s="94"/>
      <c r="AF695" s="94"/>
      <c r="AG695" s="94"/>
    </row>
    <row r="696"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4"/>
      <c r="AE696" s="94"/>
      <c r="AF696" s="94"/>
      <c r="AG696" s="94"/>
    </row>
    <row r="697"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4"/>
      <c r="AE697" s="94"/>
      <c r="AF697" s="94"/>
      <c r="AG697" s="94"/>
    </row>
    <row r="698"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4"/>
      <c r="AE698" s="94"/>
      <c r="AF698" s="94"/>
      <c r="AG698" s="94"/>
    </row>
    <row r="699"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4"/>
      <c r="AE699" s="94"/>
      <c r="AF699" s="94"/>
      <c r="AG699" s="94"/>
    </row>
    <row r="700"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4"/>
      <c r="AE700" s="94"/>
      <c r="AF700" s="94"/>
      <c r="AG700" s="94"/>
    </row>
    <row r="701"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4"/>
      <c r="AE701" s="94"/>
      <c r="AF701" s="94"/>
      <c r="AG701" s="94"/>
    </row>
    <row r="702"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4"/>
      <c r="AE702" s="94"/>
      <c r="AF702" s="94"/>
      <c r="AG702" s="94"/>
    </row>
    <row r="703"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4"/>
      <c r="AE703" s="94"/>
      <c r="AF703" s="94"/>
      <c r="AG703" s="94"/>
    </row>
    <row r="704"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4"/>
      <c r="AE704" s="94"/>
      <c r="AF704" s="94"/>
      <c r="AG704" s="94"/>
    </row>
    <row r="705"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4"/>
      <c r="AE705" s="94"/>
      <c r="AF705" s="94"/>
      <c r="AG705" s="94"/>
    </row>
    <row r="706"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4"/>
      <c r="AE706" s="94"/>
      <c r="AF706" s="94"/>
      <c r="AG706" s="94"/>
    </row>
    <row r="707"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4"/>
      <c r="AE707" s="94"/>
      <c r="AF707" s="94"/>
      <c r="AG707" s="94"/>
    </row>
    <row r="708"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4"/>
      <c r="AE708" s="94"/>
      <c r="AF708" s="94"/>
      <c r="AG708" s="94"/>
    </row>
    <row r="709"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4"/>
      <c r="AE709" s="94"/>
      <c r="AF709" s="94"/>
      <c r="AG709" s="94"/>
    </row>
    <row r="710"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4"/>
      <c r="AE710" s="94"/>
      <c r="AF710" s="94"/>
      <c r="AG710" s="94"/>
    </row>
    <row r="711"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4"/>
      <c r="AE711" s="94"/>
      <c r="AF711" s="94"/>
      <c r="AG711" s="94"/>
    </row>
    <row r="712"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4"/>
      <c r="AE712" s="94"/>
      <c r="AF712" s="94"/>
      <c r="AG712" s="94"/>
    </row>
    <row r="713"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4"/>
      <c r="AE713" s="94"/>
      <c r="AF713" s="94"/>
      <c r="AG713" s="94"/>
    </row>
    <row r="714"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4"/>
      <c r="AE714" s="94"/>
      <c r="AF714" s="94"/>
      <c r="AG714" s="94"/>
    </row>
    <row r="715"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4"/>
      <c r="AE715" s="94"/>
      <c r="AF715" s="94"/>
      <c r="AG715" s="94"/>
    </row>
    <row r="716"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4"/>
      <c r="AE716" s="94"/>
      <c r="AF716" s="94"/>
      <c r="AG716" s="94"/>
    </row>
    <row r="717"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4"/>
      <c r="AE717" s="94"/>
      <c r="AF717" s="94"/>
      <c r="AG717" s="94"/>
    </row>
    <row r="718"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4"/>
      <c r="AE718" s="94"/>
      <c r="AF718" s="94"/>
      <c r="AG718" s="94"/>
    </row>
    <row r="719"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4"/>
      <c r="AE719" s="94"/>
      <c r="AF719" s="94"/>
      <c r="AG719" s="94"/>
    </row>
    <row r="720"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4"/>
      <c r="AE720" s="94"/>
      <c r="AF720" s="94"/>
      <c r="AG720" s="94"/>
    </row>
    <row r="721"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4"/>
      <c r="AE721" s="94"/>
      <c r="AF721" s="94"/>
      <c r="AG721" s="94"/>
    </row>
    <row r="722"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4"/>
      <c r="AE722" s="94"/>
      <c r="AF722" s="94"/>
      <c r="AG722" s="94"/>
    </row>
    <row r="723"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4"/>
      <c r="AE723" s="94"/>
      <c r="AF723" s="94"/>
      <c r="AG723" s="94"/>
    </row>
    <row r="724"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4"/>
      <c r="AE724" s="94"/>
      <c r="AF724" s="94"/>
      <c r="AG724" s="94"/>
    </row>
    <row r="725"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4"/>
      <c r="AE725" s="94"/>
      <c r="AF725" s="94"/>
      <c r="AG725" s="94"/>
    </row>
    <row r="726"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4"/>
      <c r="AE726" s="94"/>
      <c r="AF726" s="94"/>
      <c r="AG726" s="94"/>
    </row>
    <row r="727"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4"/>
      <c r="AE727" s="94"/>
      <c r="AF727" s="94"/>
      <c r="AG727" s="94"/>
    </row>
    <row r="728"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4"/>
      <c r="AE728" s="94"/>
      <c r="AF728" s="94"/>
      <c r="AG728" s="94"/>
    </row>
    <row r="729"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4"/>
      <c r="AE729" s="94"/>
      <c r="AF729" s="94"/>
      <c r="AG729" s="94"/>
    </row>
    <row r="730"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4"/>
      <c r="AE730" s="94"/>
      <c r="AF730" s="94"/>
      <c r="AG730" s="94"/>
    </row>
    <row r="731"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4"/>
      <c r="AE731" s="94"/>
      <c r="AF731" s="94"/>
      <c r="AG731" s="94"/>
    </row>
    <row r="732"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4"/>
      <c r="AE732" s="94"/>
      <c r="AF732" s="94"/>
      <c r="AG732" s="94"/>
    </row>
    <row r="733"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4"/>
      <c r="AE733" s="94"/>
      <c r="AF733" s="94"/>
      <c r="AG733" s="94"/>
    </row>
    <row r="734"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4"/>
      <c r="AE734" s="94"/>
      <c r="AF734" s="94"/>
      <c r="AG734" s="94"/>
    </row>
    <row r="735"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4"/>
      <c r="AE735" s="94"/>
      <c r="AF735" s="94"/>
      <c r="AG735" s="94"/>
    </row>
    <row r="736"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4"/>
      <c r="AE736" s="94"/>
      <c r="AF736" s="94"/>
      <c r="AG736" s="94"/>
    </row>
    <row r="737"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4"/>
      <c r="AE737" s="94"/>
      <c r="AF737" s="94"/>
      <c r="AG737" s="94"/>
    </row>
    <row r="738"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4"/>
      <c r="AE738" s="94"/>
      <c r="AF738" s="94"/>
      <c r="AG738" s="94"/>
    </row>
    <row r="739"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4"/>
      <c r="AE739" s="94"/>
      <c r="AF739" s="94"/>
      <c r="AG739" s="94"/>
    </row>
    <row r="740"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4"/>
      <c r="AE740" s="94"/>
      <c r="AF740" s="94"/>
      <c r="AG740" s="94"/>
    </row>
    <row r="741"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4"/>
      <c r="AE741" s="94"/>
      <c r="AF741" s="94"/>
      <c r="AG741" s="94"/>
    </row>
    <row r="742"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4"/>
      <c r="AE742" s="94"/>
      <c r="AF742" s="94"/>
      <c r="AG742" s="94"/>
    </row>
    <row r="743"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4"/>
      <c r="AE743" s="94"/>
      <c r="AF743" s="94"/>
      <c r="AG743" s="94"/>
    </row>
    <row r="744"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4"/>
      <c r="AE744" s="94"/>
      <c r="AF744" s="94"/>
      <c r="AG744" s="94"/>
    </row>
    <row r="745"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4"/>
      <c r="AE745" s="94"/>
      <c r="AF745" s="94"/>
      <c r="AG745" s="94"/>
    </row>
    <row r="746"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4"/>
      <c r="AE746" s="94"/>
      <c r="AF746" s="94"/>
      <c r="AG746" s="94"/>
    </row>
    <row r="747"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4"/>
      <c r="AE747" s="94"/>
      <c r="AF747" s="94"/>
      <c r="AG747" s="94"/>
    </row>
    <row r="748"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4"/>
      <c r="AE748" s="94"/>
      <c r="AF748" s="94"/>
      <c r="AG748" s="94"/>
    </row>
    <row r="749"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4"/>
      <c r="AE749" s="94"/>
      <c r="AF749" s="94"/>
      <c r="AG749" s="94"/>
    </row>
    <row r="750"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4"/>
      <c r="AE750" s="94"/>
      <c r="AF750" s="94"/>
      <c r="AG750" s="94"/>
    </row>
    <row r="751"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4"/>
      <c r="AE751" s="94"/>
      <c r="AF751" s="94"/>
      <c r="AG751" s="94"/>
    </row>
    <row r="752"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4"/>
      <c r="AE752" s="94"/>
      <c r="AF752" s="94"/>
      <c r="AG752" s="94"/>
    </row>
    <row r="753"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4"/>
      <c r="AE753" s="94"/>
      <c r="AF753" s="94"/>
      <c r="AG753" s="94"/>
    </row>
    <row r="754"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4"/>
      <c r="AE754" s="94"/>
      <c r="AF754" s="94"/>
      <c r="AG754" s="94"/>
    </row>
    <row r="755"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4"/>
      <c r="AE755" s="94"/>
      <c r="AF755" s="94"/>
      <c r="AG755" s="94"/>
    </row>
    <row r="756"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4"/>
      <c r="AE756" s="94"/>
      <c r="AF756" s="94"/>
      <c r="AG756" s="94"/>
    </row>
    <row r="757"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4"/>
      <c r="AE757" s="94"/>
      <c r="AF757" s="94"/>
      <c r="AG757" s="94"/>
    </row>
    <row r="758"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4"/>
      <c r="AE758" s="94"/>
      <c r="AF758" s="94"/>
      <c r="AG758" s="94"/>
    </row>
    <row r="759"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4"/>
      <c r="AE759" s="94"/>
      <c r="AF759" s="94"/>
      <c r="AG759" s="94"/>
    </row>
    <row r="760"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4"/>
      <c r="AE760" s="94"/>
      <c r="AF760" s="94"/>
      <c r="AG760" s="94"/>
    </row>
    <row r="761"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4"/>
      <c r="AE761" s="94"/>
      <c r="AF761" s="94"/>
      <c r="AG761" s="94"/>
    </row>
    <row r="762"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4"/>
      <c r="AE762" s="94"/>
      <c r="AF762" s="94"/>
      <c r="AG762" s="94"/>
    </row>
    <row r="763"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4"/>
      <c r="AE763" s="94"/>
      <c r="AF763" s="94"/>
      <c r="AG763" s="94"/>
    </row>
    <row r="764"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4"/>
      <c r="AE764" s="94"/>
      <c r="AF764" s="94"/>
      <c r="AG764" s="94"/>
    </row>
    <row r="765"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4"/>
      <c r="AE765" s="94"/>
      <c r="AF765" s="94"/>
      <c r="AG765" s="94"/>
    </row>
    <row r="766"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4"/>
      <c r="AE766" s="94"/>
      <c r="AF766" s="94"/>
      <c r="AG766" s="94"/>
    </row>
    <row r="767"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4"/>
      <c r="AE767" s="94"/>
      <c r="AF767" s="94"/>
      <c r="AG767" s="94"/>
    </row>
    <row r="768"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4"/>
      <c r="AE768" s="94"/>
      <c r="AF768" s="94"/>
      <c r="AG768" s="94"/>
    </row>
    <row r="769"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4"/>
      <c r="AE769" s="94"/>
      <c r="AF769" s="94"/>
      <c r="AG769" s="94"/>
    </row>
    <row r="770"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4"/>
      <c r="AE770" s="94"/>
      <c r="AF770" s="94"/>
      <c r="AG770" s="94"/>
    </row>
    <row r="771"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4"/>
      <c r="AE771" s="94"/>
      <c r="AF771" s="94"/>
      <c r="AG771" s="94"/>
    </row>
    <row r="772"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4"/>
      <c r="AE772" s="94"/>
      <c r="AF772" s="94"/>
      <c r="AG772" s="94"/>
    </row>
    <row r="773"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4"/>
      <c r="AE773" s="94"/>
      <c r="AF773" s="94"/>
      <c r="AG773" s="94"/>
    </row>
    <row r="774"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4"/>
      <c r="AE774" s="94"/>
      <c r="AF774" s="94"/>
      <c r="AG774" s="94"/>
    </row>
    <row r="775"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4"/>
      <c r="AE775" s="94"/>
      <c r="AF775" s="94"/>
      <c r="AG775" s="94"/>
    </row>
    <row r="776"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4"/>
      <c r="AE776" s="94"/>
      <c r="AF776" s="94"/>
      <c r="AG776" s="94"/>
    </row>
    <row r="777"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4"/>
      <c r="AE777" s="94"/>
      <c r="AF777" s="94"/>
      <c r="AG777" s="94"/>
    </row>
    <row r="778"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4"/>
      <c r="AE778" s="94"/>
      <c r="AF778" s="94"/>
      <c r="AG778" s="94"/>
    </row>
    <row r="779"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4"/>
      <c r="AE779" s="94"/>
      <c r="AF779" s="94"/>
      <c r="AG779" s="94"/>
    </row>
    <row r="780"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4"/>
      <c r="AE780" s="94"/>
      <c r="AF780" s="94"/>
      <c r="AG780" s="94"/>
    </row>
    <row r="781"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4"/>
      <c r="AE781" s="94"/>
      <c r="AF781" s="94"/>
      <c r="AG781" s="94"/>
    </row>
    <row r="782"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4"/>
      <c r="AE782" s="94"/>
      <c r="AF782" s="94"/>
      <c r="AG782" s="94"/>
    </row>
    <row r="783"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4"/>
      <c r="AE783" s="94"/>
      <c r="AF783" s="94"/>
      <c r="AG783" s="94"/>
    </row>
    <row r="784"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4"/>
      <c r="AE784" s="94"/>
      <c r="AF784" s="94"/>
      <c r="AG784" s="94"/>
    </row>
    <row r="785"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4"/>
      <c r="AE785" s="94"/>
      <c r="AF785" s="94"/>
      <c r="AG785" s="94"/>
    </row>
    <row r="786"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4"/>
      <c r="AE786" s="94"/>
      <c r="AF786" s="94"/>
      <c r="AG786" s="94"/>
    </row>
    <row r="787"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4"/>
      <c r="AE787" s="94"/>
      <c r="AF787" s="94"/>
      <c r="AG787" s="94"/>
    </row>
    <row r="788"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4"/>
      <c r="AE788" s="94"/>
      <c r="AF788" s="94"/>
      <c r="AG788" s="94"/>
    </row>
    <row r="789"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4"/>
      <c r="AE789" s="94"/>
      <c r="AF789" s="94"/>
      <c r="AG789" s="94"/>
    </row>
    <row r="790"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4"/>
      <c r="AE790" s="94"/>
      <c r="AF790" s="94"/>
      <c r="AG790" s="94"/>
    </row>
    <row r="791"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4"/>
      <c r="AE791" s="94"/>
      <c r="AF791" s="94"/>
      <c r="AG791" s="94"/>
    </row>
    <row r="792"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4"/>
      <c r="AE792" s="94"/>
      <c r="AF792" s="94"/>
      <c r="AG792" s="94"/>
    </row>
    <row r="793"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4"/>
      <c r="AE793" s="94"/>
      <c r="AF793" s="94"/>
      <c r="AG793" s="94"/>
    </row>
    <row r="794"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4"/>
      <c r="AE794" s="94"/>
      <c r="AF794" s="94"/>
      <c r="AG794" s="94"/>
    </row>
    <row r="795"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4"/>
      <c r="AE795" s="94"/>
      <c r="AF795" s="94"/>
      <c r="AG795" s="94"/>
    </row>
    <row r="796"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4"/>
      <c r="AE796" s="94"/>
      <c r="AF796" s="94"/>
      <c r="AG796" s="94"/>
    </row>
    <row r="797"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4"/>
      <c r="AE797" s="94"/>
      <c r="AF797" s="94"/>
      <c r="AG797" s="94"/>
    </row>
    <row r="798"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4"/>
      <c r="AE798" s="94"/>
      <c r="AF798" s="94"/>
      <c r="AG798" s="94"/>
    </row>
    <row r="799"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4"/>
      <c r="AE799" s="94"/>
      <c r="AF799" s="94"/>
      <c r="AG799" s="94"/>
    </row>
    <row r="800"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4"/>
      <c r="AE800" s="94"/>
      <c r="AF800" s="94"/>
      <c r="AG800" s="94"/>
    </row>
    <row r="801"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4"/>
      <c r="AE801" s="94"/>
      <c r="AF801" s="94"/>
      <c r="AG801" s="94"/>
    </row>
    <row r="802"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4"/>
      <c r="AE802" s="94"/>
      <c r="AF802" s="94"/>
      <c r="AG802" s="94"/>
    </row>
    <row r="803"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4"/>
      <c r="AE803" s="94"/>
      <c r="AF803" s="94"/>
      <c r="AG803" s="94"/>
    </row>
    <row r="804"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4"/>
      <c r="AE804" s="94"/>
      <c r="AF804" s="94"/>
      <c r="AG804" s="94"/>
    </row>
    <row r="805"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4"/>
      <c r="AE805" s="94"/>
      <c r="AF805" s="94"/>
      <c r="AG805" s="94"/>
    </row>
    <row r="806"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4"/>
      <c r="AE806" s="94"/>
      <c r="AF806" s="94"/>
      <c r="AG806" s="94"/>
    </row>
    <row r="807"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4"/>
      <c r="AE807" s="94"/>
      <c r="AF807" s="94"/>
      <c r="AG807" s="94"/>
    </row>
    <row r="808"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4"/>
      <c r="AE808" s="94"/>
      <c r="AF808" s="94"/>
      <c r="AG808" s="94"/>
    </row>
    <row r="809"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4"/>
      <c r="AE809" s="94"/>
      <c r="AF809" s="94"/>
      <c r="AG809" s="94"/>
    </row>
    <row r="810"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4"/>
      <c r="AE810" s="94"/>
      <c r="AF810" s="94"/>
      <c r="AG810" s="94"/>
    </row>
    <row r="811"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4"/>
      <c r="AE811" s="94"/>
      <c r="AF811" s="94"/>
      <c r="AG811" s="94"/>
    </row>
    <row r="812"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4"/>
      <c r="AE812" s="94"/>
      <c r="AF812" s="94"/>
      <c r="AG812" s="94"/>
    </row>
    <row r="813"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4"/>
      <c r="AE813" s="94"/>
      <c r="AF813" s="94"/>
      <c r="AG813" s="94"/>
    </row>
    <row r="814"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4"/>
      <c r="AE814" s="94"/>
      <c r="AF814" s="94"/>
      <c r="AG814" s="94"/>
    </row>
    <row r="815"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4"/>
      <c r="AE815" s="94"/>
      <c r="AF815" s="94"/>
      <c r="AG815" s="94"/>
    </row>
    <row r="816"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4"/>
      <c r="AE816" s="94"/>
      <c r="AF816" s="94"/>
      <c r="AG816" s="94"/>
    </row>
    <row r="817"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4"/>
      <c r="AE817" s="94"/>
      <c r="AF817" s="94"/>
      <c r="AG817" s="94"/>
    </row>
    <row r="818"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4"/>
      <c r="AE818" s="94"/>
      <c r="AF818" s="94"/>
      <c r="AG818" s="94"/>
    </row>
    <row r="819"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4"/>
      <c r="AE819" s="94"/>
      <c r="AF819" s="94"/>
      <c r="AG819" s="94"/>
    </row>
    <row r="820"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4"/>
      <c r="AE820" s="94"/>
      <c r="AF820" s="94"/>
      <c r="AG820" s="94"/>
    </row>
    <row r="821"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4"/>
      <c r="AE821" s="94"/>
      <c r="AF821" s="94"/>
      <c r="AG821" s="94"/>
    </row>
    <row r="822"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4"/>
      <c r="AE822" s="94"/>
      <c r="AF822" s="94"/>
      <c r="AG822" s="94"/>
    </row>
    <row r="823"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4"/>
      <c r="AE823" s="94"/>
      <c r="AF823" s="94"/>
      <c r="AG823" s="94"/>
    </row>
    <row r="824"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4"/>
      <c r="AE824" s="94"/>
      <c r="AF824" s="94"/>
      <c r="AG824" s="94"/>
    </row>
    <row r="825"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4"/>
      <c r="AE825" s="94"/>
      <c r="AF825" s="94"/>
      <c r="AG825" s="94"/>
    </row>
    <row r="826"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4"/>
      <c r="AE826" s="94"/>
      <c r="AF826" s="94"/>
      <c r="AG826" s="94"/>
    </row>
    <row r="827"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4"/>
      <c r="AE827" s="94"/>
      <c r="AF827" s="94"/>
      <c r="AG827" s="94"/>
    </row>
    <row r="828"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4"/>
      <c r="AE828" s="94"/>
      <c r="AF828" s="94"/>
      <c r="AG828" s="94"/>
    </row>
    <row r="829"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4"/>
      <c r="AE829" s="94"/>
      <c r="AF829" s="94"/>
      <c r="AG829" s="94"/>
    </row>
    <row r="830"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4"/>
      <c r="AE830" s="94"/>
      <c r="AF830" s="94"/>
      <c r="AG830" s="94"/>
    </row>
    <row r="831"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4"/>
      <c r="AE831" s="94"/>
      <c r="AF831" s="94"/>
      <c r="AG831" s="94"/>
    </row>
    <row r="832"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4"/>
      <c r="AE832" s="94"/>
      <c r="AF832" s="94"/>
      <c r="AG832" s="94"/>
    </row>
    <row r="833"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4"/>
      <c r="AE833" s="94"/>
      <c r="AF833" s="94"/>
      <c r="AG833" s="94"/>
    </row>
    <row r="834"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4"/>
      <c r="AE834" s="94"/>
      <c r="AF834" s="94"/>
      <c r="AG834" s="94"/>
    </row>
    <row r="835"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4"/>
      <c r="AE835" s="94"/>
      <c r="AF835" s="94"/>
      <c r="AG835" s="94"/>
    </row>
    <row r="836"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4"/>
      <c r="AE836" s="94"/>
      <c r="AF836" s="94"/>
      <c r="AG836" s="94"/>
    </row>
    <row r="837"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4"/>
      <c r="AE837" s="94"/>
      <c r="AF837" s="94"/>
      <c r="AG837" s="94"/>
    </row>
    <row r="838"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4"/>
      <c r="AE838" s="94"/>
      <c r="AF838" s="94"/>
      <c r="AG838" s="94"/>
    </row>
    <row r="839"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4"/>
      <c r="AE839" s="94"/>
      <c r="AF839" s="94"/>
      <c r="AG839" s="94"/>
    </row>
    <row r="840"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4"/>
      <c r="AE840" s="94"/>
      <c r="AF840" s="94"/>
      <c r="AG840" s="94"/>
    </row>
    <row r="841"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4"/>
      <c r="AE841" s="94"/>
      <c r="AF841" s="94"/>
      <c r="AG841" s="94"/>
    </row>
    <row r="842"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4"/>
      <c r="AE842" s="94"/>
      <c r="AF842" s="94"/>
      <c r="AG842" s="94"/>
    </row>
    <row r="843"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4"/>
      <c r="AE843" s="94"/>
      <c r="AF843" s="94"/>
      <c r="AG843" s="94"/>
    </row>
    <row r="844"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4"/>
      <c r="AE844" s="94"/>
      <c r="AF844" s="94"/>
      <c r="AG844" s="94"/>
    </row>
    <row r="845"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4"/>
      <c r="AE845" s="94"/>
      <c r="AF845" s="94"/>
      <c r="AG845" s="94"/>
    </row>
    <row r="846"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4"/>
      <c r="AE846" s="94"/>
      <c r="AF846" s="94"/>
      <c r="AG846" s="94"/>
    </row>
    <row r="847"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4"/>
      <c r="AE847" s="94"/>
      <c r="AF847" s="94"/>
      <c r="AG847" s="94"/>
    </row>
    <row r="848"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4"/>
      <c r="AE848" s="94"/>
      <c r="AF848" s="94"/>
      <c r="AG848" s="94"/>
    </row>
    <row r="849"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4"/>
      <c r="AE849" s="94"/>
      <c r="AF849" s="94"/>
      <c r="AG849" s="94"/>
    </row>
    <row r="850"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4"/>
      <c r="AE850" s="94"/>
      <c r="AF850" s="94"/>
      <c r="AG850" s="94"/>
    </row>
    <row r="851"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4"/>
      <c r="AE851" s="94"/>
      <c r="AF851" s="94"/>
      <c r="AG851" s="94"/>
    </row>
    <row r="852"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4"/>
      <c r="AE852" s="94"/>
      <c r="AF852" s="94"/>
      <c r="AG852" s="94"/>
    </row>
    <row r="853"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4"/>
      <c r="AE853" s="94"/>
      <c r="AF853" s="94"/>
      <c r="AG853" s="94"/>
    </row>
    <row r="854"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4"/>
      <c r="AE854" s="94"/>
      <c r="AF854" s="94"/>
      <c r="AG854" s="94"/>
    </row>
    <row r="855"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4"/>
      <c r="AE855" s="94"/>
      <c r="AF855" s="94"/>
      <c r="AG855" s="94"/>
    </row>
    <row r="856"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4"/>
      <c r="AE856" s="94"/>
      <c r="AF856" s="94"/>
      <c r="AG856" s="94"/>
    </row>
    <row r="857"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4"/>
      <c r="AE857" s="94"/>
      <c r="AF857" s="94"/>
      <c r="AG857" s="94"/>
    </row>
    <row r="858"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4"/>
      <c r="AE858" s="94"/>
      <c r="AF858" s="94"/>
      <c r="AG858" s="94"/>
    </row>
    <row r="859"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4"/>
      <c r="AE859" s="94"/>
      <c r="AF859" s="94"/>
      <c r="AG859" s="94"/>
    </row>
    <row r="860"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4"/>
      <c r="AE860" s="94"/>
      <c r="AF860" s="94"/>
      <c r="AG860" s="94"/>
    </row>
    <row r="861"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4"/>
      <c r="AE861" s="94"/>
      <c r="AF861" s="94"/>
      <c r="AG861" s="94"/>
    </row>
    <row r="862"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4"/>
      <c r="AE862" s="94"/>
      <c r="AF862" s="94"/>
      <c r="AG862" s="94"/>
    </row>
    <row r="863"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4"/>
      <c r="AE863" s="94"/>
      <c r="AF863" s="94"/>
      <c r="AG863" s="94"/>
    </row>
    <row r="864"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4"/>
      <c r="AE864" s="94"/>
      <c r="AF864" s="94"/>
      <c r="AG864" s="94"/>
    </row>
    <row r="865"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4"/>
      <c r="AE865" s="94"/>
      <c r="AF865" s="94"/>
      <c r="AG865" s="94"/>
    </row>
    <row r="866"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4"/>
      <c r="AE866" s="94"/>
      <c r="AF866" s="94"/>
      <c r="AG866" s="94"/>
    </row>
    <row r="867"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4"/>
      <c r="AE867" s="94"/>
      <c r="AF867" s="94"/>
      <c r="AG867" s="94"/>
    </row>
    <row r="868"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4"/>
      <c r="AE868" s="94"/>
      <c r="AF868" s="94"/>
      <c r="AG868" s="94"/>
    </row>
    <row r="869"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4"/>
      <c r="AE869" s="94"/>
      <c r="AF869" s="94"/>
      <c r="AG869" s="94"/>
    </row>
    <row r="870"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4"/>
      <c r="AE870" s="94"/>
      <c r="AF870" s="94"/>
      <c r="AG870" s="94"/>
    </row>
    <row r="871"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4"/>
      <c r="AE871" s="94"/>
      <c r="AF871" s="94"/>
      <c r="AG871" s="94"/>
    </row>
    <row r="872"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4"/>
      <c r="AE872" s="94"/>
      <c r="AF872" s="94"/>
      <c r="AG872" s="94"/>
    </row>
    <row r="873"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4"/>
      <c r="AE873" s="94"/>
      <c r="AF873" s="94"/>
      <c r="AG873" s="94"/>
    </row>
    <row r="874"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4"/>
      <c r="AE874" s="94"/>
      <c r="AF874" s="94"/>
      <c r="AG874" s="94"/>
    </row>
    <row r="875"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4"/>
      <c r="AE875" s="94"/>
      <c r="AF875" s="94"/>
      <c r="AG875" s="94"/>
    </row>
    <row r="876"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4"/>
      <c r="AE876" s="94"/>
      <c r="AF876" s="94"/>
      <c r="AG876" s="94"/>
    </row>
    <row r="877"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4"/>
      <c r="AE877" s="94"/>
      <c r="AF877" s="94"/>
      <c r="AG877" s="94"/>
    </row>
    <row r="878"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4"/>
      <c r="AE878" s="94"/>
      <c r="AF878" s="94"/>
      <c r="AG878" s="94"/>
    </row>
    <row r="879"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4"/>
      <c r="AE879" s="94"/>
      <c r="AF879" s="94"/>
      <c r="AG879" s="94"/>
    </row>
    <row r="880"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4"/>
      <c r="AE880" s="94"/>
      <c r="AF880" s="94"/>
      <c r="AG880" s="94"/>
    </row>
    <row r="881"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4"/>
      <c r="AE881" s="94"/>
      <c r="AF881" s="94"/>
      <c r="AG881" s="94"/>
    </row>
    <row r="882"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4"/>
      <c r="AE882" s="94"/>
      <c r="AF882" s="94"/>
      <c r="AG882" s="94"/>
    </row>
    <row r="883"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4"/>
      <c r="AE883" s="94"/>
      <c r="AF883" s="94"/>
      <c r="AG883" s="94"/>
    </row>
    <row r="884"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4"/>
      <c r="AE884" s="94"/>
      <c r="AF884" s="94"/>
      <c r="AG884" s="94"/>
    </row>
    <row r="885"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4"/>
      <c r="AE885" s="94"/>
      <c r="AF885" s="94"/>
      <c r="AG885" s="94"/>
    </row>
    <row r="886"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4"/>
      <c r="AE886" s="94"/>
      <c r="AF886" s="94"/>
      <c r="AG886" s="94"/>
    </row>
    <row r="887"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4"/>
      <c r="AE887" s="94"/>
      <c r="AF887" s="94"/>
      <c r="AG887" s="94"/>
    </row>
    <row r="888"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4"/>
      <c r="AE888" s="94"/>
      <c r="AF888" s="94"/>
      <c r="AG888" s="94"/>
    </row>
    <row r="889"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4"/>
      <c r="AE889" s="94"/>
      <c r="AF889" s="94"/>
      <c r="AG889" s="94"/>
    </row>
    <row r="890"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4"/>
      <c r="AE890" s="94"/>
      <c r="AF890" s="94"/>
      <c r="AG890" s="94"/>
    </row>
    <row r="891"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4"/>
      <c r="AE891" s="94"/>
      <c r="AF891" s="94"/>
      <c r="AG891" s="94"/>
    </row>
    <row r="892"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4"/>
      <c r="AE892" s="94"/>
      <c r="AF892" s="94"/>
      <c r="AG892" s="94"/>
    </row>
    <row r="893"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4"/>
      <c r="AE893" s="94"/>
      <c r="AF893" s="94"/>
      <c r="AG893" s="94"/>
    </row>
    <row r="894"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4"/>
      <c r="AE894" s="94"/>
      <c r="AF894" s="94"/>
      <c r="AG894" s="94"/>
    </row>
    <row r="895"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4"/>
      <c r="AE895" s="94"/>
      <c r="AF895" s="94"/>
      <c r="AG895" s="94"/>
    </row>
    <row r="896"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4"/>
      <c r="AE896" s="94"/>
      <c r="AF896" s="94"/>
      <c r="AG896" s="94"/>
    </row>
    <row r="897"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4"/>
      <c r="AE897" s="94"/>
      <c r="AF897" s="94"/>
      <c r="AG897" s="94"/>
    </row>
    <row r="898"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4"/>
      <c r="AE898" s="94"/>
      <c r="AF898" s="94"/>
      <c r="AG898" s="94"/>
    </row>
    <row r="899"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4"/>
      <c r="AE899" s="94"/>
      <c r="AF899" s="94"/>
      <c r="AG899" s="94"/>
    </row>
    <row r="900"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4"/>
      <c r="AE900" s="94"/>
      <c r="AF900" s="94"/>
      <c r="AG900" s="94"/>
    </row>
    <row r="901"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4"/>
      <c r="AE901" s="94"/>
      <c r="AF901" s="94"/>
      <c r="AG901" s="94"/>
    </row>
    <row r="902"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4"/>
      <c r="AE902" s="94"/>
      <c r="AF902" s="94"/>
      <c r="AG902" s="94"/>
    </row>
    <row r="903"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4"/>
      <c r="AE903" s="94"/>
      <c r="AF903" s="94"/>
      <c r="AG903" s="94"/>
    </row>
    <row r="904"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4"/>
      <c r="AE904" s="94"/>
      <c r="AF904" s="94"/>
      <c r="AG904" s="94"/>
    </row>
    <row r="905"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4"/>
      <c r="AE905" s="94"/>
      <c r="AF905" s="94"/>
      <c r="AG905" s="94"/>
    </row>
    <row r="906"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4"/>
      <c r="AE906" s="94"/>
      <c r="AF906" s="94"/>
      <c r="AG906" s="94"/>
    </row>
    <row r="907"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4"/>
      <c r="AE907" s="94"/>
      <c r="AF907" s="94"/>
      <c r="AG907" s="94"/>
    </row>
    <row r="908"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4"/>
      <c r="AE908" s="94"/>
      <c r="AF908" s="94"/>
      <c r="AG908" s="94"/>
    </row>
    <row r="909"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4"/>
      <c r="AE909" s="94"/>
      <c r="AF909" s="94"/>
      <c r="AG909" s="94"/>
    </row>
    <row r="910"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4"/>
      <c r="AE910" s="94"/>
      <c r="AF910" s="94"/>
      <c r="AG910" s="94"/>
    </row>
    <row r="911"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4"/>
      <c r="AE911" s="94"/>
      <c r="AF911" s="94"/>
      <c r="AG911" s="94"/>
    </row>
    <row r="912"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4"/>
      <c r="AE912" s="94"/>
      <c r="AF912" s="94"/>
      <c r="AG912" s="94"/>
    </row>
    <row r="913"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4"/>
      <c r="AE913" s="94"/>
      <c r="AF913" s="94"/>
      <c r="AG913" s="94"/>
    </row>
    <row r="914"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4"/>
      <c r="AE914" s="94"/>
      <c r="AF914" s="94"/>
      <c r="AG914" s="94"/>
    </row>
    <row r="915"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4"/>
      <c r="AE915" s="94"/>
      <c r="AF915" s="94"/>
      <c r="AG915" s="94"/>
    </row>
    <row r="916"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4"/>
      <c r="AE916" s="94"/>
      <c r="AF916" s="94"/>
      <c r="AG916" s="94"/>
    </row>
    <row r="917"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4"/>
      <c r="AE917" s="94"/>
      <c r="AF917" s="94"/>
      <c r="AG917" s="94"/>
    </row>
    <row r="918"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4"/>
      <c r="AE918" s="94"/>
      <c r="AF918" s="94"/>
      <c r="AG918" s="94"/>
    </row>
    <row r="919"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4"/>
      <c r="AE919" s="94"/>
      <c r="AF919" s="94"/>
      <c r="AG919" s="94"/>
    </row>
    <row r="920"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4"/>
      <c r="AE920" s="94"/>
      <c r="AF920" s="94"/>
      <c r="AG920" s="94"/>
    </row>
    <row r="921"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4"/>
      <c r="AE921" s="94"/>
      <c r="AF921" s="94"/>
      <c r="AG921" s="94"/>
    </row>
    <row r="922"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4"/>
      <c r="AE922" s="94"/>
      <c r="AF922" s="94"/>
      <c r="AG922" s="94"/>
    </row>
    <row r="923"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4"/>
      <c r="AE923" s="94"/>
      <c r="AF923" s="94"/>
      <c r="AG923" s="94"/>
    </row>
    <row r="924"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4"/>
      <c r="AE924" s="94"/>
      <c r="AF924" s="94"/>
      <c r="AG924" s="94"/>
    </row>
    <row r="925"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4"/>
      <c r="AE925" s="94"/>
      <c r="AF925" s="94"/>
      <c r="AG925" s="94"/>
    </row>
    <row r="926"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4"/>
      <c r="AE926" s="94"/>
      <c r="AF926" s="94"/>
      <c r="AG926" s="94"/>
    </row>
    <row r="927"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4"/>
      <c r="AE927" s="94"/>
      <c r="AF927" s="94"/>
      <c r="AG927" s="94"/>
    </row>
    <row r="928"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4"/>
      <c r="AE928" s="94"/>
      <c r="AF928" s="94"/>
      <c r="AG928" s="94"/>
    </row>
    <row r="929"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4"/>
      <c r="AE929" s="94"/>
      <c r="AF929" s="94"/>
      <c r="AG929" s="94"/>
    </row>
    <row r="930"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4"/>
      <c r="AE930" s="94"/>
      <c r="AF930" s="94"/>
      <c r="AG930" s="94"/>
    </row>
    <row r="931"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4"/>
      <c r="AE931" s="94"/>
      <c r="AF931" s="94"/>
      <c r="AG931" s="94"/>
    </row>
    <row r="932"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4"/>
      <c r="AE932" s="94"/>
      <c r="AF932" s="94"/>
      <c r="AG932" s="94"/>
    </row>
    <row r="933"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4"/>
      <c r="AE933" s="94"/>
      <c r="AF933" s="94"/>
      <c r="AG933" s="94"/>
    </row>
    <row r="934"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4"/>
      <c r="AE934" s="94"/>
      <c r="AF934" s="94"/>
      <c r="AG934" s="94"/>
    </row>
    <row r="935"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4"/>
      <c r="AE935" s="94"/>
      <c r="AF935" s="94"/>
      <c r="AG935" s="94"/>
    </row>
    <row r="936"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4"/>
      <c r="AE936" s="94"/>
      <c r="AF936" s="94"/>
      <c r="AG936" s="94"/>
    </row>
    <row r="937"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4"/>
      <c r="AE937" s="94"/>
      <c r="AF937" s="94"/>
      <c r="AG937" s="94"/>
    </row>
    <row r="938"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4"/>
      <c r="AE938" s="94"/>
      <c r="AF938" s="94"/>
      <c r="AG938" s="94"/>
    </row>
    <row r="939"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4"/>
      <c r="AE939" s="94"/>
      <c r="AF939" s="94"/>
      <c r="AG939" s="94"/>
    </row>
    <row r="940"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4"/>
      <c r="AE940" s="94"/>
      <c r="AF940" s="94"/>
      <c r="AG940" s="94"/>
    </row>
    <row r="941"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4"/>
      <c r="AE941" s="94"/>
      <c r="AF941" s="94"/>
      <c r="AG941" s="94"/>
    </row>
    <row r="942"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4"/>
      <c r="AE942" s="94"/>
      <c r="AF942" s="94"/>
      <c r="AG942" s="94"/>
    </row>
    <row r="943"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4"/>
      <c r="AE943" s="94"/>
      <c r="AF943" s="94"/>
      <c r="AG943" s="94"/>
    </row>
    <row r="944"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4"/>
      <c r="AE944" s="94"/>
      <c r="AF944" s="94"/>
      <c r="AG944" s="94"/>
    </row>
    <row r="945"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4"/>
      <c r="AE945" s="94"/>
      <c r="AF945" s="94"/>
      <c r="AG945" s="94"/>
    </row>
    <row r="946"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4"/>
      <c r="AE946" s="94"/>
      <c r="AF946" s="94"/>
      <c r="AG946" s="94"/>
    </row>
    <row r="947"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4"/>
      <c r="AE947" s="94"/>
      <c r="AF947" s="94"/>
      <c r="AG947" s="94"/>
    </row>
    <row r="948"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4"/>
      <c r="AE948" s="94"/>
      <c r="AF948" s="94"/>
      <c r="AG948" s="94"/>
    </row>
    <row r="949"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4"/>
      <c r="AE949" s="94"/>
      <c r="AF949" s="94"/>
      <c r="AG949" s="94"/>
    </row>
    <row r="950"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4"/>
      <c r="AE950" s="94"/>
      <c r="AF950" s="94"/>
      <c r="AG950" s="94"/>
    </row>
    <row r="951"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4"/>
      <c r="AE951" s="94"/>
      <c r="AF951" s="94"/>
      <c r="AG951" s="94"/>
    </row>
    <row r="952"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4"/>
      <c r="AE952" s="94"/>
      <c r="AF952" s="94"/>
      <c r="AG952" s="94"/>
    </row>
    <row r="953"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4"/>
      <c r="AE953" s="94"/>
      <c r="AF953" s="94"/>
      <c r="AG953" s="94"/>
    </row>
    <row r="954"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4"/>
      <c r="AE954" s="94"/>
      <c r="AF954" s="94"/>
      <c r="AG954" s="94"/>
    </row>
    <row r="955"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4"/>
      <c r="AE955" s="94"/>
      <c r="AF955" s="94"/>
      <c r="AG955" s="94"/>
    </row>
    <row r="956"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4"/>
      <c r="AE956" s="94"/>
      <c r="AF956" s="94"/>
      <c r="AG956" s="94"/>
    </row>
    <row r="957"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4"/>
      <c r="AE957" s="94"/>
      <c r="AF957" s="94"/>
      <c r="AG957" s="94"/>
    </row>
    <row r="958"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4"/>
      <c r="AE958" s="94"/>
      <c r="AF958" s="94"/>
      <c r="AG958" s="94"/>
    </row>
    <row r="959"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4"/>
      <c r="AE959" s="94"/>
      <c r="AF959" s="94"/>
      <c r="AG959" s="94"/>
    </row>
    <row r="960"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4"/>
      <c r="AE960" s="94"/>
      <c r="AF960" s="94"/>
      <c r="AG960" s="94"/>
    </row>
    <row r="961"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4"/>
      <c r="AE961" s="94"/>
      <c r="AF961" s="94"/>
      <c r="AG961" s="94"/>
    </row>
    <row r="962"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4"/>
      <c r="AE962" s="94"/>
      <c r="AF962" s="94"/>
      <c r="AG962" s="94"/>
    </row>
    <row r="963"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4"/>
      <c r="AE963" s="94"/>
      <c r="AF963" s="94"/>
      <c r="AG963" s="94"/>
    </row>
    <row r="964"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4"/>
      <c r="AE964" s="94"/>
      <c r="AF964" s="94"/>
      <c r="AG964" s="94"/>
    </row>
    <row r="965"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4"/>
      <c r="AE965" s="94"/>
      <c r="AF965" s="94"/>
      <c r="AG965" s="94"/>
    </row>
    <row r="966"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4"/>
      <c r="AE966" s="94"/>
      <c r="AF966" s="94"/>
      <c r="AG966" s="94"/>
    </row>
    <row r="967"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4"/>
      <c r="AE967" s="94"/>
      <c r="AF967" s="94"/>
      <c r="AG967" s="94"/>
    </row>
    <row r="968"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4"/>
      <c r="AE968" s="94"/>
      <c r="AF968" s="94"/>
      <c r="AG968" s="94"/>
    </row>
    <row r="969"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4"/>
      <c r="AE969" s="94"/>
      <c r="AF969" s="94"/>
      <c r="AG969" s="94"/>
    </row>
    <row r="970"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4"/>
      <c r="AE970" s="94"/>
      <c r="AF970" s="94"/>
      <c r="AG970" s="94"/>
    </row>
    <row r="971"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4"/>
      <c r="AE971" s="94"/>
      <c r="AF971" s="94"/>
      <c r="AG971" s="94"/>
    </row>
    <row r="972"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4"/>
      <c r="AE972" s="94"/>
      <c r="AF972" s="94"/>
      <c r="AG972" s="94"/>
    </row>
    <row r="973"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4"/>
      <c r="AE973" s="94"/>
      <c r="AF973" s="94"/>
      <c r="AG973" s="94"/>
    </row>
    <row r="974"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4"/>
      <c r="AE974" s="94"/>
      <c r="AF974" s="94"/>
      <c r="AG974" s="94"/>
    </row>
    <row r="975"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4"/>
      <c r="AE975" s="94"/>
      <c r="AF975" s="94"/>
      <c r="AG975" s="94"/>
    </row>
    <row r="976"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4"/>
      <c r="AE976" s="94"/>
      <c r="AF976" s="94"/>
      <c r="AG976" s="94"/>
    </row>
    <row r="977"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4"/>
      <c r="AE977" s="94"/>
      <c r="AF977" s="94"/>
      <c r="AG977" s="94"/>
    </row>
    <row r="978"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4"/>
      <c r="AE978" s="94"/>
      <c r="AF978" s="94"/>
      <c r="AG978" s="94"/>
    </row>
    <row r="979"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4"/>
      <c r="AE979" s="94"/>
      <c r="AF979" s="94"/>
      <c r="AG979" s="94"/>
    </row>
    <row r="980"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4"/>
      <c r="AE980" s="94"/>
      <c r="AF980" s="94"/>
      <c r="AG980" s="94"/>
    </row>
    <row r="981"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4"/>
      <c r="AE981" s="94"/>
      <c r="AF981" s="94"/>
      <c r="AG981" s="94"/>
    </row>
    <row r="982"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4"/>
      <c r="AE982" s="94"/>
      <c r="AF982" s="94"/>
      <c r="AG982" s="94"/>
    </row>
    <row r="983"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4"/>
      <c r="AE983" s="94"/>
      <c r="AF983" s="94"/>
      <c r="AG983" s="94"/>
    </row>
    <row r="984"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4"/>
      <c r="AE984" s="94"/>
      <c r="AF984" s="94"/>
      <c r="AG984" s="94"/>
    </row>
    <row r="985"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4"/>
      <c r="AE985" s="94"/>
      <c r="AF985" s="94"/>
      <c r="AG985" s="94"/>
    </row>
    <row r="986"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4"/>
      <c r="AE986" s="94"/>
      <c r="AF986" s="94"/>
      <c r="AG986" s="94"/>
    </row>
    <row r="987"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4"/>
      <c r="AE987" s="94"/>
      <c r="AF987" s="94"/>
      <c r="AG987" s="94"/>
    </row>
    <row r="988"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4"/>
      <c r="AE988" s="94"/>
      <c r="AF988" s="94"/>
      <c r="AG988" s="94"/>
    </row>
    <row r="989"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4"/>
      <c r="AE989" s="94"/>
      <c r="AF989" s="94"/>
      <c r="AG989" s="94"/>
    </row>
    <row r="990"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4"/>
      <c r="AE990" s="94"/>
      <c r="AF990" s="94"/>
      <c r="AG990" s="94"/>
    </row>
    <row r="991"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4"/>
      <c r="AE991" s="94"/>
      <c r="AF991" s="94"/>
      <c r="AG991" s="94"/>
    </row>
    <row r="992"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4"/>
      <c r="AE992" s="94"/>
      <c r="AF992" s="94"/>
      <c r="AG992" s="94"/>
    </row>
    <row r="993"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4"/>
      <c r="AE993" s="94"/>
      <c r="AF993" s="94"/>
      <c r="AG993" s="94"/>
    </row>
    <row r="994"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4"/>
      <c r="AE994" s="94"/>
      <c r="AF994" s="94"/>
      <c r="AG994" s="94"/>
    </row>
    <row r="995"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4"/>
      <c r="AE995" s="94"/>
      <c r="AF995" s="94"/>
      <c r="AG995" s="94"/>
    </row>
    <row r="996"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4"/>
      <c r="AE996" s="94"/>
      <c r="AF996" s="94"/>
      <c r="AG996" s="94"/>
    </row>
    <row r="997"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4"/>
      <c r="AE997" s="94"/>
      <c r="AF997" s="94"/>
      <c r="AG997" s="94"/>
    </row>
    <row r="998"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4"/>
      <c r="AE998" s="94"/>
      <c r="AF998" s="94"/>
      <c r="AG998" s="94"/>
    </row>
    <row r="999"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4"/>
      <c r="AE999" s="94"/>
      <c r="AF999" s="94"/>
      <c r="AG999" s="94"/>
    </row>
    <row r="1000"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4"/>
      <c r="AE1000" s="94"/>
      <c r="AF1000" s="94"/>
      <c r="AG1000" s="94"/>
    </row>
    <row r="1001"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4"/>
      <c r="AE1001" s="94"/>
      <c r="AF1001" s="94"/>
      <c r="AG1001" s="94"/>
    </row>
    <row r="1002"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4"/>
      <c r="AE1002" s="94"/>
      <c r="AF1002" s="94"/>
      <c r="AG1002" s="94"/>
    </row>
    <row r="1003"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4"/>
      <c r="AE1003" s="94"/>
      <c r="AF1003" s="94"/>
      <c r="AG1003" s="94"/>
    </row>
    <row r="1004"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4"/>
      <c r="AE1004" s="94"/>
      <c r="AF1004" s="94"/>
      <c r="AG1004" s="94"/>
    </row>
    <row r="1005"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4"/>
      <c r="AE1005" s="94"/>
      <c r="AF1005" s="94"/>
      <c r="AG1005" s="94"/>
    </row>
    <row r="1006"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4"/>
      <c r="AE1006" s="94"/>
      <c r="AF1006" s="94"/>
      <c r="AG1006" s="94"/>
    </row>
    <row r="1007">
      <c r="P1007" s="93"/>
      <c r="Q1007" s="93"/>
      <c r="R1007" s="93"/>
      <c r="S1007" s="93"/>
      <c r="T1007" s="93"/>
      <c r="U1007" s="93"/>
      <c r="V1007" s="93"/>
      <c r="W1007" s="93"/>
      <c r="X1007" s="93"/>
      <c r="Y1007" s="93"/>
      <c r="Z1007" s="93"/>
      <c r="AA1007" s="93"/>
      <c r="AB1007" s="93"/>
      <c r="AC1007" s="93"/>
      <c r="AD1007" s="94"/>
      <c r="AE1007" s="94"/>
      <c r="AF1007" s="94"/>
      <c r="AG1007" s="94"/>
    </row>
    <row r="1008">
      <c r="P1008" s="93"/>
      <c r="Q1008" s="93"/>
      <c r="R1008" s="93"/>
      <c r="S1008" s="93"/>
      <c r="T1008" s="93"/>
      <c r="U1008" s="93"/>
      <c r="V1008" s="93"/>
      <c r="W1008" s="93"/>
      <c r="X1008" s="93"/>
      <c r="Y1008" s="93"/>
      <c r="Z1008" s="93"/>
      <c r="AA1008" s="93"/>
      <c r="AB1008" s="93"/>
      <c r="AC1008" s="93"/>
      <c r="AD1008" s="94"/>
      <c r="AE1008" s="94"/>
      <c r="AF1008" s="94"/>
      <c r="AG1008" s="94"/>
    </row>
    <row r="1009">
      <c r="P1009" s="93"/>
      <c r="Q1009" s="93"/>
      <c r="R1009" s="93"/>
      <c r="S1009" s="93"/>
      <c r="T1009" s="93"/>
      <c r="U1009" s="93"/>
      <c r="V1009" s="93"/>
      <c r="W1009" s="93"/>
      <c r="X1009" s="93"/>
      <c r="Y1009" s="93"/>
      <c r="Z1009" s="93"/>
      <c r="AA1009" s="93"/>
      <c r="AB1009" s="93"/>
      <c r="AC1009" s="93"/>
      <c r="AD1009" s="94"/>
      <c r="AE1009" s="94"/>
      <c r="AF1009" s="94"/>
      <c r="AG1009" s="94"/>
    </row>
    <row r="1010">
      <c r="P1010" s="93"/>
      <c r="Q1010" s="93"/>
      <c r="R1010" s="93"/>
      <c r="S1010" s="93"/>
      <c r="T1010" s="93"/>
      <c r="U1010" s="93"/>
      <c r="V1010" s="93"/>
      <c r="W1010" s="93"/>
      <c r="X1010" s="93"/>
      <c r="Y1010" s="93"/>
      <c r="Z1010" s="93"/>
      <c r="AA1010" s="93"/>
      <c r="AB1010" s="93"/>
      <c r="AC1010" s="93"/>
      <c r="AD1010" s="94"/>
      <c r="AE1010" s="94"/>
      <c r="AF1010" s="94"/>
      <c r="AG1010" s="94"/>
    </row>
    <row r="1011">
      <c r="P1011" s="93"/>
      <c r="Q1011" s="93"/>
      <c r="R1011" s="93"/>
      <c r="S1011" s="93"/>
      <c r="T1011" s="93"/>
      <c r="U1011" s="93"/>
      <c r="V1011" s="93"/>
      <c r="W1011" s="93"/>
      <c r="X1011" s="93"/>
      <c r="Y1011" s="93"/>
      <c r="Z1011" s="93"/>
      <c r="AA1011" s="93"/>
      <c r="AB1011" s="93"/>
      <c r="AC1011" s="93"/>
      <c r="AD1011" s="94"/>
      <c r="AE1011" s="94"/>
      <c r="AF1011" s="94"/>
      <c r="AG1011" s="94"/>
    </row>
    <row r="1012">
      <c r="P1012" s="93"/>
      <c r="Q1012" s="93"/>
      <c r="R1012" s="93"/>
      <c r="S1012" s="93"/>
      <c r="T1012" s="93"/>
      <c r="U1012" s="93"/>
      <c r="V1012" s="93"/>
      <c r="W1012" s="93"/>
      <c r="X1012" s="93"/>
      <c r="Y1012" s="93"/>
      <c r="Z1012" s="93"/>
      <c r="AA1012" s="93"/>
      <c r="AB1012" s="93"/>
      <c r="AC1012" s="93"/>
      <c r="AD1012" s="94"/>
      <c r="AE1012" s="94"/>
      <c r="AF1012" s="94"/>
      <c r="AG1012" s="94"/>
    </row>
    <row r="1013">
      <c r="P1013" s="93"/>
      <c r="Q1013" s="93"/>
      <c r="R1013" s="93"/>
      <c r="S1013" s="93"/>
      <c r="T1013" s="93"/>
      <c r="U1013" s="93"/>
      <c r="V1013" s="93"/>
      <c r="W1013" s="93"/>
      <c r="X1013" s="93"/>
      <c r="Y1013" s="93"/>
      <c r="Z1013" s="93"/>
      <c r="AA1013" s="93"/>
      <c r="AB1013" s="93"/>
      <c r="AC1013" s="93"/>
      <c r="AD1013" s="94"/>
      <c r="AE1013" s="94"/>
      <c r="AF1013" s="94"/>
      <c r="AG1013" s="94"/>
    </row>
    <row r="1014">
      <c r="P1014" s="93"/>
      <c r="Q1014" s="93"/>
      <c r="R1014" s="93"/>
      <c r="S1014" s="93"/>
      <c r="T1014" s="93"/>
      <c r="U1014" s="93"/>
      <c r="V1014" s="93"/>
      <c r="W1014" s="93"/>
      <c r="X1014" s="93"/>
      <c r="Y1014" s="93"/>
      <c r="Z1014" s="93"/>
      <c r="AA1014" s="93"/>
      <c r="AB1014" s="93"/>
      <c r="AC1014" s="93"/>
      <c r="AD1014" s="94"/>
      <c r="AE1014" s="94"/>
      <c r="AF1014" s="94"/>
      <c r="AG1014" s="94"/>
    </row>
    <row r="1015">
      <c r="P1015" s="93"/>
      <c r="Q1015" s="93"/>
      <c r="R1015" s="93"/>
      <c r="S1015" s="93"/>
      <c r="T1015" s="93"/>
      <c r="U1015" s="93"/>
      <c r="V1015" s="93"/>
      <c r="W1015" s="93"/>
      <c r="X1015" s="93"/>
      <c r="Y1015" s="93"/>
      <c r="Z1015" s="93"/>
      <c r="AA1015" s="93"/>
      <c r="AB1015" s="93"/>
      <c r="AC1015" s="93"/>
      <c r="AD1015" s="94"/>
      <c r="AE1015" s="94"/>
      <c r="AF1015" s="94"/>
      <c r="AG1015" s="94"/>
    </row>
    <row r="1016">
      <c r="P1016" s="93"/>
      <c r="Q1016" s="93"/>
      <c r="R1016" s="93"/>
      <c r="S1016" s="93"/>
      <c r="T1016" s="93"/>
      <c r="U1016" s="93"/>
      <c r="V1016" s="93"/>
      <c r="W1016" s="93"/>
      <c r="X1016" s="93"/>
      <c r="Y1016" s="93"/>
      <c r="Z1016" s="93"/>
      <c r="AA1016" s="93"/>
      <c r="AB1016" s="93"/>
      <c r="AC1016" s="93"/>
      <c r="AD1016" s="94"/>
      <c r="AE1016" s="94"/>
      <c r="AF1016" s="94"/>
      <c r="AG1016" s="94"/>
    </row>
    <row r="1017">
      <c r="P1017" s="93"/>
      <c r="Q1017" s="93"/>
      <c r="R1017" s="93"/>
      <c r="S1017" s="93"/>
      <c r="T1017" s="93"/>
      <c r="U1017" s="93"/>
      <c r="V1017" s="93"/>
      <c r="W1017" s="93"/>
      <c r="X1017" s="93"/>
      <c r="Y1017" s="93"/>
      <c r="Z1017" s="93"/>
      <c r="AA1017" s="93"/>
      <c r="AB1017" s="93"/>
      <c r="AC1017" s="93"/>
      <c r="AD1017" s="94"/>
      <c r="AE1017" s="94"/>
      <c r="AF1017" s="94"/>
      <c r="AG1017" s="94"/>
    </row>
    <row r="1018">
      <c r="P1018" s="93"/>
      <c r="Q1018" s="93"/>
      <c r="R1018" s="93"/>
      <c r="S1018" s="93"/>
      <c r="T1018" s="93"/>
      <c r="U1018" s="93"/>
      <c r="V1018" s="93"/>
      <c r="W1018" s="93"/>
      <c r="X1018" s="93"/>
      <c r="Y1018" s="93"/>
      <c r="Z1018" s="93"/>
      <c r="AA1018" s="93"/>
      <c r="AB1018" s="93"/>
      <c r="AC1018" s="93"/>
      <c r="AD1018" s="94"/>
      <c r="AE1018" s="94"/>
      <c r="AF1018" s="94"/>
      <c r="AG1018" s="94"/>
    </row>
    <row r="1019">
      <c r="P1019" s="93"/>
      <c r="Q1019" s="93"/>
      <c r="R1019" s="93"/>
      <c r="S1019" s="93"/>
      <c r="T1019" s="93"/>
      <c r="U1019" s="93"/>
      <c r="V1019" s="93"/>
      <c r="W1019" s="93"/>
      <c r="X1019" s="93"/>
      <c r="Y1019" s="93"/>
      <c r="Z1019" s="93"/>
      <c r="AA1019" s="93"/>
      <c r="AB1019" s="93"/>
      <c r="AC1019" s="93"/>
      <c r="AD1019" s="94"/>
      <c r="AE1019" s="94"/>
      <c r="AF1019" s="94"/>
      <c r="AG1019" s="94"/>
    </row>
    <row r="1020">
      <c r="P1020" s="93"/>
      <c r="Q1020" s="93"/>
      <c r="R1020" s="93"/>
      <c r="S1020" s="93"/>
      <c r="T1020" s="93"/>
      <c r="U1020" s="93"/>
      <c r="V1020" s="93"/>
      <c r="W1020" s="93"/>
      <c r="X1020" s="93"/>
      <c r="Y1020" s="93"/>
      <c r="Z1020" s="93"/>
      <c r="AA1020" s="93"/>
      <c r="AB1020" s="93"/>
      <c r="AC1020" s="93"/>
      <c r="AD1020" s="94"/>
      <c r="AE1020" s="94"/>
      <c r="AF1020" s="94"/>
      <c r="AG1020" s="94"/>
    </row>
    <row r="1021">
      <c r="P1021" s="93"/>
      <c r="Q1021" s="93"/>
      <c r="R1021" s="93"/>
      <c r="S1021" s="93"/>
      <c r="T1021" s="93"/>
      <c r="U1021" s="93"/>
      <c r="V1021" s="93"/>
      <c r="W1021" s="93"/>
      <c r="X1021" s="93"/>
      <c r="Y1021" s="93"/>
      <c r="Z1021" s="93"/>
      <c r="AA1021" s="93"/>
      <c r="AB1021" s="93"/>
      <c r="AC1021" s="93"/>
      <c r="AD1021" s="94"/>
      <c r="AE1021" s="94"/>
      <c r="AF1021" s="94"/>
      <c r="AG1021" s="94"/>
    </row>
    <row r="1022">
      <c r="P1022" s="93"/>
      <c r="Q1022" s="93"/>
      <c r="R1022" s="93"/>
      <c r="S1022" s="93"/>
      <c r="T1022" s="93"/>
      <c r="U1022" s="93"/>
      <c r="V1022" s="93"/>
      <c r="W1022" s="93"/>
      <c r="X1022" s="93"/>
      <c r="Y1022" s="93"/>
      <c r="Z1022" s="93"/>
      <c r="AA1022" s="93"/>
      <c r="AB1022" s="93"/>
      <c r="AC1022" s="93"/>
      <c r="AD1022" s="94"/>
      <c r="AE1022" s="94"/>
      <c r="AF1022" s="94"/>
      <c r="AG1022" s="94"/>
    </row>
    <row r="1023">
      <c r="P1023" s="93"/>
      <c r="Q1023" s="93"/>
      <c r="R1023" s="93"/>
      <c r="S1023" s="93"/>
      <c r="T1023" s="93"/>
      <c r="U1023" s="93"/>
      <c r="V1023" s="93"/>
      <c r="W1023" s="93"/>
      <c r="X1023" s="93"/>
      <c r="Y1023" s="93"/>
      <c r="Z1023" s="93"/>
      <c r="AA1023" s="93"/>
      <c r="AB1023" s="93"/>
      <c r="AC1023" s="93"/>
      <c r="AD1023" s="94"/>
      <c r="AE1023" s="94"/>
      <c r="AF1023" s="94"/>
      <c r="AG1023" s="94"/>
    </row>
    <row r="1024">
      <c r="P1024" s="93"/>
      <c r="Q1024" s="93"/>
      <c r="R1024" s="93"/>
      <c r="S1024" s="93"/>
      <c r="T1024" s="93"/>
      <c r="U1024" s="93"/>
      <c r="V1024" s="93"/>
      <c r="W1024" s="93"/>
      <c r="X1024" s="93"/>
      <c r="Y1024" s="93"/>
      <c r="Z1024" s="93"/>
      <c r="AA1024" s="93"/>
      <c r="AB1024" s="93"/>
      <c r="AC1024" s="93"/>
      <c r="AD1024" s="94"/>
      <c r="AE1024" s="94"/>
      <c r="AF1024" s="94"/>
      <c r="AG1024" s="94"/>
    </row>
    <row r="1025">
      <c r="P1025" s="93"/>
      <c r="Q1025" s="93"/>
      <c r="R1025" s="93"/>
      <c r="S1025" s="93"/>
      <c r="T1025" s="93"/>
      <c r="U1025" s="93"/>
      <c r="V1025" s="93"/>
      <c r="W1025" s="93"/>
      <c r="X1025" s="93"/>
      <c r="Y1025" s="93"/>
      <c r="Z1025" s="93"/>
      <c r="AA1025" s="93"/>
      <c r="AB1025" s="93"/>
      <c r="AC1025" s="93"/>
      <c r="AD1025" s="94"/>
      <c r="AE1025" s="94"/>
      <c r="AF1025" s="94"/>
      <c r="AG1025" s="94"/>
    </row>
    <row r="1026">
      <c r="P1026" s="93"/>
      <c r="Q1026" s="93"/>
      <c r="R1026" s="93"/>
      <c r="S1026" s="93"/>
      <c r="T1026" s="93"/>
      <c r="U1026" s="93"/>
      <c r="V1026" s="93"/>
      <c r="W1026" s="93"/>
      <c r="X1026" s="93"/>
      <c r="Y1026" s="93"/>
      <c r="Z1026" s="93"/>
      <c r="AA1026" s="93"/>
      <c r="AB1026" s="93"/>
      <c r="AC1026" s="93"/>
      <c r="AD1026" s="94"/>
      <c r="AE1026" s="94"/>
      <c r="AF1026" s="94"/>
      <c r="AG1026" s="94"/>
    </row>
    <row r="1027">
      <c r="P1027" s="93"/>
      <c r="Q1027" s="93"/>
      <c r="R1027" s="93"/>
      <c r="S1027" s="93"/>
      <c r="T1027" s="93"/>
      <c r="U1027" s="93"/>
      <c r="V1027" s="93"/>
      <c r="W1027" s="93"/>
      <c r="X1027" s="93"/>
      <c r="Y1027" s="93"/>
      <c r="Z1027" s="93"/>
      <c r="AA1027" s="93"/>
      <c r="AB1027" s="93"/>
      <c r="AC1027" s="93"/>
      <c r="AD1027" s="94"/>
      <c r="AE1027" s="94"/>
      <c r="AF1027" s="94"/>
      <c r="AG1027" s="94"/>
    </row>
    <row r="1028">
      <c r="P1028" s="93"/>
      <c r="Q1028" s="93"/>
      <c r="R1028" s="93"/>
      <c r="S1028" s="93"/>
      <c r="T1028" s="93"/>
      <c r="U1028" s="93"/>
      <c r="V1028" s="93"/>
      <c r="W1028" s="93"/>
      <c r="X1028" s="93"/>
      <c r="Y1028" s="93"/>
      <c r="Z1028" s="93"/>
      <c r="AA1028" s="93"/>
      <c r="AB1028" s="93"/>
      <c r="AC1028" s="93"/>
      <c r="AD1028" s="94"/>
      <c r="AE1028" s="94"/>
      <c r="AF1028" s="94"/>
      <c r="AG1028" s="94"/>
    </row>
    <row r="1029">
      <c r="P1029" s="93"/>
      <c r="Q1029" s="93"/>
      <c r="R1029" s="93"/>
      <c r="S1029" s="93"/>
      <c r="T1029" s="93"/>
      <c r="U1029" s="93"/>
      <c r="V1029" s="93"/>
      <c r="W1029" s="93"/>
      <c r="X1029" s="93"/>
      <c r="Y1029" s="93"/>
      <c r="Z1029" s="93"/>
      <c r="AA1029" s="93"/>
      <c r="AB1029" s="93"/>
      <c r="AC1029" s="93"/>
      <c r="AD1029" s="94"/>
      <c r="AE1029" s="94"/>
      <c r="AF1029" s="94"/>
      <c r="AG1029" s="94"/>
    </row>
    <row r="1030">
      <c r="P1030" s="93"/>
      <c r="Q1030" s="93"/>
      <c r="R1030" s="93"/>
      <c r="S1030" s="93"/>
      <c r="T1030" s="93"/>
      <c r="U1030" s="93"/>
      <c r="V1030" s="93"/>
      <c r="W1030" s="93"/>
      <c r="X1030" s="93"/>
      <c r="Y1030" s="93"/>
      <c r="Z1030" s="93"/>
      <c r="AA1030" s="93"/>
      <c r="AB1030" s="93"/>
      <c r="AC1030" s="93"/>
      <c r="AD1030" s="94"/>
      <c r="AE1030" s="94"/>
      <c r="AF1030" s="94"/>
      <c r="AG1030" s="94"/>
    </row>
    <row r="1031">
      <c r="P1031" s="93"/>
      <c r="Q1031" s="93"/>
      <c r="R1031" s="93"/>
      <c r="S1031" s="93"/>
      <c r="T1031" s="93"/>
      <c r="U1031" s="93"/>
      <c r="V1031" s="93"/>
      <c r="W1031" s="93"/>
      <c r="X1031" s="93"/>
      <c r="Y1031" s="93"/>
      <c r="Z1031" s="93"/>
      <c r="AA1031" s="93"/>
      <c r="AB1031" s="93"/>
      <c r="AC1031" s="93"/>
      <c r="AD1031" s="94"/>
      <c r="AE1031" s="94"/>
      <c r="AF1031" s="94"/>
      <c r="AG1031" s="94"/>
    </row>
    <row r="1032">
      <c r="P1032" s="93"/>
      <c r="Q1032" s="93"/>
      <c r="R1032" s="93"/>
      <c r="S1032" s="93"/>
      <c r="T1032" s="93"/>
      <c r="U1032" s="93"/>
      <c r="V1032" s="93"/>
      <c r="W1032" s="93"/>
      <c r="X1032" s="93"/>
      <c r="Y1032" s="93"/>
      <c r="Z1032" s="93"/>
      <c r="AA1032" s="93"/>
      <c r="AB1032" s="93"/>
      <c r="AC1032" s="93"/>
      <c r="AD1032" s="94"/>
      <c r="AE1032" s="94"/>
      <c r="AF1032" s="94"/>
      <c r="AG1032" s="94"/>
    </row>
    <row r="1033">
      <c r="P1033" s="93"/>
      <c r="Q1033" s="93"/>
      <c r="R1033" s="93"/>
      <c r="S1033" s="93"/>
      <c r="T1033" s="93"/>
      <c r="U1033" s="93"/>
      <c r="V1033" s="93"/>
      <c r="W1033" s="93"/>
      <c r="X1033" s="93"/>
      <c r="Y1033" s="93"/>
      <c r="Z1033" s="93"/>
      <c r="AA1033" s="93"/>
      <c r="AB1033" s="93"/>
      <c r="AC1033" s="93"/>
      <c r="AD1033" s="94"/>
      <c r="AE1033" s="94"/>
      <c r="AF1033" s="94"/>
      <c r="AG1033" s="94"/>
    </row>
    <row r="1034">
      <c r="P1034" s="93"/>
      <c r="Q1034" s="93"/>
      <c r="R1034" s="93"/>
      <c r="S1034" s="93"/>
      <c r="T1034" s="93"/>
      <c r="U1034" s="93"/>
      <c r="V1034" s="93"/>
      <c r="W1034" s="93"/>
      <c r="X1034" s="93"/>
      <c r="Y1034" s="93"/>
      <c r="Z1034" s="93"/>
      <c r="AA1034" s="93"/>
      <c r="AB1034" s="93"/>
      <c r="AC1034" s="93"/>
      <c r="AD1034" s="94"/>
      <c r="AE1034" s="94"/>
      <c r="AF1034" s="94"/>
      <c r="AG1034" s="94"/>
    </row>
    <row r="1035">
      <c r="P1035" s="93"/>
      <c r="Q1035" s="93"/>
      <c r="R1035" s="93"/>
      <c r="S1035" s="93"/>
      <c r="T1035" s="93"/>
      <c r="U1035" s="93"/>
      <c r="V1035" s="93"/>
      <c r="W1035" s="93"/>
      <c r="X1035" s="93"/>
      <c r="Y1035" s="93"/>
      <c r="Z1035" s="93"/>
      <c r="AA1035" s="93"/>
      <c r="AB1035" s="93"/>
      <c r="AC1035" s="93"/>
      <c r="AD1035" s="94"/>
      <c r="AE1035" s="94"/>
      <c r="AF1035" s="94"/>
      <c r="AG1035" s="94"/>
    </row>
    <row r="1036">
      <c r="P1036" s="93"/>
      <c r="Q1036" s="93"/>
      <c r="R1036" s="93"/>
      <c r="S1036" s="93"/>
      <c r="T1036" s="93"/>
      <c r="U1036" s="93"/>
      <c r="V1036" s="93"/>
      <c r="W1036" s="93"/>
      <c r="X1036" s="93"/>
      <c r="Y1036" s="93"/>
      <c r="Z1036" s="93"/>
      <c r="AA1036" s="93"/>
      <c r="AB1036" s="93"/>
      <c r="AC1036" s="93"/>
      <c r="AD1036" s="94"/>
      <c r="AE1036" s="94"/>
      <c r="AF1036" s="94"/>
      <c r="AG1036" s="94"/>
    </row>
    <row r="1037">
      <c r="P1037" s="93"/>
      <c r="Q1037" s="93"/>
      <c r="R1037" s="93"/>
      <c r="S1037" s="93"/>
      <c r="T1037" s="93"/>
      <c r="U1037" s="93"/>
      <c r="V1037" s="93"/>
      <c r="W1037" s="93"/>
      <c r="X1037" s="93"/>
      <c r="Y1037" s="93"/>
      <c r="Z1037" s="93"/>
      <c r="AA1037" s="93"/>
      <c r="AB1037" s="93"/>
      <c r="AC1037" s="93"/>
      <c r="AD1037" s="94"/>
      <c r="AE1037" s="94"/>
      <c r="AF1037" s="94"/>
      <c r="AG1037" s="94"/>
    </row>
    <row r="1038">
      <c r="P1038" s="93"/>
      <c r="Q1038" s="93"/>
      <c r="R1038" s="93"/>
      <c r="S1038" s="93"/>
      <c r="T1038" s="93"/>
      <c r="U1038" s="93"/>
      <c r="V1038" s="93"/>
      <c r="W1038" s="93"/>
      <c r="X1038" s="93"/>
      <c r="Y1038" s="93"/>
      <c r="Z1038" s="93"/>
      <c r="AA1038" s="93"/>
      <c r="AB1038" s="93"/>
      <c r="AC1038" s="93"/>
      <c r="AD1038" s="94"/>
      <c r="AE1038" s="94"/>
      <c r="AF1038" s="94"/>
      <c r="AG1038" s="94"/>
    </row>
    <row r="1039">
      <c r="P1039" s="93"/>
      <c r="Q1039" s="93"/>
      <c r="R1039" s="93"/>
      <c r="S1039" s="93"/>
      <c r="T1039" s="93"/>
      <c r="U1039" s="93"/>
      <c r="V1039" s="93"/>
      <c r="W1039" s="93"/>
      <c r="X1039" s="93"/>
      <c r="Y1039" s="93"/>
      <c r="Z1039" s="93"/>
      <c r="AA1039" s="93"/>
      <c r="AB1039" s="93"/>
      <c r="AC1039" s="93"/>
      <c r="AD1039" s="94"/>
      <c r="AE1039" s="94"/>
      <c r="AF1039" s="94"/>
      <c r="AG1039" s="94"/>
    </row>
    <row r="1040">
      <c r="P1040" s="93"/>
      <c r="Q1040" s="93"/>
      <c r="R1040" s="93"/>
      <c r="S1040" s="93"/>
      <c r="T1040" s="93"/>
      <c r="U1040" s="93"/>
      <c r="V1040" s="93"/>
      <c r="W1040" s="93"/>
      <c r="X1040" s="93"/>
      <c r="Y1040" s="93"/>
      <c r="Z1040" s="93"/>
      <c r="AA1040" s="93"/>
      <c r="AB1040" s="93"/>
      <c r="AC1040" s="93"/>
      <c r="AD1040" s="94"/>
      <c r="AE1040" s="94"/>
      <c r="AF1040" s="94"/>
      <c r="AG1040" s="94"/>
    </row>
    <row r="1041">
      <c r="P1041" s="93"/>
      <c r="Q1041" s="93"/>
      <c r="R1041" s="93"/>
      <c r="S1041" s="93"/>
      <c r="T1041" s="93"/>
      <c r="U1041" s="93"/>
      <c r="V1041" s="93"/>
      <c r="W1041" s="93"/>
      <c r="X1041" s="93"/>
      <c r="Y1041" s="93"/>
      <c r="Z1041" s="93"/>
      <c r="AA1041" s="93"/>
      <c r="AB1041" s="93"/>
      <c r="AC1041" s="93"/>
      <c r="AD1041" s="94"/>
      <c r="AE1041" s="94"/>
      <c r="AF1041" s="94"/>
      <c r="AG1041" s="94"/>
    </row>
    <row r="1042">
      <c r="P1042" s="93"/>
      <c r="Q1042" s="93"/>
      <c r="R1042" s="93"/>
      <c r="S1042" s="93"/>
      <c r="T1042" s="93"/>
      <c r="U1042" s="93"/>
      <c r="V1042" s="93"/>
      <c r="W1042" s="93"/>
      <c r="X1042" s="93"/>
      <c r="Y1042" s="93"/>
      <c r="Z1042" s="93"/>
      <c r="AA1042" s="93"/>
      <c r="AB1042" s="93"/>
      <c r="AC1042" s="93"/>
      <c r="AD1042" s="94"/>
      <c r="AE1042" s="94"/>
      <c r="AF1042" s="94"/>
      <c r="AG1042" s="94"/>
    </row>
    <row r="1043">
      <c r="P1043" s="93"/>
      <c r="Q1043" s="93"/>
      <c r="R1043" s="93"/>
      <c r="S1043" s="93"/>
      <c r="T1043" s="93"/>
      <c r="U1043" s="93"/>
      <c r="V1043" s="93"/>
      <c r="W1043" s="93"/>
      <c r="X1043" s="93"/>
      <c r="Y1043" s="93"/>
      <c r="Z1043" s="93"/>
      <c r="AA1043" s="93"/>
      <c r="AB1043" s="93"/>
      <c r="AC1043" s="93"/>
      <c r="AD1043" s="94"/>
      <c r="AE1043" s="94"/>
      <c r="AF1043" s="94"/>
      <c r="AG1043" s="94"/>
    </row>
    <row r="1044">
      <c r="P1044" s="93"/>
      <c r="Q1044" s="93"/>
      <c r="R1044" s="93"/>
      <c r="S1044" s="93"/>
      <c r="T1044" s="93"/>
      <c r="U1044" s="93"/>
      <c r="V1044" s="93"/>
      <c r="W1044" s="93"/>
      <c r="X1044" s="93"/>
      <c r="Y1044" s="93"/>
      <c r="Z1044" s="93"/>
      <c r="AA1044" s="93"/>
      <c r="AB1044" s="93"/>
      <c r="AC1044" s="93"/>
      <c r="AD1044" s="94"/>
      <c r="AE1044" s="94"/>
      <c r="AF1044" s="94"/>
      <c r="AG1044" s="94"/>
    </row>
    <row r="1045">
      <c r="P1045" s="93"/>
      <c r="Q1045" s="93"/>
      <c r="R1045" s="93"/>
      <c r="S1045" s="93"/>
      <c r="T1045" s="93"/>
      <c r="U1045" s="93"/>
      <c r="V1045" s="93"/>
      <c r="W1045" s="93"/>
      <c r="X1045" s="93"/>
      <c r="Y1045" s="93"/>
      <c r="Z1045" s="93"/>
      <c r="AA1045" s="93"/>
      <c r="AB1045" s="93"/>
      <c r="AC1045" s="93"/>
      <c r="AD1045" s="94"/>
      <c r="AE1045" s="94"/>
      <c r="AF1045" s="94"/>
      <c r="AG1045" s="94"/>
    </row>
    <row r="1046">
      <c r="P1046" s="93"/>
      <c r="Q1046" s="93"/>
      <c r="R1046" s="93"/>
      <c r="S1046" s="93"/>
      <c r="T1046" s="93"/>
      <c r="U1046" s="93"/>
      <c r="V1046" s="93"/>
      <c r="W1046" s="93"/>
      <c r="X1046" s="93"/>
      <c r="Y1046" s="93"/>
      <c r="Z1046" s="93"/>
      <c r="AA1046" s="93"/>
      <c r="AB1046" s="93"/>
      <c r="AC1046" s="93"/>
      <c r="AD1046" s="94"/>
      <c r="AE1046" s="94"/>
      <c r="AF1046" s="94"/>
      <c r="AG1046" s="94"/>
    </row>
    <row r="1047">
      <c r="P1047" s="93"/>
      <c r="Q1047" s="93"/>
      <c r="R1047" s="93"/>
      <c r="S1047" s="93"/>
      <c r="T1047" s="93"/>
      <c r="U1047" s="93"/>
      <c r="V1047" s="93"/>
      <c r="W1047" s="93"/>
      <c r="X1047" s="93"/>
      <c r="Y1047" s="93"/>
      <c r="Z1047" s="93"/>
      <c r="AA1047" s="93"/>
      <c r="AB1047" s="93"/>
      <c r="AC1047" s="93"/>
      <c r="AD1047" s="94"/>
      <c r="AE1047" s="94"/>
      <c r="AF1047" s="94"/>
      <c r="AG1047" s="94"/>
    </row>
    <row r="1048">
      <c r="P1048" s="93"/>
      <c r="Q1048" s="93"/>
      <c r="R1048" s="93"/>
      <c r="S1048" s="93"/>
      <c r="T1048" s="93"/>
      <c r="U1048" s="93"/>
      <c r="V1048" s="93"/>
      <c r="W1048" s="93"/>
      <c r="X1048" s="93"/>
      <c r="Y1048" s="93"/>
      <c r="Z1048" s="93"/>
      <c r="AA1048" s="93"/>
      <c r="AB1048" s="93"/>
      <c r="AC1048" s="93"/>
      <c r="AD1048" s="94"/>
      <c r="AE1048" s="94"/>
      <c r="AF1048" s="94"/>
      <c r="AG1048" s="94"/>
    </row>
    <row r="1049">
      <c r="P1049" s="93"/>
      <c r="Q1049" s="93"/>
      <c r="R1049" s="93"/>
      <c r="S1049" s="93"/>
      <c r="T1049" s="93"/>
      <c r="U1049" s="93"/>
      <c r="V1049" s="93"/>
      <c r="W1049" s="93"/>
      <c r="X1049" s="93"/>
      <c r="Y1049" s="93"/>
      <c r="Z1049" s="93"/>
      <c r="AA1049" s="93"/>
      <c r="AB1049" s="93"/>
      <c r="AC1049" s="93"/>
      <c r="AD1049" s="94"/>
      <c r="AE1049" s="94"/>
      <c r="AF1049" s="94"/>
      <c r="AG1049" s="94"/>
    </row>
    <row r="1050">
      <c r="P1050" s="93"/>
      <c r="Q1050" s="93"/>
      <c r="R1050" s="93"/>
      <c r="S1050" s="93"/>
      <c r="T1050" s="93"/>
      <c r="U1050" s="93"/>
      <c r="V1050" s="93"/>
      <c r="W1050" s="93"/>
      <c r="X1050" s="93"/>
      <c r="Y1050" s="93"/>
      <c r="Z1050" s="93"/>
      <c r="AA1050" s="93"/>
      <c r="AB1050" s="93"/>
      <c r="AC1050" s="93"/>
      <c r="AD1050" s="94"/>
      <c r="AE1050" s="94"/>
      <c r="AF1050" s="94"/>
      <c r="AG1050" s="94"/>
    </row>
    <row r="1051">
      <c r="P1051" s="93"/>
      <c r="Q1051" s="93"/>
      <c r="R1051" s="93"/>
      <c r="S1051" s="93"/>
      <c r="T1051" s="93"/>
      <c r="U1051" s="93"/>
      <c r="V1051" s="93"/>
      <c r="W1051" s="93"/>
      <c r="X1051" s="93"/>
      <c r="Y1051" s="93"/>
      <c r="Z1051" s="93"/>
      <c r="AA1051" s="93"/>
      <c r="AB1051" s="93"/>
      <c r="AC1051" s="93"/>
      <c r="AD1051" s="94"/>
      <c r="AE1051" s="94"/>
      <c r="AF1051" s="94"/>
      <c r="AG1051" s="94"/>
    </row>
    <row r="1052">
      <c r="P1052" s="93"/>
      <c r="Q1052" s="93"/>
      <c r="R1052" s="93"/>
      <c r="S1052" s="93"/>
      <c r="T1052" s="93"/>
      <c r="U1052" s="93"/>
      <c r="V1052" s="93"/>
      <c r="W1052" s="93"/>
      <c r="X1052" s="93"/>
      <c r="Y1052" s="93"/>
      <c r="Z1052" s="93"/>
      <c r="AA1052" s="93"/>
      <c r="AB1052" s="93"/>
      <c r="AC1052" s="93"/>
      <c r="AD1052" s="94"/>
      <c r="AE1052" s="94"/>
      <c r="AF1052" s="94"/>
      <c r="AG1052" s="94"/>
    </row>
    <row r="1053">
      <c r="P1053" s="93"/>
      <c r="Q1053" s="93"/>
      <c r="R1053" s="93"/>
      <c r="S1053" s="93"/>
      <c r="T1053" s="93"/>
      <c r="U1053" s="93"/>
      <c r="V1053" s="93"/>
      <c r="W1053" s="93"/>
      <c r="X1053" s="93"/>
      <c r="Y1053" s="93"/>
      <c r="Z1053" s="93"/>
      <c r="AA1053" s="93"/>
      <c r="AB1053" s="93"/>
      <c r="AC1053" s="93"/>
      <c r="AD1053" s="94"/>
      <c r="AE1053" s="94"/>
      <c r="AF1053" s="94"/>
      <c r="AG1053" s="94"/>
    </row>
    <row r="1054">
      <c r="P1054" s="93"/>
      <c r="Q1054" s="93"/>
      <c r="R1054" s="93"/>
      <c r="S1054" s="93"/>
      <c r="T1054" s="93"/>
      <c r="U1054" s="93"/>
      <c r="V1054" s="93"/>
      <c r="W1054" s="93"/>
      <c r="X1054" s="93"/>
      <c r="Y1054" s="93"/>
      <c r="Z1054" s="93"/>
      <c r="AA1054" s="93"/>
      <c r="AB1054" s="93"/>
      <c r="AC1054" s="93"/>
      <c r="AD1054" s="94"/>
      <c r="AE1054" s="94"/>
      <c r="AF1054" s="94"/>
      <c r="AG1054" s="94"/>
    </row>
    <row r="1055">
      <c r="P1055" s="93"/>
      <c r="Q1055" s="93"/>
      <c r="R1055" s="93"/>
      <c r="S1055" s="93"/>
      <c r="T1055" s="93"/>
      <c r="U1055" s="93"/>
      <c r="V1055" s="93"/>
      <c r="W1055" s="93"/>
      <c r="X1055" s="93"/>
      <c r="Y1055" s="93"/>
      <c r="Z1055" s="93"/>
      <c r="AA1055" s="93"/>
      <c r="AB1055" s="93"/>
      <c r="AC1055" s="93"/>
      <c r="AD1055" s="94"/>
      <c r="AE1055" s="94"/>
      <c r="AF1055" s="94"/>
      <c r="AG1055" s="94"/>
    </row>
    <row r="1056">
      <c r="P1056" s="93"/>
      <c r="Q1056" s="93"/>
      <c r="R1056" s="93"/>
      <c r="S1056" s="93"/>
      <c r="T1056" s="93"/>
      <c r="U1056" s="93"/>
      <c r="V1056" s="93"/>
      <c r="W1056" s="93"/>
      <c r="X1056" s="93"/>
      <c r="Y1056" s="93"/>
      <c r="Z1056" s="93"/>
      <c r="AA1056" s="93"/>
      <c r="AB1056" s="93"/>
      <c r="AC1056" s="93"/>
      <c r="AD1056" s="94"/>
      <c r="AE1056" s="94"/>
      <c r="AF1056" s="94"/>
      <c r="AG1056" s="94"/>
    </row>
    <row r="1057">
      <c r="P1057" s="93"/>
      <c r="Q1057" s="93"/>
      <c r="R1057" s="93"/>
      <c r="S1057" s="93"/>
      <c r="T1057" s="93"/>
      <c r="U1057" s="93"/>
      <c r="V1057" s="93"/>
      <c r="W1057" s="93"/>
      <c r="X1057" s="93"/>
      <c r="Y1057" s="93"/>
      <c r="Z1057" s="93"/>
      <c r="AA1057" s="93"/>
      <c r="AB1057" s="93"/>
      <c r="AC1057" s="93"/>
      <c r="AD1057" s="94"/>
      <c r="AE1057" s="94"/>
      <c r="AF1057" s="94"/>
      <c r="AG1057" s="94"/>
    </row>
    <row r="1058">
      <c r="P1058" s="93"/>
      <c r="Q1058" s="93"/>
      <c r="R1058" s="93"/>
      <c r="S1058" s="93"/>
      <c r="T1058" s="93"/>
      <c r="U1058" s="93"/>
      <c r="V1058" s="93"/>
      <c r="W1058" s="93"/>
      <c r="X1058" s="93"/>
      <c r="Y1058" s="93"/>
      <c r="Z1058" s="93"/>
      <c r="AA1058" s="93"/>
      <c r="AB1058" s="93"/>
      <c r="AC1058" s="93"/>
      <c r="AD1058" s="94"/>
      <c r="AE1058" s="94"/>
      <c r="AF1058" s="94"/>
      <c r="AG1058" s="94"/>
    </row>
    <row r="1059">
      <c r="P1059" s="93"/>
      <c r="Q1059" s="93"/>
      <c r="R1059" s="93"/>
      <c r="S1059" s="93"/>
      <c r="T1059" s="93"/>
      <c r="U1059" s="93"/>
      <c r="V1059" s="93"/>
      <c r="W1059" s="93"/>
      <c r="X1059" s="93"/>
      <c r="Y1059" s="93"/>
      <c r="Z1059" s="93"/>
      <c r="AA1059" s="93"/>
      <c r="AB1059" s="93"/>
      <c r="AC1059" s="93"/>
      <c r="AD1059" s="94"/>
      <c r="AE1059" s="94"/>
      <c r="AF1059" s="94"/>
      <c r="AG1059" s="94"/>
    </row>
    <row r="1060">
      <c r="P1060" s="93"/>
      <c r="Q1060" s="93"/>
      <c r="R1060" s="93"/>
      <c r="S1060" s="93"/>
      <c r="T1060" s="93"/>
      <c r="U1060" s="93"/>
      <c r="V1060" s="93"/>
      <c r="W1060" s="93"/>
      <c r="X1060" s="93"/>
      <c r="Y1060" s="93"/>
      <c r="Z1060" s="93"/>
      <c r="AA1060" s="93"/>
      <c r="AB1060" s="93"/>
      <c r="AC1060" s="93"/>
      <c r="AD1060" s="94"/>
      <c r="AE1060" s="94"/>
      <c r="AF1060" s="94"/>
      <c r="AG1060" s="94"/>
    </row>
    <row r="1061">
      <c r="P1061" s="93"/>
      <c r="Q1061" s="93"/>
      <c r="R1061" s="93"/>
      <c r="S1061" s="93"/>
      <c r="T1061" s="93"/>
      <c r="U1061" s="93"/>
      <c r="V1061" s="93"/>
      <c r="W1061" s="93"/>
      <c r="X1061" s="93"/>
      <c r="Y1061" s="93"/>
      <c r="Z1061" s="93"/>
      <c r="AA1061" s="93"/>
      <c r="AB1061" s="93"/>
      <c r="AC1061" s="93"/>
      <c r="AD1061" s="94"/>
      <c r="AE1061" s="94"/>
      <c r="AF1061" s="94"/>
      <c r="AG1061" s="94"/>
    </row>
    <row r="1062">
      <c r="P1062" s="93"/>
      <c r="Q1062" s="93"/>
      <c r="R1062" s="93"/>
      <c r="S1062" s="93"/>
      <c r="T1062" s="93"/>
      <c r="U1062" s="93"/>
      <c r="V1062" s="93"/>
      <c r="W1062" s="93"/>
      <c r="X1062" s="93"/>
      <c r="Y1062" s="93"/>
      <c r="Z1062" s="93"/>
      <c r="AA1062" s="93"/>
      <c r="AB1062" s="93"/>
      <c r="AC1062" s="93"/>
      <c r="AD1062" s="94"/>
      <c r="AE1062" s="94"/>
      <c r="AF1062" s="94"/>
      <c r="AG1062" s="94"/>
    </row>
    <row r="1063">
      <c r="P1063" s="93"/>
      <c r="Q1063" s="93"/>
      <c r="R1063" s="93"/>
      <c r="S1063" s="93"/>
      <c r="T1063" s="93"/>
      <c r="U1063" s="93"/>
      <c r="V1063" s="93"/>
      <c r="W1063" s="93"/>
      <c r="X1063" s="93"/>
      <c r="Y1063" s="93"/>
      <c r="Z1063" s="93"/>
      <c r="AA1063" s="93"/>
      <c r="AB1063" s="93"/>
      <c r="AC1063" s="93"/>
      <c r="AD1063" s="94"/>
      <c r="AE1063" s="94"/>
      <c r="AF1063" s="94"/>
      <c r="AG1063" s="94"/>
    </row>
    <row r="1064">
      <c r="P1064" s="93"/>
      <c r="Q1064" s="93"/>
      <c r="R1064" s="93"/>
      <c r="S1064" s="93"/>
      <c r="T1064" s="93"/>
      <c r="U1064" s="93"/>
      <c r="V1064" s="93"/>
      <c r="W1064" s="93"/>
      <c r="X1064" s="93"/>
      <c r="Y1064" s="93"/>
      <c r="Z1064" s="93"/>
      <c r="AA1064" s="93"/>
      <c r="AB1064" s="93"/>
      <c r="AC1064" s="93"/>
      <c r="AD1064" s="94"/>
      <c r="AE1064" s="94"/>
      <c r="AF1064" s="94"/>
      <c r="AG1064" s="94"/>
    </row>
    <row r="1065">
      <c r="P1065" s="93"/>
      <c r="Q1065" s="93"/>
      <c r="R1065" s="93"/>
      <c r="S1065" s="93"/>
      <c r="T1065" s="93"/>
      <c r="U1065" s="93"/>
      <c r="V1065" s="93"/>
      <c r="W1065" s="93"/>
      <c r="X1065" s="93"/>
      <c r="Y1065" s="93"/>
      <c r="Z1065" s="93"/>
      <c r="AA1065" s="93"/>
      <c r="AB1065" s="93"/>
      <c r="AC1065" s="93"/>
      <c r="AD1065" s="94"/>
      <c r="AE1065" s="94"/>
      <c r="AF1065" s="94"/>
      <c r="AG1065" s="94"/>
    </row>
    <row r="1066">
      <c r="P1066" s="93"/>
      <c r="Q1066" s="93"/>
      <c r="R1066" s="93"/>
      <c r="S1066" s="93"/>
      <c r="T1066" s="93"/>
      <c r="U1066" s="93"/>
      <c r="V1066" s="93"/>
      <c r="W1066" s="93"/>
      <c r="X1066" s="93"/>
      <c r="Y1066" s="93"/>
      <c r="Z1066" s="93"/>
      <c r="AA1066" s="93"/>
      <c r="AB1066" s="93"/>
      <c r="AC1066" s="93"/>
      <c r="AD1066" s="94"/>
      <c r="AE1066" s="94"/>
      <c r="AF1066" s="94"/>
      <c r="AG1066" s="94"/>
    </row>
    <row r="1067">
      <c r="P1067" s="93"/>
      <c r="Q1067" s="93"/>
      <c r="R1067" s="93"/>
      <c r="S1067" s="93"/>
      <c r="T1067" s="93"/>
      <c r="U1067" s="93"/>
      <c r="V1067" s="93"/>
      <c r="W1067" s="93"/>
      <c r="X1067" s="93"/>
      <c r="Y1067" s="93"/>
      <c r="Z1067" s="93"/>
      <c r="AA1067" s="93"/>
      <c r="AB1067" s="93"/>
      <c r="AC1067" s="93"/>
      <c r="AD1067" s="94"/>
      <c r="AE1067" s="94"/>
      <c r="AF1067" s="94"/>
      <c r="AG1067" s="94"/>
    </row>
    <row r="1068">
      <c r="P1068" s="93"/>
      <c r="Q1068" s="93"/>
      <c r="R1068" s="93"/>
      <c r="S1068" s="93"/>
      <c r="T1068" s="93"/>
      <c r="U1068" s="93"/>
      <c r="V1068" s="93"/>
      <c r="W1068" s="93"/>
      <c r="X1068" s="93"/>
      <c r="Y1068" s="93"/>
      <c r="Z1068" s="93"/>
      <c r="AA1068" s="93"/>
      <c r="AB1068" s="93"/>
      <c r="AC1068" s="93"/>
      <c r="AD1068" s="94"/>
      <c r="AE1068" s="94"/>
      <c r="AF1068" s="94"/>
      <c r="AG1068" s="94"/>
    </row>
    <row r="1069">
      <c r="P1069" s="93"/>
      <c r="Q1069" s="93"/>
      <c r="R1069" s="93"/>
      <c r="S1069" s="93"/>
      <c r="T1069" s="93"/>
      <c r="U1069" s="93"/>
      <c r="V1069" s="93"/>
      <c r="W1069" s="93"/>
      <c r="X1069" s="93"/>
      <c r="Y1069" s="93"/>
      <c r="Z1069" s="93"/>
      <c r="AA1069" s="93"/>
      <c r="AB1069" s="93"/>
      <c r="AC1069" s="93"/>
      <c r="AD1069" s="94"/>
      <c r="AE1069" s="94"/>
      <c r="AF1069" s="94"/>
      <c r="AG1069" s="94"/>
    </row>
    <row r="1070">
      <c r="P1070" s="93"/>
      <c r="Q1070" s="93"/>
      <c r="R1070" s="93"/>
      <c r="S1070" s="93"/>
      <c r="T1070" s="93"/>
      <c r="U1070" s="93"/>
      <c r="V1070" s="93"/>
      <c r="W1070" s="93"/>
      <c r="X1070" s="93"/>
      <c r="Y1070" s="93"/>
      <c r="Z1070" s="93"/>
      <c r="AA1070" s="93"/>
      <c r="AB1070" s="93"/>
      <c r="AC1070" s="93"/>
      <c r="AD1070" s="94"/>
      <c r="AE1070" s="94"/>
      <c r="AF1070" s="94"/>
      <c r="AG1070" s="94"/>
    </row>
    <row r="1071">
      <c r="P1071" s="93"/>
      <c r="Q1071" s="93"/>
      <c r="R1071" s="93"/>
      <c r="S1071" s="93"/>
      <c r="T1071" s="93"/>
      <c r="U1071" s="93"/>
      <c r="V1071" s="93"/>
      <c r="W1071" s="93"/>
      <c r="X1071" s="93"/>
      <c r="Y1071" s="93"/>
      <c r="Z1071" s="93"/>
      <c r="AA1071" s="93"/>
      <c r="AB1071" s="93"/>
      <c r="AC1071" s="93"/>
      <c r="AD1071" s="94"/>
      <c r="AE1071" s="94"/>
      <c r="AF1071" s="94"/>
      <c r="AG1071" s="94"/>
    </row>
    <row r="1072">
      <c r="P1072" s="93"/>
      <c r="Q1072" s="93"/>
      <c r="R1072" s="93"/>
      <c r="S1072" s="93"/>
      <c r="T1072" s="93"/>
      <c r="U1072" s="93"/>
      <c r="V1072" s="93"/>
      <c r="W1072" s="93"/>
      <c r="X1072" s="93"/>
      <c r="Y1072" s="93"/>
      <c r="Z1072" s="93"/>
      <c r="AA1072" s="93"/>
      <c r="AB1072" s="93"/>
      <c r="AC1072" s="93"/>
      <c r="AD1072" s="94"/>
      <c r="AE1072" s="94"/>
      <c r="AF1072" s="94"/>
      <c r="AG1072" s="94"/>
    </row>
    <row r="1073">
      <c r="P1073" s="93"/>
      <c r="Q1073" s="93"/>
      <c r="R1073" s="93"/>
      <c r="S1073" s="93"/>
      <c r="T1073" s="93"/>
      <c r="U1073" s="93"/>
      <c r="V1073" s="93"/>
      <c r="W1073" s="93"/>
      <c r="X1073" s="93"/>
      <c r="Y1073" s="93"/>
      <c r="Z1073" s="93"/>
      <c r="AA1073" s="93"/>
      <c r="AB1073" s="93"/>
      <c r="AC1073" s="93"/>
      <c r="AD1073" s="94"/>
      <c r="AE1073" s="94"/>
      <c r="AF1073" s="94"/>
      <c r="AG1073" s="94"/>
    </row>
    <row r="1074">
      <c r="P1074" s="93"/>
      <c r="Q1074" s="93"/>
      <c r="R1074" s="93"/>
      <c r="S1074" s="93"/>
      <c r="T1074" s="93"/>
      <c r="U1074" s="93"/>
      <c r="V1074" s="93"/>
      <c r="W1074" s="93"/>
      <c r="X1074" s="93"/>
      <c r="Y1074" s="93"/>
      <c r="Z1074" s="93"/>
      <c r="AA1074" s="93"/>
      <c r="AB1074" s="93"/>
      <c r="AC1074" s="93"/>
      <c r="AD1074" s="94"/>
      <c r="AE1074" s="94"/>
      <c r="AF1074" s="94"/>
      <c r="AG1074" s="94"/>
    </row>
    <row r="1075">
      <c r="P1075" s="93"/>
      <c r="Q1075" s="93"/>
      <c r="R1075" s="93"/>
      <c r="S1075" s="93"/>
      <c r="T1075" s="93"/>
      <c r="U1075" s="93"/>
      <c r="V1075" s="93"/>
      <c r="W1075" s="93"/>
      <c r="X1075" s="93"/>
      <c r="Y1075" s="93"/>
      <c r="Z1075" s="93"/>
      <c r="AA1075" s="93"/>
      <c r="AB1075" s="93"/>
      <c r="AC1075" s="93"/>
      <c r="AD1075" s="94"/>
      <c r="AE1075" s="94"/>
      <c r="AF1075" s="94"/>
      <c r="AG1075" s="94"/>
    </row>
    <row r="1076">
      <c r="P1076" s="93"/>
      <c r="Q1076" s="93"/>
      <c r="R1076" s="93"/>
      <c r="S1076" s="93"/>
      <c r="T1076" s="93"/>
      <c r="U1076" s="93"/>
      <c r="V1076" s="93"/>
      <c r="W1076" s="93"/>
      <c r="X1076" s="93"/>
      <c r="Y1076" s="93"/>
      <c r="Z1076" s="93"/>
      <c r="AA1076" s="93"/>
      <c r="AB1076" s="93"/>
      <c r="AC1076" s="93"/>
      <c r="AD1076" s="94"/>
      <c r="AE1076" s="94"/>
      <c r="AF1076" s="94"/>
      <c r="AG1076" s="94"/>
    </row>
    <row r="1077">
      <c r="P1077" s="93"/>
      <c r="Q1077" s="93"/>
      <c r="R1077" s="93"/>
      <c r="S1077" s="93"/>
      <c r="T1077" s="93"/>
      <c r="U1077" s="93"/>
      <c r="V1077" s="93"/>
      <c r="W1077" s="93"/>
      <c r="X1077" s="93"/>
      <c r="Y1077" s="93"/>
      <c r="Z1077" s="93"/>
      <c r="AA1077" s="93"/>
      <c r="AB1077" s="93"/>
      <c r="AC1077" s="93"/>
      <c r="AD1077" s="94"/>
      <c r="AE1077" s="94"/>
      <c r="AF1077" s="94"/>
      <c r="AG1077" s="94"/>
    </row>
    <row r="1078">
      <c r="P1078" s="93"/>
      <c r="Q1078" s="93"/>
      <c r="R1078" s="93"/>
      <c r="S1078" s="93"/>
      <c r="T1078" s="93"/>
      <c r="U1078" s="93"/>
      <c r="V1078" s="93"/>
      <c r="W1078" s="93"/>
      <c r="X1078" s="93"/>
      <c r="Y1078" s="93"/>
      <c r="Z1078" s="93"/>
      <c r="AA1078" s="93"/>
      <c r="AB1078" s="93"/>
      <c r="AC1078" s="93"/>
      <c r="AD1078" s="94"/>
      <c r="AE1078" s="94"/>
      <c r="AF1078" s="94"/>
      <c r="AG1078" s="94"/>
    </row>
    <row r="1079">
      <c r="P1079" s="93"/>
      <c r="Q1079" s="93"/>
      <c r="R1079" s="93"/>
      <c r="S1079" s="93"/>
      <c r="T1079" s="93"/>
      <c r="U1079" s="93"/>
      <c r="V1079" s="93"/>
      <c r="W1079" s="93"/>
      <c r="X1079" s="93"/>
      <c r="Y1079" s="93"/>
      <c r="Z1079" s="93"/>
      <c r="AA1079" s="93"/>
      <c r="AB1079" s="93"/>
      <c r="AC1079" s="93"/>
      <c r="AD1079" s="94"/>
      <c r="AE1079" s="94"/>
      <c r="AF1079" s="94"/>
      <c r="AG1079" s="94"/>
    </row>
    <row r="1080">
      <c r="P1080" s="93"/>
      <c r="Q1080" s="93"/>
      <c r="R1080" s="93"/>
      <c r="S1080" s="93"/>
      <c r="T1080" s="93"/>
      <c r="U1080" s="93"/>
      <c r="V1080" s="93"/>
      <c r="W1080" s="93"/>
      <c r="X1080" s="93"/>
      <c r="Y1080" s="93"/>
      <c r="Z1080" s="93"/>
      <c r="AA1080" s="93"/>
      <c r="AB1080" s="93"/>
      <c r="AC1080" s="93"/>
      <c r="AD1080" s="94"/>
      <c r="AE1080" s="94"/>
      <c r="AF1080" s="94"/>
      <c r="AG1080" s="94"/>
    </row>
    <row r="1081">
      <c r="P1081" s="93"/>
      <c r="Q1081" s="93"/>
      <c r="R1081" s="93"/>
      <c r="S1081" s="93"/>
      <c r="T1081" s="93"/>
      <c r="U1081" s="93"/>
      <c r="V1081" s="93"/>
      <c r="W1081" s="93"/>
      <c r="X1081" s="93"/>
      <c r="Y1081" s="93"/>
      <c r="Z1081" s="93"/>
      <c r="AA1081" s="93"/>
      <c r="AB1081" s="93"/>
      <c r="AC1081" s="93"/>
      <c r="AD1081" s="94"/>
      <c r="AE1081" s="94"/>
      <c r="AF1081" s="94"/>
      <c r="AG1081" s="94"/>
    </row>
    <row r="1082">
      <c r="P1082" s="93"/>
      <c r="Q1082" s="93"/>
      <c r="R1082" s="93"/>
      <c r="S1082" s="93"/>
      <c r="T1082" s="93"/>
      <c r="U1082" s="93"/>
      <c r="V1082" s="93"/>
      <c r="W1082" s="93"/>
      <c r="X1082" s="93"/>
      <c r="Y1082" s="93"/>
      <c r="Z1082" s="93"/>
      <c r="AA1082" s="93"/>
      <c r="AB1082" s="93"/>
      <c r="AC1082" s="93"/>
      <c r="AD1082" s="94"/>
      <c r="AE1082" s="94"/>
      <c r="AF1082" s="94"/>
      <c r="AG1082" s="94"/>
    </row>
    <row r="1083">
      <c r="P1083" s="93"/>
      <c r="Q1083" s="93"/>
      <c r="R1083" s="93"/>
      <c r="S1083" s="93"/>
      <c r="T1083" s="93"/>
      <c r="U1083" s="93"/>
      <c r="V1083" s="93"/>
      <c r="W1083" s="93"/>
      <c r="X1083" s="93"/>
      <c r="Y1083" s="93"/>
      <c r="Z1083" s="93"/>
      <c r="AA1083" s="93"/>
      <c r="AB1083" s="93"/>
      <c r="AC1083" s="93"/>
      <c r="AD1083" s="94"/>
      <c r="AE1083" s="94"/>
      <c r="AF1083" s="94"/>
      <c r="AG1083" s="94"/>
    </row>
    <row r="1084">
      <c r="P1084" s="93"/>
      <c r="Q1084" s="93"/>
      <c r="R1084" s="93"/>
      <c r="S1084" s="93"/>
      <c r="T1084" s="93"/>
      <c r="U1084" s="93"/>
      <c r="V1084" s="93"/>
      <c r="W1084" s="93"/>
      <c r="X1084" s="93"/>
      <c r="Y1084" s="93"/>
      <c r="Z1084" s="93"/>
      <c r="AA1084" s="93"/>
      <c r="AB1084" s="93"/>
      <c r="AC1084" s="93"/>
      <c r="AD1084" s="94"/>
      <c r="AE1084" s="94"/>
      <c r="AF1084" s="94"/>
      <c r="AG1084" s="94"/>
    </row>
    <row r="1085">
      <c r="P1085" s="93"/>
      <c r="Q1085" s="93"/>
      <c r="R1085" s="93"/>
      <c r="S1085" s="93"/>
      <c r="T1085" s="93"/>
      <c r="U1085" s="93"/>
      <c r="V1085" s="93"/>
      <c r="W1085" s="93"/>
      <c r="X1085" s="93"/>
      <c r="Y1085" s="93"/>
      <c r="Z1085" s="93"/>
      <c r="AA1085" s="93"/>
      <c r="AB1085" s="93"/>
      <c r="AC1085" s="93"/>
      <c r="AD1085" s="94"/>
      <c r="AE1085" s="94"/>
      <c r="AF1085" s="94"/>
      <c r="AG1085" s="94"/>
    </row>
    <row r="1086">
      <c r="P1086" s="93"/>
      <c r="Q1086" s="93"/>
      <c r="R1086" s="93"/>
      <c r="S1086" s="93"/>
      <c r="T1086" s="93"/>
      <c r="U1086" s="93"/>
      <c r="V1086" s="93"/>
      <c r="W1086" s="93"/>
      <c r="X1086" s="93"/>
      <c r="Y1086" s="93"/>
      <c r="Z1086" s="93"/>
      <c r="AA1086" s="93"/>
      <c r="AB1086" s="93"/>
      <c r="AC1086" s="93"/>
      <c r="AD1086" s="94"/>
      <c r="AE1086" s="94"/>
      <c r="AF1086" s="94"/>
      <c r="AG1086" s="94"/>
    </row>
    <row r="1087">
      <c r="P1087" s="93"/>
      <c r="Q1087" s="93"/>
      <c r="R1087" s="93"/>
      <c r="S1087" s="93"/>
      <c r="T1087" s="93"/>
      <c r="U1087" s="93"/>
      <c r="V1087" s="93"/>
      <c r="W1087" s="93"/>
      <c r="X1087" s="93"/>
      <c r="Y1087" s="93"/>
      <c r="Z1087" s="93"/>
      <c r="AA1087" s="93"/>
      <c r="AB1087" s="93"/>
      <c r="AC1087" s="93"/>
      <c r="AD1087" s="94"/>
      <c r="AE1087" s="94"/>
      <c r="AF1087" s="94"/>
      <c r="AG1087" s="94"/>
    </row>
    <row r="1088">
      <c r="P1088" s="93"/>
      <c r="Q1088" s="93"/>
      <c r="R1088" s="93"/>
      <c r="S1088" s="93"/>
      <c r="T1088" s="93"/>
      <c r="U1088" s="93"/>
      <c r="V1088" s="93"/>
      <c r="W1088" s="93"/>
      <c r="X1088" s="93"/>
      <c r="Y1088" s="93"/>
      <c r="Z1088" s="93"/>
      <c r="AA1088" s="93"/>
      <c r="AB1088" s="93"/>
      <c r="AC1088" s="93"/>
      <c r="AD1088" s="94"/>
      <c r="AE1088" s="94"/>
      <c r="AF1088" s="94"/>
      <c r="AG1088" s="94"/>
    </row>
    <row r="1089">
      <c r="P1089" s="93"/>
      <c r="Q1089" s="93"/>
      <c r="R1089" s="93"/>
      <c r="S1089" s="93"/>
      <c r="T1089" s="93"/>
      <c r="U1089" s="93"/>
      <c r="V1089" s="93"/>
      <c r="W1089" s="93"/>
      <c r="X1089" s="93"/>
      <c r="Y1089" s="93"/>
      <c r="Z1089" s="93"/>
      <c r="AA1089" s="93"/>
      <c r="AB1089" s="93"/>
      <c r="AC1089" s="93"/>
      <c r="AD1089" s="94"/>
      <c r="AE1089" s="94"/>
      <c r="AF1089" s="94"/>
      <c r="AG1089" s="9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8.0"/>
    <col customWidth="1" min="3" max="3" width="2.0"/>
    <col customWidth="1" min="4" max="4" width="28.0"/>
    <col customWidth="1" min="5" max="5" width="2.0"/>
    <col customWidth="1" min="6" max="6" width="28.0"/>
    <col customWidth="1" min="7" max="7" width="8.25"/>
    <col customWidth="1" min="8" max="8" width="29.38"/>
    <col customWidth="1" min="9" max="9" width="2.38"/>
    <col customWidth="1" min="10" max="10" width="29.38"/>
    <col customWidth="1" min="11" max="11" width="2.38"/>
    <col customWidth="1" min="12" max="12" width="29.38"/>
    <col customWidth="1" min="16" max="16" width="35.13"/>
    <col customWidth="1" min="18" max="18" width="11.63"/>
    <col customWidth="1" min="20" max="20" width="16.88"/>
    <col customWidth="1" min="21" max="21" width="21.25"/>
    <col customWidth="1" min="22" max="22" width="17.0"/>
    <col customWidth="1" min="24" max="24" width="22.0"/>
    <col customWidth="1" min="25" max="25" width="18.75"/>
    <col customWidth="1" min="26" max="26" width="18.13"/>
    <col customWidth="1" min="27" max="27" width="19.88"/>
    <col customWidth="1" min="29" max="29" width="19.13"/>
    <col customWidth="1" min="31" max="31" width="14.63"/>
  </cols>
  <sheetData>
    <row r="1"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4"/>
      <c r="AE1" s="94"/>
      <c r="AF1" s="94"/>
      <c r="AG1" s="94"/>
    </row>
    <row r="2">
      <c r="A2" s="95"/>
      <c r="B2" s="96" t="s">
        <v>4098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4"/>
      <c r="AE2" s="94"/>
      <c r="AF2" s="94"/>
      <c r="AG2" s="94"/>
    </row>
    <row r="3">
      <c r="A3" s="95"/>
      <c r="B3" s="98"/>
      <c r="C3" s="95"/>
      <c r="D3" s="98"/>
      <c r="E3" s="95"/>
      <c r="F3" s="98"/>
      <c r="G3" s="95"/>
      <c r="H3" s="95"/>
      <c r="I3" s="95"/>
      <c r="J3" s="95"/>
      <c r="K3" s="95"/>
      <c r="L3" s="95"/>
      <c r="M3" s="95"/>
      <c r="N3" s="95"/>
      <c r="O3" s="95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4"/>
      <c r="AE3" s="94"/>
      <c r="AF3" s="94"/>
      <c r="AG3" s="94"/>
    </row>
    <row r="4">
      <c r="A4" s="99"/>
      <c r="B4" s="100" t="s">
        <v>4051</v>
      </c>
      <c r="C4" s="99"/>
      <c r="D4" s="100" t="s">
        <v>4052</v>
      </c>
      <c r="E4" s="99"/>
      <c r="F4" s="101" t="s">
        <v>4053</v>
      </c>
      <c r="G4" s="95"/>
      <c r="H4" s="95"/>
      <c r="I4" s="95"/>
      <c r="J4" s="95"/>
      <c r="K4" s="95"/>
      <c r="L4" s="95"/>
      <c r="M4" s="95"/>
      <c r="N4" s="95"/>
      <c r="O4" s="95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4"/>
      <c r="AE4" s="94"/>
      <c r="AF4" s="94"/>
      <c r="AG4" s="94"/>
    </row>
    <row r="5" ht="46.5" customHeight="1">
      <c r="A5" s="102"/>
      <c r="B5" s="103" t="str">
        <f>$U$30</f>
        <v>#DIV/0!</v>
      </c>
      <c r="C5" s="104"/>
      <c r="D5" s="105">
        <f>$S$30</f>
        <v>0</v>
      </c>
      <c r="E5" s="104"/>
      <c r="F5" s="106" t="str">
        <f>$Z$30</f>
        <v>#DIV/0!</v>
      </c>
      <c r="G5" s="95"/>
      <c r="H5" s="95"/>
      <c r="I5" s="95"/>
      <c r="J5" s="95"/>
      <c r="K5" s="95"/>
      <c r="L5" s="95"/>
      <c r="M5" s="107"/>
      <c r="N5" s="107"/>
      <c r="O5" s="107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94"/>
      <c r="AE5" s="94"/>
      <c r="AF5" s="94"/>
      <c r="AG5" s="94"/>
    </row>
    <row r="6" ht="11.25" customHeight="1">
      <c r="A6" s="95"/>
      <c r="B6" s="98"/>
      <c r="C6" s="95"/>
      <c r="D6" s="98"/>
      <c r="E6" s="95"/>
      <c r="F6" s="98"/>
      <c r="G6" s="95"/>
      <c r="H6" s="95"/>
      <c r="I6" s="95"/>
      <c r="J6" s="95"/>
      <c r="K6" s="95"/>
      <c r="L6" s="95"/>
      <c r="M6" s="95"/>
      <c r="N6" s="95"/>
      <c r="O6" s="95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4"/>
      <c r="AE6" s="94"/>
      <c r="AF6" s="94"/>
      <c r="AG6" s="94"/>
    </row>
    <row r="7">
      <c r="A7" s="99"/>
      <c r="B7" s="100" t="s">
        <v>4054</v>
      </c>
      <c r="C7" s="99"/>
      <c r="D7" s="109" t="s">
        <v>4055</v>
      </c>
      <c r="E7" s="95"/>
      <c r="F7" s="101" t="s">
        <v>4056</v>
      </c>
      <c r="G7" s="95"/>
      <c r="H7" s="95"/>
      <c r="I7" s="95"/>
      <c r="J7" s="95"/>
      <c r="K7" s="95"/>
      <c r="L7" s="95"/>
      <c r="M7" s="95"/>
      <c r="N7" s="95"/>
      <c r="O7" s="95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4"/>
      <c r="AE7" s="94"/>
      <c r="AF7" s="94"/>
      <c r="AG7" s="94"/>
    </row>
    <row r="8" ht="46.5" customHeight="1">
      <c r="A8" s="102"/>
      <c r="B8" s="103" t="str">
        <f>$V$30</f>
        <v>#DIV/0!</v>
      </c>
      <c r="C8" s="104"/>
      <c r="D8" s="110">
        <f>$T$30</f>
        <v>0</v>
      </c>
      <c r="E8" s="111"/>
      <c r="F8" s="112">
        <f>$AA$30</f>
        <v>0</v>
      </c>
      <c r="G8" s="95"/>
      <c r="H8" s="95"/>
      <c r="I8" s="95"/>
      <c r="J8" s="95"/>
      <c r="K8" s="95"/>
      <c r="L8" s="95"/>
      <c r="M8" s="107"/>
      <c r="N8" s="107"/>
      <c r="O8" s="107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94"/>
      <c r="AE8" s="94"/>
      <c r="AF8" s="94"/>
      <c r="AG8" s="94"/>
    </row>
    <row r="9" ht="11.25" customHeight="1">
      <c r="A9" s="95"/>
      <c r="B9" s="98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4"/>
      <c r="AE9" s="94"/>
      <c r="AF9" s="94"/>
      <c r="AG9" s="94"/>
    </row>
    <row r="10">
      <c r="A10" s="99"/>
      <c r="B10" s="101" t="s">
        <v>4057</v>
      </c>
      <c r="C10" s="95"/>
      <c r="D10" s="109" t="s">
        <v>4058</v>
      </c>
      <c r="E10" s="99"/>
      <c r="F10" s="101" t="s">
        <v>4059</v>
      </c>
      <c r="G10" s="95"/>
      <c r="H10" s="95"/>
      <c r="I10" s="95"/>
      <c r="J10" s="95"/>
      <c r="K10" s="95"/>
      <c r="L10" s="95"/>
      <c r="M10" s="95"/>
      <c r="N10" s="95"/>
      <c r="O10" s="95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4"/>
      <c r="AE10" s="94"/>
      <c r="AF10" s="94"/>
      <c r="AG10" s="94"/>
    </row>
    <row r="11" ht="46.5" customHeight="1">
      <c r="A11" s="102"/>
      <c r="B11" s="103">
        <f>$R$30</f>
        <v>6022</v>
      </c>
      <c r="C11" s="111"/>
      <c r="D11" s="113">
        <f>$X$30</f>
        <v>0</v>
      </c>
      <c r="E11" s="104"/>
      <c r="F11" s="112">
        <f>$AC$30</f>
        <v>0</v>
      </c>
      <c r="G11" s="95"/>
      <c r="H11" s="95"/>
      <c r="I11" s="95"/>
      <c r="J11" s="95"/>
      <c r="K11" s="95"/>
      <c r="L11" s="95"/>
      <c r="M11" s="107"/>
      <c r="N11" s="107"/>
      <c r="O11" s="107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94"/>
      <c r="AE11" s="94"/>
      <c r="AF11" s="94"/>
      <c r="AG11" s="94"/>
    </row>
    <row r="12" ht="11.25" customHeight="1">
      <c r="A12" s="95"/>
      <c r="B12" s="96"/>
      <c r="C12" s="95"/>
      <c r="D12" s="95"/>
      <c r="E12" s="95"/>
      <c r="F12" s="114" t="str">
        <f>$AD$30</f>
        <v>#DIV/0!</v>
      </c>
      <c r="G12" s="95"/>
      <c r="H12" s="95"/>
      <c r="I12" s="95"/>
      <c r="J12" s="95"/>
      <c r="K12" s="95"/>
      <c r="L12" s="95"/>
      <c r="M12" s="95"/>
      <c r="N12" s="95"/>
      <c r="O12" s="95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4"/>
      <c r="AE12" s="94"/>
      <c r="AF12" s="94"/>
      <c r="AG12" s="94"/>
    </row>
    <row r="13">
      <c r="A13" s="95"/>
      <c r="B13" s="101" t="s">
        <v>4060</v>
      </c>
      <c r="C13" s="95"/>
      <c r="D13" s="109" t="s">
        <v>4061</v>
      </c>
      <c r="E13" s="95"/>
      <c r="F13" s="101" t="s">
        <v>4062</v>
      </c>
      <c r="G13" s="95"/>
      <c r="H13" s="95"/>
      <c r="I13" s="95"/>
      <c r="J13" s="95"/>
      <c r="K13" s="95"/>
      <c r="L13" s="95"/>
      <c r="M13" s="95"/>
      <c r="N13" s="95"/>
      <c r="O13" s="95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4"/>
      <c r="AE13" s="94"/>
      <c r="AF13" s="94"/>
      <c r="AG13" s="94"/>
    </row>
    <row r="14" ht="46.5" customHeight="1">
      <c r="A14" s="95"/>
      <c r="B14" s="115">
        <f>$W$30</f>
        <v>0</v>
      </c>
      <c r="C14" s="116"/>
      <c r="D14" s="113">
        <f>$Y$30</f>
        <v>0</v>
      </c>
      <c r="E14" s="116"/>
      <c r="F14" s="105">
        <f>$AB$30</f>
        <v>0</v>
      </c>
      <c r="G14" s="95"/>
      <c r="H14" s="95"/>
      <c r="I14" s="95"/>
      <c r="J14" s="95"/>
      <c r="K14" s="95"/>
      <c r="L14" s="95"/>
      <c r="M14" s="95"/>
      <c r="N14" s="95"/>
      <c r="O14" s="95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4"/>
      <c r="AE14" s="94"/>
      <c r="AF14" s="94"/>
      <c r="AG14" s="94"/>
    </row>
    <row r="15">
      <c r="H15" s="95"/>
      <c r="I15" s="95"/>
      <c r="J15" s="95"/>
      <c r="K15" s="95"/>
      <c r="L15" s="95"/>
      <c r="P15" s="93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94"/>
      <c r="AE15" s="94"/>
      <c r="AF15" s="94"/>
      <c r="AG15" s="94"/>
    </row>
    <row r="16">
      <c r="H16" s="95"/>
      <c r="I16" s="95"/>
      <c r="J16" s="95"/>
      <c r="K16" s="95"/>
      <c r="L16" s="95"/>
      <c r="P16" s="93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94"/>
      <c r="AE16" s="94"/>
      <c r="AF16" s="94"/>
      <c r="AG16" s="94"/>
    </row>
    <row r="17">
      <c r="P17" s="93"/>
      <c r="Q17" s="118" t="s">
        <v>4063</v>
      </c>
      <c r="R17" s="118" t="s">
        <v>4057</v>
      </c>
      <c r="S17" s="118" t="s">
        <v>4052</v>
      </c>
      <c r="T17" s="118" t="s">
        <v>4064</v>
      </c>
      <c r="U17" s="118" t="s">
        <v>4051</v>
      </c>
      <c r="V17" s="118" t="s">
        <v>4054</v>
      </c>
      <c r="W17" s="118" t="s">
        <v>4065</v>
      </c>
      <c r="X17" s="119" t="s">
        <v>4058</v>
      </c>
      <c r="Y17" s="119" t="s">
        <v>4066</v>
      </c>
      <c r="Z17" s="120" t="s">
        <v>4067</v>
      </c>
      <c r="AA17" s="120" t="s">
        <v>4056</v>
      </c>
      <c r="AB17" s="120" t="s">
        <v>4062</v>
      </c>
      <c r="AC17" s="120" t="s">
        <v>4059</v>
      </c>
      <c r="AD17" s="121" t="s">
        <v>4068</v>
      </c>
      <c r="AE17" s="122" t="s">
        <v>4069</v>
      </c>
      <c r="AF17" s="121" t="s">
        <v>4070</v>
      </c>
      <c r="AG17" s="94"/>
    </row>
    <row r="18">
      <c r="P18" s="93"/>
      <c r="Q18" s="123" t="s">
        <v>4071</v>
      </c>
      <c r="R18" s="124">
        <f t="shared" ref="R18:R29" si="1">R45+R61</f>
        <v>0</v>
      </c>
      <c r="S18" s="125">
        <f>COUNTIFS(US!$A:$A, "&gt;=" &amp; DATE(2025,1,1), US!$A:$A, "&lt;=" &amp; EOMONTH(DATE(2025,1,1), 0))</f>
        <v>0</v>
      </c>
      <c r="T18" s="125">
        <f>COUNTIFS(US!$A:$A, "&gt;=" &amp; DATE(2025,1,1), US!$A:$A, "&lt;=" &amp; EOMONTH(DATE(2025,1,1), 0), US!$H:$H, "Booket til time")</f>
        <v>0</v>
      </c>
      <c r="U18" s="126" t="str">
        <f t="shared" ref="U18:U30" si="2">R18/S18</f>
        <v>#DIV/0!</v>
      </c>
      <c r="V18" s="126" t="str">
        <f t="shared" ref="V18:V30" si="3">R18/T18</f>
        <v>#DIV/0!</v>
      </c>
      <c r="W18" s="127" t="str">
        <f t="shared" ref="W18:W30" si="4">Y18/R18</f>
        <v>#DIV/0!</v>
      </c>
      <c r="X18" s="126">
        <f t="shared" ref="X18:X29" si="5">($S$32*T18)+AC18</f>
        <v>0</v>
      </c>
      <c r="Y18" s="126">
        <f t="shared" ref="Y18:Y29" si="6">($S$33*T18)+AC18</f>
        <v>0</v>
      </c>
      <c r="Z18" s="128" t="str">
        <f t="shared" ref="Z18:Z30" si="7">T18/S18</f>
        <v>#DIV/0!</v>
      </c>
      <c r="AA18" s="129">
        <f t="shared" ref="AA18:AA29" si="8">T18*$S$32</f>
        <v>0</v>
      </c>
      <c r="AB18" s="130">
        <f>COUNTIFS(US!$A:$A, "&gt;=" &amp; DATE(2025,1,1), US!$A:$A, "&lt;=" &amp; EOMONTH(DATE(2025,1,1), 0), US!$G:$G, "Ja")</f>
        <v>0</v>
      </c>
      <c r="AC18" s="129">
        <f t="shared" ref="AC18:AC29" si="9">AB18*$S$34</f>
        <v>0</v>
      </c>
      <c r="AD18" s="131" t="str">
        <f t="shared" ref="AD18:AD30" si="10">AB18/S18</f>
        <v>#DIV/0!</v>
      </c>
      <c r="AE18" s="132"/>
      <c r="AF18" s="131" t="str">
        <f t="shared" ref="AF18:AF30" si="11">S18/AE18</f>
        <v>#DIV/0!</v>
      </c>
      <c r="AG18" s="121"/>
    </row>
    <row r="19">
      <c r="P19" s="93"/>
      <c r="Q19" s="123" t="s">
        <v>2161</v>
      </c>
      <c r="R19" s="124">
        <f t="shared" si="1"/>
        <v>0</v>
      </c>
      <c r="S19" s="125">
        <f>COUNTIFS(US!$A:$A, "&gt;=" &amp; DATE(2025,2,1), US!$A:$A, "&lt;=" &amp; EOMONTH(DATE(2025,2,1), 0))</f>
        <v>0</v>
      </c>
      <c r="T19" s="125">
        <f>COUNTIFS(US!$A:$A, "&gt;=" &amp; DATE(2025,2,1), US!$A:$A, "&lt;=" &amp; EOMONTH(DATE(2025,2,1), 0), US!$H:$H, "Booket til time")</f>
        <v>0</v>
      </c>
      <c r="U19" s="126" t="str">
        <f t="shared" si="2"/>
        <v>#DIV/0!</v>
      </c>
      <c r="V19" s="126" t="str">
        <f t="shared" si="3"/>
        <v>#DIV/0!</v>
      </c>
      <c r="W19" s="127" t="str">
        <f t="shared" si="4"/>
        <v>#DIV/0!</v>
      </c>
      <c r="X19" s="126">
        <f t="shared" si="5"/>
        <v>0</v>
      </c>
      <c r="Y19" s="126">
        <f t="shared" si="6"/>
        <v>0</v>
      </c>
      <c r="Z19" s="128" t="str">
        <f t="shared" si="7"/>
        <v>#DIV/0!</v>
      </c>
      <c r="AA19" s="129">
        <f t="shared" si="8"/>
        <v>0</v>
      </c>
      <c r="AB19" s="133">
        <f>COUNTIFS(US!$A:$A, "&gt;=" &amp; DATE(2025,2,1), US!$A:$A, "&lt;=" &amp; EOMONTH(DATE(2025,2,1), 0), US!$G:$G, "Ja")</f>
        <v>0</v>
      </c>
      <c r="AC19" s="129">
        <f t="shared" si="9"/>
        <v>0</v>
      </c>
      <c r="AD19" s="131" t="str">
        <f t="shared" si="10"/>
        <v>#DIV/0!</v>
      </c>
      <c r="AE19" s="132"/>
      <c r="AF19" s="131" t="str">
        <f t="shared" si="11"/>
        <v>#DIV/0!</v>
      </c>
      <c r="AG19" s="131"/>
    </row>
    <row r="20">
      <c r="P20" s="93"/>
      <c r="Q20" s="123" t="s">
        <v>2763</v>
      </c>
      <c r="R20" s="124">
        <f t="shared" si="1"/>
        <v>0</v>
      </c>
      <c r="S20" s="125">
        <f>COUNTIFS(US!$A:$A, "&gt;=" &amp; DATE(2025,3,1), US!$A:$A, "&lt;=" &amp; EOMONTH(DATE(2025,3,1), 0))</f>
        <v>0</v>
      </c>
      <c r="T20" s="125">
        <f>COUNTIFS(US!$A:$A, "&gt;=" &amp; DATE(2025,3,1), US!$A:$A, "&lt;=" &amp; EOMONTH(DATE(2025,3,1), 0), US!$H:$H, "Booket til time")</f>
        <v>0</v>
      </c>
      <c r="U20" s="126" t="str">
        <f t="shared" si="2"/>
        <v>#DIV/0!</v>
      </c>
      <c r="V20" s="126" t="str">
        <f t="shared" si="3"/>
        <v>#DIV/0!</v>
      </c>
      <c r="W20" s="127" t="str">
        <f t="shared" si="4"/>
        <v>#DIV/0!</v>
      </c>
      <c r="X20" s="126">
        <f t="shared" si="5"/>
        <v>0</v>
      </c>
      <c r="Y20" s="126">
        <f t="shared" si="6"/>
        <v>0</v>
      </c>
      <c r="Z20" s="128" t="str">
        <f t="shared" si="7"/>
        <v>#DIV/0!</v>
      </c>
      <c r="AA20" s="129">
        <f t="shared" si="8"/>
        <v>0</v>
      </c>
      <c r="AB20" s="133">
        <f>COUNTIFS(US!$A:$A, "&gt;=" &amp; DATE(2025,3,1), US!$A:$A, "&lt;=" &amp; EOMONTH(DATE(2025,3,1), 0), US!$G:$G, "Ja")</f>
        <v>0</v>
      </c>
      <c r="AC20" s="129">
        <f t="shared" si="9"/>
        <v>0</v>
      </c>
      <c r="AD20" s="131" t="str">
        <f t="shared" si="10"/>
        <v>#DIV/0!</v>
      </c>
      <c r="AE20" s="132"/>
      <c r="AF20" s="131" t="str">
        <f t="shared" si="11"/>
        <v>#DIV/0!</v>
      </c>
      <c r="AG20" s="131"/>
    </row>
    <row r="21">
      <c r="P21" s="93"/>
      <c r="Q21" s="123" t="s">
        <v>4072</v>
      </c>
      <c r="R21" s="124">
        <f t="shared" si="1"/>
        <v>0</v>
      </c>
      <c r="S21" s="125">
        <f>COUNTIFS(US!$A:$A, "&gt;=" &amp; DATE(2025,4,1), US!$A:$A, "&lt;=" &amp; EOMONTH(DATE(2025,4,1), 0))</f>
        <v>0</v>
      </c>
      <c r="T21" s="125">
        <f>COUNTIFS(US!$A:$A, "&gt;=" &amp; DATE(2025,4,1), US!$A:$A, "&lt;=" &amp; EOMONTH(DATE(2025,4,1), 0), US!$H:$H, "Booket til time")</f>
        <v>0</v>
      </c>
      <c r="U21" s="126" t="str">
        <f t="shared" si="2"/>
        <v>#DIV/0!</v>
      </c>
      <c r="V21" s="126" t="str">
        <f t="shared" si="3"/>
        <v>#DIV/0!</v>
      </c>
      <c r="W21" s="127" t="str">
        <f t="shared" si="4"/>
        <v>#DIV/0!</v>
      </c>
      <c r="X21" s="126">
        <f t="shared" si="5"/>
        <v>0</v>
      </c>
      <c r="Y21" s="126">
        <f t="shared" si="6"/>
        <v>0</v>
      </c>
      <c r="Z21" s="128" t="str">
        <f t="shared" si="7"/>
        <v>#DIV/0!</v>
      </c>
      <c r="AA21" s="129">
        <f t="shared" si="8"/>
        <v>0</v>
      </c>
      <c r="AB21" s="133">
        <f>COUNTIFS(US!$A:$A, "&gt;=" &amp; DATE(2025,4,1), US!$A:$A, "&lt;=" &amp; EOMONTH(DATE(2025,4,1), 0), US!$G:$G, "Ja")</f>
        <v>0</v>
      </c>
      <c r="AC21" s="129">
        <f t="shared" si="9"/>
        <v>0</v>
      </c>
      <c r="AD21" s="131" t="str">
        <f t="shared" si="10"/>
        <v>#DIV/0!</v>
      </c>
      <c r="AE21" s="132"/>
      <c r="AF21" s="131" t="str">
        <f t="shared" si="11"/>
        <v>#DIV/0!</v>
      </c>
      <c r="AG21" s="131"/>
    </row>
    <row r="22">
      <c r="P22" s="93"/>
      <c r="Q22" s="123" t="s">
        <v>4073</v>
      </c>
      <c r="R22" s="124">
        <f t="shared" si="1"/>
        <v>0</v>
      </c>
      <c r="S22" s="125">
        <f>COUNTIFS(US!$A:$A, "&gt;=" &amp; DATE(2025,5,1), US!$A:$A, "&lt;=" &amp; EOMONTH(DATE(2025,5,1), 0))</f>
        <v>0</v>
      </c>
      <c r="T22" s="130">
        <f>COUNTIFS(US!$A:$A, "&gt;=" &amp; DATE(2025,5,1), US!$A:$A, "&lt;=" &amp; EOMONTH(DATE(2025,5,1), 0), US!$H:$H, "Booket til time")</f>
        <v>0</v>
      </c>
      <c r="U22" s="126" t="str">
        <f t="shared" si="2"/>
        <v>#DIV/0!</v>
      </c>
      <c r="V22" s="126" t="str">
        <f t="shared" si="3"/>
        <v>#DIV/0!</v>
      </c>
      <c r="W22" s="127" t="str">
        <f t="shared" si="4"/>
        <v>#DIV/0!</v>
      </c>
      <c r="X22" s="126">
        <f t="shared" si="5"/>
        <v>0</v>
      </c>
      <c r="Y22" s="126">
        <f t="shared" si="6"/>
        <v>0</v>
      </c>
      <c r="Z22" s="128" t="str">
        <f t="shared" si="7"/>
        <v>#DIV/0!</v>
      </c>
      <c r="AA22" s="129">
        <f t="shared" si="8"/>
        <v>0</v>
      </c>
      <c r="AB22" s="133">
        <f>COUNTIFS(US!$A:$A, "&gt;=" &amp; DATE(2025,5,1), US!$A:$A, "&lt;=" &amp; EOMONTH(DATE(2025,5,1), 0), US!$G:$G, "Ja")</f>
        <v>0</v>
      </c>
      <c r="AC22" s="129">
        <f t="shared" si="9"/>
        <v>0</v>
      </c>
      <c r="AD22" s="131" t="str">
        <f t="shared" si="10"/>
        <v>#DIV/0!</v>
      </c>
      <c r="AE22" s="132"/>
      <c r="AF22" s="131" t="str">
        <f t="shared" si="11"/>
        <v>#DIV/0!</v>
      </c>
      <c r="AG22" s="131"/>
    </row>
    <row r="23">
      <c r="P23" s="93"/>
      <c r="Q23" s="123" t="s">
        <v>4074</v>
      </c>
      <c r="R23" s="124">
        <f t="shared" si="1"/>
        <v>0</v>
      </c>
      <c r="S23" s="125">
        <f>COUNTIFS(US!$A:$A, "&gt;=" &amp; DATE(2025,6,1), US!$A:$A, "&lt;=" &amp; EOMONTH(DATE(2025,6,1), 0))</f>
        <v>0</v>
      </c>
      <c r="T23" s="125">
        <f>COUNTIFS(US!$A:$A, "&gt;=" &amp; DATE(2025,6,1), US!$A:$A, "&lt;=" &amp; EOMONTH(DATE(2025,6,1), 0), US!$H:$H, "Booket til time")</f>
        <v>0</v>
      </c>
      <c r="U23" s="126" t="str">
        <f t="shared" si="2"/>
        <v>#DIV/0!</v>
      </c>
      <c r="V23" s="126" t="str">
        <f t="shared" si="3"/>
        <v>#DIV/0!</v>
      </c>
      <c r="W23" s="127" t="str">
        <f t="shared" si="4"/>
        <v>#DIV/0!</v>
      </c>
      <c r="X23" s="126">
        <f t="shared" si="5"/>
        <v>0</v>
      </c>
      <c r="Y23" s="126">
        <f t="shared" si="6"/>
        <v>0</v>
      </c>
      <c r="Z23" s="128" t="str">
        <f t="shared" si="7"/>
        <v>#DIV/0!</v>
      </c>
      <c r="AA23" s="129">
        <f t="shared" si="8"/>
        <v>0</v>
      </c>
      <c r="AB23" s="133">
        <f>COUNTIFS(US!$A:$A, "&gt;=" &amp; DATE(2025,6,1), US!$A:$A, "&lt;=" &amp; EOMONTH(DATE(2025,6,1), 0), US!$G:$G, "Ja")</f>
        <v>0</v>
      </c>
      <c r="AC23" s="129">
        <f t="shared" si="9"/>
        <v>0</v>
      </c>
      <c r="AD23" s="131" t="str">
        <f t="shared" si="10"/>
        <v>#DIV/0!</v>
      </c>
      <c r="AE23" s="132"/>
      <c r="AF23" s="131" t="str">
        <f t="shared" si="11"/>
        <v>#DIV/0!</v>
      </c>
      <c r="AG23" s="131"/>
    </row>
    <row r="24">
      <c r="P24" s="93"/>
      <c r="Q24" s="123" t="s">
        <v>4075</v>
      </c>
      <c r="R24" s="124">
        <f t="shared" si="1"/>
        <v>0</v>
      </c>
      <c r="S24" s="125">
        <f>COUNTIFS(US!$A:$A, "&gt;=" &amp; DATE(2025,7,1), US!$A:$A, "&lt;=" &amp; EOMONTH(DATE(2025,7,1), 0))</f>
        <v>0</v>
      </c>
      <c r="T24" s="125">
        <f>COUNTIFS(US!$A:$A, "&gt;=" &amp; DATE(2025,7,1), US!$A:$A, "&lt;=" &amp; EOMONTH(DATE(2025,7,1), 0), US!$H:$H, "Booket til time")</f>
        <v>0</v>
      </c>
      <c r="U24" s="126" t="str">
        <f t="shared" si="2"/>
        <v>#DIV/0!</v>
      </c>
      <c r="V24" s="126" t="str">
        <f t="shared" si="3"/>
        <v>#DIV/0!</v>
      </c>
      <c r="W24" s="127" t="str">
        <f t="shared" si="4"/>
        <v>#DIV/0!</v>
      </c>
      <c r="X24" s="126">
        <f t="shared" si="5"/>
        <v>0</v>
      </c>
      <c r="Y24" s="126">
        <f t="shared" si="6"/>
        <v>0</v>
      </c>
      <c r="Z24" s="128" t="str">
        <f t="shared" si="7"/>
        <v>#DIV/0!</v>
      </c>
      <c r="AA24" s="129">
        <f t="shared" si="8"/>
        <v>0</v>
      </c>
      <c r="AB24" s="133">
        <f>COUNTIFS(US!$A:$A, "&gt;=" &amp; DATE(2025,7,1), US!$A:$A, "&lt;=" &amp; EOMONTH(DATE(2025,7,1), 0), US!$G:$G, "Ja")</f>
        <v>0</v>
      </c>
      <c r="AC24" s="129">
        <f t="shared" si="9"/>
        <v>0</v>
      </c>
      <c r="AD24" s="131" t="str">
        <f t="shared" si="10"/>
        <v>#DIV/0!</v>
      </c>
      <c r="AE24" s="132"/>
      <c r="AF24" s="131" t="str">
        <f t="shared" si="11"/>
        <v>#DIV/0!</v>
      </c>
      <c r="AG24" s="131"/>
    </row>
    <row r="25">
      <c r="P25" s="93"/>
      <c r="Q25" s="123" t="s">
        <v>42</v>
      </c>
      <c r="R25" s="124">
        <f t="shared" si="1"/>
        <v>0</v>
      </c>
      <c r="S25" s="125">
        <f>COUNTIFS(US!$A:$A, "&gt;=" &amp; DATE(2025,8,1), US!$A:$A, "&lt;=" &amp; EOMONTH(DATE(2025,8,1), 0))</f>
        <v>0</v>
      </c>
      <c r="T25" s="125">
        <f>COUNTIFS(US!$A:$A, "&gt;=" &amp; DATE(2025,8,1), US!$A:$A, "&lt;=" &amp; EOMONTH(DATE(2025,8,1), 0), US!$H:$H, "Booket til time")</f>
        <v>0</v>
      </c>
      <c r="U25" s="126" t="str">
        <f t="shared" si="2"/>
        <v>#DIV/0!</v>
      </c>
      <c r="V25" s="126" t="str">
        <f t="shared" si="3"/>
        <v>#DIV/0!</v>
      </c>
      <c r="W25" s="127" t="str">
        <f t="shared" si="4"/>
        <v>#DIV/0!</v>
      </c>
      <c r="X25" s="126">
        <f t="shared" si="5"/>
        <v>0</v>
      </c>
      <c r="Y25" s="126">
        <f t="shared" si="6"/>
        <v>0</v>
      </c>
      <c r="Z25" s="128" t="str">
        <f t="shared" si="7"/>
        <v>#DIV/0!</v>
      </c>
      <c r="AA25" s="129">
        <f t="shared" si="8"/>
        <v>0</v>
      </c>
      <c r="AB25" s="133">
        <f>COUNTIFS(US!$A:$A, "&gt;=" &amp; DATE(2025,8,1), US!$A:$A, "&lt;=" &amp; EOMONTH(DATE(2025,8,1), 0), US!$G:$G, "Ja")</f>
        <v>0</v>
      </c>
      <c r="AC25" s="129">
        <f t="shared" si="9"/>
        <v>0</v>
      </c>
      <c r="AD25" s="131" t="str">
        <f t="shared" si="10"/>
        <v>#DIV/0!</v>
      </c>
      <c r="AE25" s="132"/>
      <c r="AF25" s="131" t="str">
        <f t="shared" si="11"/>
        <v>#DIV/0!</v>
      </c>
      <c r="AG25" s="131"/>
    </row>
    <row r="26">
      <c r="P26" s="93"/>
      <c r="Q26" s="123" t="s">
        <v>4076</v>
      </c>
      <c r="R26" s="124">
        <f t="shared" si="1"/>
        <v>0</v>
      </c>
      <c r="S26" s="125">
        <f>COUNTIFS(US!$A:$A, "&gt;=" &amp; DATE(2025,9,1), US!$A:$A, "&lt;=" &amp; EOMONTH(DATE(2025,9,1), 0))</f>
        <v>0</v>
      </c>
      <c r="T26" s="125">
        <f>COUNTIFS(US!$A:$A, "&gt;=" &amp; DATE(2025,9,1), US!$A:$A, "&lt;=" &amp; EOMONTH(DATE(2025,9,1), 0), US!$H:$H, "Booket til time")</f>
        <v>0</v>
      </c>
      <c r="U26" s="126" t="str">
        <f t="shared" si="2"/>
        <v>#DIV/0!</v>
      </c>
      <c r="V26" s="126" t="str">
        <f t="shared" si="3"/>
        <v>#DIV/0!</v>
      </c>
      <c r="W26" s="127" t="str">
        <f t="shared" si="4"/>
        <v>#DIV/0!</v>
      </c>
      <c r="X26" s="126">
        <f t="shared" si="5"/>
        <v>0</v>
      </c>
      <c r="Y26" s="126">
        <f t="shared" si="6"/>
        <v>0</v>
      </c>
      <c r="Z26" s="128" t="str">
        <f t="shared" si="7"/>
        <v>#DIV/0!</v>
      </c>
      <c r="AA26" s="129">
        <f t="shared" si="8"/>
        <v>0</v>
      </c>
      <c r="AB26" s="133">
        <f>COUNTIFS(US!$A:$A, "&gt;=" &amp; DATE(2025,9,1), US!$A:$A, "&lt;=" &amp; EOMONTH(DATE(2025,9,1), 0), US!$G:$G, "Ja")</f>
        <v>0</v>
      </c>
      <c r="AC26" s="129">
        <f t="shared" si="9"/>
        <v>0</v>
      </c>
      <c r="AD26" s="131" t="str">
        <f t="shared" si="10"/>
        <v>#DIV/0!</v>
      </c>
      <c r="AE26" s="132"/>
      <c r="AF26" s="131" t="str">
        <f t="shared" si="11"/>
        <v>#DIV/0!</v>
      </c>
      <c r="AG26" s="131"/>
    </row>
    <row r="27">
      <c r="P27" s="93"/>
      <c r="Q27" s="123" t="s">
        <v>4077</v>
      </c>
      <c r="R27" s="124">
        <f t="shared" si="1"/>
        <v>6022</v>
      </c>
      <c r="S27" s="125">
        <f>COUNTIFS(US!$A:$A, "&gt;=" &amp; DATE(2025,10,1), US!$A:$A, "&lt;=" &amp; EOMONTH(DATE(2025,10,1), 0))</f>
        <v>0</v>
      </c>
      <c r="T27" s="125">
        <f>COUNTIFS(US!$A:$A, "&gt;=" &amp; DATE(2025,10,1), US!$A:$A, "&lt;=" &amp; EOMONTH(DATE(2025,10,1), 0), US!$H:$H, "Booket til time")</f>
        <v>0</v>
      </c>
      <c r="U27" s="126" t="str">
        <f t="shared" si="2"/>
        <v>#DIV/0!</v>
      </c>
      <c r="V27" s="126" t="str">
        <f t="shared" si="3"/>
        <v>#DIV/0!</v>
      </c>
      <c r="W27" s="127">
        <f t="shared" si="4"/>
        <v>0</v>
      </c>
      <c r="X27" s="126">
        <f t="shared" si="5"/>
        <v>0</v>
      </c>
      <c r="Y27" s="126">
        <f t="shared" si="6"/>
        <v>0</v>
      </c>
      <c r="Z27" s="128" t="str">
        <f t="shared" si="7"/>
        <v>#DIV/0!</v>
      </c>
      <c r="AA27" s="129">
        <f t="shared" si="8"/>
        <v>0</v>
      </c>
      <c r="AB27" s="133">
        <f>COUNTIFS(US!$A:$A, "&gt;=" &amp; DATE(2025,10,1), US!$A:$A, "&lt;=" &amp; EOMONTH(DATE(2025,10,1), 0), US!$G:$G, "Ja")</f>
        <v>0</v>
      </c>
      <c r="AC27" s="129">
        <f t="shared" si="9"/>
        <v>0</v>
      </c>
      <c r="AD27" s="131" t="str">
        <f t="shared" si="10"/>
        <v>#DIV/0!</v>
      </c>
      <c r="AE27" s="132"/>
      <c r="AF27" s="131" t="str">
        <f t="shared" si="11"/>
        <v>#DIV/0!</v>
      </c>
      <c r="AG27" s="131"/>
    </row>
    <row r="28">
      <c r="P28" s="93"/>
      <c r="Q28" s="123" t="s">
        <v>4078</v>
      </c>
      <c r="R28" s="124">
        <f t="shared" si="1"/>
        <v>0</v>
      </c>
      <c r="S28" s="125">
        <f>COUNTIFS(US!$A:$A, "&gt;=" &amp; DATE(2025,11,1), US!$A:$A, "&lt;=" &amp; EOMONTH(DATE(2025,11,1), 0))</f>
        <v>0</v>
      </c>
      <c r="T28" s="125">
        <f>COUNTIFS(US!$A:$A, "&gt;=" &amp; DATE(2025,11,1), US!$A:$A, "&lt;=" &amp; EOMONTH(DATE(2025,11,1), 0), US!$H:$H, "Booket til time")</f>
        <v>0</v>
      </c>
      <c r="U28" s="126" t="str">
        <f t="shared" si="2"/>
        <v>#DIV/0!</v>
      </c>
      <c r="V28" s="126" t="str">
        <f t="shared" si="3"/>
        <v>#DIV/0!</v>
      </c>
      <c r="W28" s="127" t="str">
        <f t="shared" si="4"/>
        <v>#DIV/0!</v>
      </c>
      <c r="X28" s="126">
        <f t="shared" si="5"/>
        <v>0</v>
      </c>
      <c r="Y28" s="126">
        <f t="shared" si="6"/>
        <v>0</v>
      </c>
      <c r="Z28" s="128" t="str">
        <f t="shared" si="7"/>
        <v>#DIV/0!</v>
      </c>
      <c r="AA28" s="129">
        <f t="shared" si="8"/>
        <v>0</v>
      </c>
      <c r="AB28" s="133">
        <f>COUNTIFS(US!$A:$A, "&gt;=" &amp; DATE(2025,11,1), US!$A:$A, "&lt;=" &amp; EOMONTH(DATE(2025,11,1), 0), US!$G:$G, "Ja")</f>
        <v>0</v>
      </c>
      <c r="AC28" s="129">
        <f t="shared" si="9"/>
        <v>0</v>
      </c>
      <c r="AD28" s="131" t="str">
        <f t="shared" si="10"/>
        <v>#DIV/0!</v>
      </c>
      <c r="AE28" s="132"/>
      <c r="AF28" s="131" t="str">
        <f t="shared" si="11"/>
        <v>#DIV/0!</v>
      </c>
      <c r="AG28" s="131"/>
    </row>
    <row r="29">
      <c r="P29" s="93"/>
      <c r="Q29" s="123" t="s">
        <v>4079</v>
      </c>
      <c r="R29" s="124">
        <f t="shared" si="1"/>
        <v>0</v>
      </c>
      <c r="S29" s="125">
        <f>COUNTIFS(US!$A:$A, "&gt;=" &amp; DATE(2025,12,1), US!$A:$A, "&lt;=" &amp; EOMONTH(DATE(2025,12,1), 0))</f>
        <v>0</v>
      </c>
      <c r="T29" s="125">
        <f>COUNTIFS(US!$A:$A, "&gt;=" &amp; DATE(2025,12,1), US!$A:$A, "&lt;=" &amp; EOMONTH(DATE(2025,12,1), 0), US!$H:$H, "Booket til time")</f>
        <v>0</v>
      </c>
      <c r="U29" s="126" t="str">
        <f t="shared" si="2"/>
        <v>#DIV/0!</v>
      </c>
      <c r="V29" s="126" t="str">
        <f t="shared" si="3"/>
        <v>#DIV/0!</v>
      </c>
      <c r="W29" s="127" t="str">
        <f t="shared" si="4"/>
        <v>#DIV/0!</v>
      </c>
      <c r="X29" s="126">
        <f t="shared" si="5"/>
        <v>0</v>
      </c>
      <c r="Y29" s="126">
        <f t="shared" si="6"/>
        <v>0</v>
      </c>
      <c r="Z29" s="128" t="str">
        <f t="shared" si="7"/>
        <v>#DIV/0!</v>
      </c>
      <c r="AA29" s="129">
        <f t="shared" si="8"/>
        <v>0</v>
      </c>
      <c r="AB29" s="133">
        <f>COUNTIFS(US!$A:$A, "&gt;=" &amp; DATE(2025,12,1), US!$A:$A, "&lt;=" &amp; EOMONTH(DATE(2025,12,1), 0), US!$G:$G, "Ja")</f>
        <v>0</v>
      </c>
      <c r="AC29" s="129">
        <f t="shared" si="9"/>
        <v>0</v>
      </c>
      <c r="AD29" s="131" t="str">
        <f t="shared" si="10"/>
        <v>#DIV/0!</v>
      </c>
      <c r="AE29" s="132"/>
      <c r="AF29" s="131" t="str">
        <f t="shared" si="11"/>
        <v>#DIV/0!</v>
      </c>
      <c r="AG29" s="131"/>
    </row>
    <row r="30">
      <c r="P30" s="93"/>
      <c r="Q30" s="123" t="s">
        <v>4080</v>
      </c>
      <c r="R30" s="134">
        <f t="shared" ref="R30:T30" si="12">SUM(R18:R29)</f>
        <v>6022</v>
      </c>
      <c r="S30" s="123">
        <f t="shared" si="12"/>
        <v>0</v>
      </c>
      <c r="T30" s="123">
        <f t="shared" si="12"/>
        <v>0</v>
      </c>
      <c r="U30" s="126" t="str">
        <f t="shared" si="2"/>
        <v>#DIV/0!</v>
      </c>
      <c r="V30" s="126" t="str">
        <f t="shared" si="3"/>
        <v>#DIV/0!</v>
      </c>
      <c r="W30" s="127">
        <f t="shared" si="4"/>
        <v>0</v>
      </c>
      <c r="X30" s="134">
        <f t="shared" ref="X30:Y30" si="13">SUM(X18:X29)</f>
        <v>0</v>
      </c>
      <c r="Y30" s="134">
        <f t="shared" si="13"/>
        <v>0</v>
      </c>
      <c r="Z30" s="135" t="str">
        <f t="shared" si="7"/>
        <v>#DIV/0!</v>
      </c>
      <c r="AA30" s="134">
        <f t="shared" ref="AA30:AC30" si="14">SUM(AA18:AA29)</f>
        <v>0</v>
      </c>
      <c r="AB30" s="123">
        <f t="shared" si="14"/>
        <v>0</v>
      </c>
      <c r="AC30" s="134">
        <f t="shared" si="14"/>
        <v>0</v>
      </c>
      <c r="AD30" s="131" t="str">
        <f t="shared" si="10"/>
        <v>#DIV/0!</v>
      </c>
      <c r="AE30" s="123">
        <f>SUM(AE18:AE29)</f>
        <v>0</v>
      </c>
      <c r="AF30" s="135" t="str">
        <f t="shared" si="11"/>
        <v>#DIV/0!</v>
      </c>
      <c r="AG30" s="93"/>
    </row>
    <row r="31">
      <c r="P31" s="93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94"/>
      <c r="AE31" s="94"/>
      <c r="AF31" s="94"/>
      <c r="AG31" s="94"/>
    </row>
    <row r="32">
      <c r="P32" s="93"/>
      <c r="Q32" s="123" t="s">
        <v>4081</v>
      </c>
      <c r="R32" s="117"/>
      <c r="S32" s="132">
        <v>590.0</v>
      </c>
      <c r="T32" s="117"/>
      <c r="U32" s="123" t="s">
        <v>4082</v>
      </c>
      <c r="V32" s="117"/>
      <c r="W32" s="117"/>
      <c r="X32" s="117"/>
      <c r="Y32" s="117"/>
      <c r="Z32" s="117"/>
      <c r="AA32" s="117"/>
      <c r="AB32" s="117"/>
      <c r="AC32" s="117"/>
      <c r="AD32" s="94"/>
      <c r="AE32" s="94"/>
      <c r="AF32" s="94"/>
      <c r="AG32" s="94"/>
    </row>
    <row r="33">
      <c r="P33" s="93"/>
      <c r="Q33" s="123" t="s">
        <v>4066</v>
      </c>
      <c r="R33" s="117"/>
      <c r="S33" s="123">
        <v>2000.0</v>
      </c>
      <c r="T33" s="117"/>
      <c r="U33" s="117" t="str">
        <f t="array" ref="U33:U34">UNIQUE(US!Z:Z)</f>
        <v>post url</v>
      </c>
      <c r="V33" s="117"/>
      <c r="W33" s="117"/>
      <c r="X33" s="117"/>
      <c r="Y33" s="117"/>
      <c r="Z33" s="117"/>
      <c r="AA33" s="117"/>
      <c r="AB33" s="117"/>
      <c r="AC33" s="117"/>
      <c r="AD33" s="94"/>
      <c r="AE33" s="94"/>
      <c r="AF33" s="94"/>
      <c r="AG33" s="94"/>
    </row>
    <row r="34">
      <c r="P34" s="93"/>
      <c r="Q34" s="123" t="s">
        <v>4083</v>
      </c>
      <c r="R34" s="117"/>
      <c r="S34" s="132">
        <v>2490.0</v>
      </c>
      <c r="T34" s="117"/>
      <c r="U34" s="117"/>
      <c r="V34" s="117"/>
      <c r="W34" s="117"/>
      <c r="X34" s="117">
        <f>COUNTIF(US!Z:Z,U34)</f>
        <v>0</v>
      </c>
      <c r="Y34" s="117"/>
      <c r="Z34" s="117"/>
      <c r="AA34" s="117"/>
      <c r="AB34" s="117"/>
      <c r="AC34" s="117"/>
      <c r="AD34" s="94"/>
      <c r="AE34" s="94"/>
      <c r="AF34" s="94"/>
      <c r="AG34" s="94"/>
    </row>
    <row r="35">
      <c r="P35" s="93"/>
      <c r="Q35" s="120" t="s">
        <v>4084</v>
      </c>
      <c r="R35" s="117"/>
      <c r="S35" s="136">
        <f>COUNTIF(US!$A:$A, TODAY()-1)</f>
        <v>0</v>
      </c>
      <c r="T35" s="117"/>
      <c r="U35" s="117"/>
      <c r="V35" s="117"/>
      <c r="W35" s="117"/>
      <c r="X35" s="117">
        <f>COUNTIF(US!Z:Z,U35)</f>
        <v>0</v>
      </c>
      <c r="Y35" s="117"/>
      <c r="Z35" s="117"/>
      <c r="AA35" s="117"/>
      <c r="AB35" s="117"/>
      <c r="AC35" s="117"/>
      <c r="AD35" s="94"/>
      <c r="AE35" s="94"/>
      <c r="AF35" s="94"/>
      <c r="AG35" s="94"/>
    </row>
    <row r="36">
      <c r="P36" s="93"/>
      <c r="Q36" s="120" t="s">
        <v>4085</v>
      </c>
      <c r="R36" s="117"/>
      <c r="S36" s="136">
        <f>COUNTIF(US!$A:$A, TODAY())</f>
        <v>0</v>
      </c>
      <c r="T36" s="117"/>
      <c r="U36" s="117"/>
      <c r="V36" s="117"/>
      <c r="W36" s="117"/>
      <c r="X36" s="117">
        <f>SUM(X34:X35)</f>
        <v>0</v>
      </c>
      <c r="Y36" s="117"/>
      <c r="Z36" s="117"/>
      <c r="AA36" s="117"/>
      <c r="AB36" s="117"/>
      <c r="AC36" s="117"/>
      <c r="AD36" s="94"/>
      <c r="AE36" s="94"/>
      <c r="AF36" s="94"/>
      <c r="AG36" s="94"/>
    </row>
    <row r="37">
      <c r="P37" s="93"/>
      <c r="Q37" s="120" t="s">
        <v>4086</v>
      </c>
      <c r="R37" s="117"/>
      <c r="S37" s="136">
        <f>COUNTIFS(US!$A:$A, "&gt;=" &amp; EOMONTH(TODAY(), -1) + 1, US!$A:$A, "&lt;=" &amp; EOMONTH(TODAY(), 0))</f>
        <v>19</v>
      </c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94"/>
      <c r="AE37" s="94"/>
      <c r="AF37" s="94"/>
      <c r="AG37" s="94"/>
    </row>
    <row r="38">
      <c r="P38" s="93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94"/>
      <c r="AE38" s="94"/>
      <c r="AF38" s="94"/>
      <c r="AG38" s="94"/>
    </row>
    <row r="39">
      <c r="P39" s="93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94"/>
      <c r="AE39" s="94"/>
      <c r="AF39" s="94"/>
      <c r="AG39" s="94"/>
    </row>
    <row r="40">
      <c r="P40" s="93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94"/>
      <c r="AE40" s="94"/>
      <c r="AF40" s="94"/>
      <c r="AG40" s="94"/>
    </row>
    <row r="41">
      <c r="P41" s="93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94"/>
      <c r="AE41" s="94"/>
      <c r="AF41" s="94"/>
      <c r="AG41" s="94"/>
    </row>
    <row r="42">
      <c r="P42" s="93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94"/>
      <c r="AE42" s="94"/>
      <c r="AF42" s="94"/>
      <c r="AG42" s="94"/>
    </row>
    <row r="43">
      <c r="P43" s="93"/>
      <c r="Q43" s="138" t="s">
        <v>4087</v>
      </c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94"/>
      <c r="AE43" s="94"/>
      <c r="AF43" s="94"/>
      <c r="AG43" s="94"/>
    </row>
    <row r="44">
      <c r="P44" s="93"/>
      <c r="Q44" s="118" t="s">
        <v>4063</v>
      </c>
      <c r="R44" s="118" t="s">
        <v>4057</v>
      </c>
      <c r="S44" s="118" t="s">
        <v>4052</v>
      </c>
      <c r="T44" s="118" t="s">
        <v>4064</v>
      </c>
      <c r="U44" s="118" t="s">
        <v>4051</v>
      </c>
      <c r="V44" s="118" t="s">
        <v>4054</v>
      </c>
      <c r="W44" s="118" t="s">
        <v>4065</v>
      </c>
      <c r="X44" s="119" t="s">
        <v>4058</v>
      </c>
      <c r="Y44" s="119" t="s">
        <v>4066</v>
      </c>
      <c r="Z44" s="120" t="s">
        <v>4067</v>
      </c>
      <c r="AA44" s="120" t="s">
        <v>4056</v>
      </c>
      <c r="AB44" s="120" t="s">
        <v>4062</v>
      </c>
      <c r="AC44" s="120" t="s">
        <v>4059</v>
      </c>
      <c r="AD44" s="121" t="s">
        <v>4068</v>
      </c>
      <c r="AE44" s="122" t="s">
        <v>4069</v>
      </c>
      <c r="AF44" s="121" t="s">
        <v>4070</v>
      </c>
      <c r="AG44" s="121"/>
    </row>
    <row r="45">
      <c r="P45" s="93"/>
      <c r="Q45" s="123" t="s">
        <v>4071</v>
      </c>
      <c r="R45" s="124">
        <v>0.0</v>
      </c>
      <c r="S45" s="139">
        <f>COUNTIFS(US!$A:$A, "&gt;=" &amp; DATE(YEAR(TODAY()),1,1), US!$A:$A, "&lt;=" &amp; EOMONTH(DATE(YEAR(TODAY()),1,1), 0))</f>
        <v>0</v>
      </c>
      <c r="T45" s="139">
        <f>COUNTIFS(US!$A:$A, "&gt;=" &amp; DATE(YEAR(TODAY()),1,1), US!$A:$A, "&lt;=" &amp; EOMONTH(DATE(YEAR(TODAY()),1,1), 0), US!$H:$H, "Booket til time")</f>
        <v>0</v>
      </c>
      <c r="U45" s="126" t="str">
        <f t="shared" ref="U45:U57" si="15">R45/S45</f>
        <v>#DIV/0!</v>
      </c>
      <c r="V45" s="126" t="str">
        <f t="shared" ref="V45:V57" si="16">R45/T45</f>
        <v>#DIV/0!</v>
      </c>
      <c r="W45" s="140" t="str">
        <f>$B$88</f>
        <v>#DIV/0!</v>
      </c>
      <c r="X45" s="126">
        <f t="shared" ref="X45:X56" si="17">($S$32*T45)+AC45</f>
        <v>0</v>
      </c>
      <c r="Y45" s="126">
        <f t="shared" ref="Y45:Y56" si="18">($S$33*T45)+AC45</f>
        <v>0</v>
      </c>
      <c r="Z45" s="128" t="str">
        <f>$F$79</f>
        <v>#DIV/0!</v>
      </c>
      <c r="AA45" s="129">
        <f t="shared" ref="AA45:AA56" si="19">T45*$S$32</f>
        <v>0</v>
      </c>
      <c r="AB45" s="136">
        <f>COUNTIFS(US!$A:$A, "&gt;=" &amp; DATE(YEAR(TODAY()),1,1), US!$A:$A, "&lt;=" &amp; EOMONTH(DATE(YEAR(TODAY()),1,1), 0), US!$G:$G, "Ja")</f>
        <v>0</v>
      </c>
      <c r="AC45" s="129">
        <f t="shared" ref="AC45:AC56" si="20">AB45*$S$34</f>
        <v>0</v>
      </c>
      <c r="AD45" s="131" t="str">
        <f>F115/D106</f>
        <v>#DIV/0!</v>
      </c>
      <c r="AE45" s="136">
        <v>0.0</v>
      </c>
      <c r="AF45" s="131" t="str">
        <f t="shared" ref="AF45:AF57" si="21">S45/AE45</f>
        <v>#DIV/0!</v>
      </c>
      <c r="AG45" s="131"/>
    </row>
    <row r="46">
      <c r="P46" s="93"/>
      <c r="Q46" s="123" t="s">
        <v>2161</v>
      </c>
      <c r="R46" s="124">
        <v>0.0</v>
      </c>
      <c r="S46" s="139">
        <f>COUNTIFS(US!$A:$A, "&gt;=" &amp; DATE(YEAR(TODAY()),2,1), US!$A:$A, "&lt;=" &amp; EOMONTH(DATE(YEAR(TODAY()),2,1), 0))</f>
        <v>0</v>
      </c>
      <c r="T46" s="139">
        <f>COUNTIFS(US!$A:$A, "&gt;=" &amp; DATE(YEAR(TODAY()),2,1), US!$A:$A, "&lt;=" &amp; EOMONTH(DATE(YEAR(TODAY()),2,1), 0), US!$H:$H, "Booket til time")</f>
        <v>0</v>
      </c>
      <c r="U46" s="126" t="str">
        <f t="shared" si="15"/>
        <v>#DIV/0!</v>
      </c>
      <c r="V46" s="126" t="str">
        <f t="shared" si="16"/>
        <v>#DIV/0!</v>
      </c>
      <c r="W46" s="140" t="str">
        <f>$H$88</f>
        <v>#DIV/0!</v>
      </c>
      <c r="X46" s="126">
        <f t="shared" si="17"/>
        <v>0</v>
      </c>
      <c r="Y46" s="126">
        <f t="shared" si="18"/>
        <v>0</v>
      </c>
      <c r="Z46" s="128" t="str">
        <f>$L$79</f>
        <v>#DIV/0!</v>
      </c>
      <c r="AA46" s="129">
        <f t="shared" si="19"/>
        <v>0</v>
      </c>
      <c r="AB46" s="141">
        <f>COUNTIFS(US!$A:$A, "&gt;=" &amp; DATE(YEAR(TODAY()),2,1), US!$A:$A, "&lt;=" &amp; EOMONTH(DATE(YEAR(TODAY()),2,1), 0), US!$G:$G, "Ja")</f>
        <v>0</v>
      </c>
      <c r="AC46" s="129">
        <f t="shared" si="20"/>
        <v>0</v>
      </c>
      <c r="AD46" s="131" t="str">
        <f t="shared" ref="AD46:AD47" si="22">L115/J106</f>
        <v>#DIV/0!</v>
      </c>
      <c r="AE46" s="136">
        <v>0.0</v>
      </c>
      <c r="AF46" s="131" t="str">
        <f t="shared" si="21"/>
        <v>#DIV/0!</v>
      </c>
      <c r="AG46" s="131"/>
    </row>
    <row r="47">
      <c r="P47" s="93"/>
      <c r="Q47" s="123" t="s">
        <v>2763</v>
      </c>
      <c r="R47" s="124">
        <v>0.0</v>
      </c>
      <c r="S47" s="139">
        <f>COUNTIFS(US!$A:$A, "&gt;=" &amp; DATE(YEAR(TODAY()),3,1), US!$A:$A, "&lt;=" &amp; EOMONTH(DATE(YEAR(TODAY()),3,1), 0))</f>
        <v>0</v>
      </c>
      <c r="T47" s="139">
        <f>COUNTIFS(US!$A:$A, "&gt;=" &amp; DATE(YEAR(TODAY()),3,1), US!$A:$A, "&lt;=" &amp; EOMONTH(DATE(YEAR(TODAY()),3,1), 0), US!$H:$H, "Booket til time")</f>
        <v>0</v>
      </c>
      <c r="U47" s="126" t="str">
        <f t="shared" si="15"/>
        <v>#DIV/0!</v>
      </c>
      <c r="V47" s="126" t="str">
        <f t="shared" si="16"/>
        <v>#DIV/0!</v>
      </c>
      <c r="W47" s="140" t="str">
        <f>$B$104</f>
        <v>#DIV/0!</v>
      </c>
      <c r="X47" s="126">
        <f t="shared" si="17"/>
        <v>0</v>
      </c>
      <c r="Y47" s="126">
        <f t="shared" si="18"/>
        <v>0</v>
      </c>
      <c r="Z47" s="128" t="str">
        <f>$F$95</f>
        <v>#DIV/0!</v>
      </c>
      <c r="AA47" s="129">
        <f t="shared" si="19"/>
        <v>0</v>
      </c>
      <c r="AB47" s="141">
        <f>COUNTIFS(US!$A:$A, "&gt;=" &amp; DATE(YEAR(TODAY()),3,1), US!$A:$A, "&lt;=" &amp; EOMONTH(DATE(YEAR(TODAY()),3,1), 0), US!$G:$G, "Ja")</f>
        <v>0</v>
      </c>
      <c r="AC47" s="129">
        <f t="shared" si="20"/>
        <v>0</v>
      </c>
      <c r="AD47" s="131" t="str">
        <f t="shared" si="22"/>
        <v>#VALUE!</v>
      </c>
      <c r="AE47" s="136">
        <v>125.0</v>
      </c>
      <c r="AF47" s="131">
        <f t="shared" si="21"/>
        <v>0</v>
      </c>
      <c r="AG47" s="131"/>
    </row>
    <row r="48">
      <c r="P48" s="93"/>
      <c r="Q48" s="123" t="s">
        <v>4072</v>
      </c>
      <c r="R48" s="124">
        <v>0.0</v>
      </c>
      <c r="S48" s="139">
        <f>COUNTIFS(US!$A:$A, "&gt;=" &amp; DATE(YEAR(TODAY()),4,1), US!$A:$A, "&lt;=" &amp; EOMONTH(DATE(YEAR(TODAY()),4,1), 0))</f>
        <v>0</v>
      </c>
      <c r="T48" s="139">
        <f>COUNTIFS(US!$A:$A, "&gt;=" &amp; DATE(YEAR(TODAY()),4,1), US!$A:$A, "&lt;=" &amp; EOMONTH(DATE(YEAR(TODAY()),4,1), 0), US!$H:$H, "Booket til time")</f>
        <v>0</v>
      </c>
      <c r="U48" s="126" t="str">
        <f t="shared" si="15"/>
        <v>#DIV/0!</v>
      </c>
      <c r="V48" s="126" t="str">
        <f t="shared" si="16"/>
        <v>#DIV/0!</v>
      </c>
      <c r="W48" s="140" t="str">
        <f>$H$104</f>
        <v>#DIV/0!</v>
      </c>
      <c r="X48" s="126">
        <f t="shared" si="17"/>
        <v>0</v>
      </c>
      <c r="Y48" s="126">
        <f t="shared" si="18"/>
        <v>0</v>
      </c>
      <c r="Z48" s="128" t="str">
        <f>$L$95</f>
        <v>#DIV/0!</v>
      </c>
      <c r="AA48" s="129">
        <f t="shared" si="19"/>
        <v>0</v>
      </c>
      <c r="AB48" s="141">
        <f>COUNTIFS(US!$A:$A, "&gt;=" &amp; DATE(YEAR(TODAY()),4,1), US!$A:$A, "&lt;=" &amp; EOMONTH(DATE(YEAR(TODAY()),4,1), 0), US!$G:$G, "Ja")</f>
        <v>0</v>
      </c>
      <c r="AC48" s="129">
        <f t="shared" si="20"/>
        <v>0</v>
      </c>
      <c r="AD48" s="131" t="str">
        <f t="shared" ref="AD48:AD57" si="23">AB48/S48</f>
        <v>#DIV/0!</v>
      </c>
      <c r="AE48" s="136"/>
      <c r="AF48" s="131" t="str">
        <f t="shared" si="21"/>
        <v>#DIV/0!</v>
      </c>
      <c r="AG48" s="131"/>
    </row>
    <row r="49">
      <c r="P49" s="93"/>
      <c r="Q49" s="123" t="s">
        <v>4073</v>
      </c>
      <c r="R49" s="124">
        <v>0.0</v>
      </c>
      <c r="S49" s="139">
        <f>COUNTIFS(US!$A:$A, "&gt;=" &amp; DATE(YEAR(TODAY()),5,1), US!$A:$A, "&lt;=" &amp; EOMONTH(DATE(YEAR(TODAY()),5,1), 0))</f>
        <v>0</v>
      </c>
      <c r="T49" s="139">
        <f>COUNTIFS(US!$A:$A, "&gt;=" &amp; DATE(YEAR(TODAY()),5,1), US!$A:$A, "&lt;=" &amp; EOMONTH(DATE(YEAR(TODAY()),5,1), 0), US!$H:$H, "Booket til time")</f>
        <v>0</v>
      </c>
      <c r="U49" s="126" t="str">
        <f t="shared" si="15"/>
        <v>#DIV/0!</v>
      </c>
      <c r="V49" s="126" t="str">
        <f t="shared" si="16"/>
        <v>#DIV/0!</v>
      </c>
      <c r="W49" s="140" t="str">
        <f>$B$120</f>
        <v>#DIV/0!</v>
      </c>
      <c r="X49" s="126">
        <f t="shared" si="17"/>
        <v>0</v>
      </c>
      <c r="Y49" s="126">
        <f t="shared" si="18"/>
        <v>0</v>
      </c>
      <c r="Z49" s="128" t="str">
        <f>$F$111</f>
        <v>#DIV/0!</v>
      </c>
      <c r="AA49" s="129">
        <f t="shared" si="19"/>
        <v>0</v>
      </c>
      <c r="AB49" s="141">
        <f>COUNTIFS(US!$A:$A, "&gt;=" &amp; DATE(YEAR(TODAY()),5,1), US!$A:$A, "&lt;=" &amp; EOMONTH(DATE(YEAR(TODAY()),5,1), 0), US!$G:$G, "Ja")</f>
        <v>0</v>
      </c>
      <c r="AC49" s="129">
        <f t="shared" si="20"/>
        <v>0</v>
      </c>
      <c r="AD49" s="131" t="str">
        <f t="shared" si="23"/>
        <v>#DIV/0!</v>
      </c>
      <c r="AE49" s="136"/>
      <c r="AF49" s="131" t="str">
        <f t="shared" si="21"/>
        <v>#DIV/0!</v>
      </c>
      <c r="AG49" s="131"/>
    </row>
    <row r="50">
      <c r="P50" s="93"/>
      <c r="Q50" s="123" t="s">
        <v>4074</v>
      </c>
      <c r="R50" s="124">
        <v>0.0</v>
      </c>
      <c r="S50" s="139">
        <f>COUNTIFS(US!$A:$A, "&gt;=" &amp; DATE(YEAR(TODAY()),6,1), US!$A:$A, "&lt;=" &amp; EOMONTH(DATE(YEAR(TODAY()),6,1), 0))</f>
        <v>0</v>
      </c>
      <c r="T50" s="139">
        <f>COUNTIFS(US!$A:$A, "&gt;=" &amp; DATE(YEAR(TODAY()),6,1), US!$A:$A, "&lt;=" &amp; EOMONTH(DATE(YEAR(TODAY()),6,1), 0), US!$H:$H, "Booket til time")</f>
        <v>0</v>
      </c>
      <c r="U50" s="126" t="str">
        <f t="shared" si="15"/>
        <v>#DIV/0!</v>
      </c>
      <c r="V50" s="126" t="str">
        <f t="shared" si="16"/>
        <v>#DIV/0!</v>
      </c>
      <c r="W50" s="140" t="str">
        <f>$H$120</f>
        <v>#DIV/0!</v>
      </c>
      <c r="X50" s="126">
        <f t="shared" si="17"/>
        <v>0</v>
      </c>
      <c r="Y50" s="126">
        <f t="shared" si="18"/>
        <v>0</v>
      </c>
      <c r="Z50" s="128" t="str">
        <f>$L$111</f>
        <v>#DIV/0!</v>
      </c>
      <c r="AA50" s="129">
        <f t="shared" si="19"/>
        <v>0</v>
      </c>
      <c r="AB50" s="141">
        <f>COUNTIFS(US!$A:$A, "&gt;=" &amp; DATE(YEAR(TODAY()),6,1), US!$A:$A, "&lt;=" &amp; EOMONTH(DATE(YEAR(TODAY()),6,1), 0), US!$G:$G, "Ja")</f>
        <v>0</v>
      </c>
      <c r="AC50" s="129">
        <f t="shared" si="20"/>
        <v>0</v>
      </c>
      <c r="AD50" s="131" t="str">
        <f t="shared" si="23"/>
        <v>#DIV/0!</v>
      </c>
      <c r="AE50" s="136"/>
      <c r="AF50" s="131" t="str">
        <f t="shared" si="21"/>
        <v>#DIV/0!</v>
      </c>
      <c r="AG50" s="131"/>
    </row>
    <row r="51">
      <c r="P51" s="93"/>
      <c r="Q51" s="123" t="s">
        <v>4075</v>
      </c>
      <c r="R51" s="124">
        <v>0.0</v>
      </c>
      <c r="S51" s="139">
        <f>COUNTIFS(US!$A:$A, "&gt;=" &amp; DATE(YEAR(TODAY()),7,1), US!$A:$A, "&lt;=" &amp; EOMONTH(DATE(YEAR(TODAY()),7,1), 0))</f>
        <v>19</v>
      </c>
      <c r="T51" s="139">
        <f>COUNTIFS(US!$A:$A, "&gt;=" &amp; DATE(YEAR(TODAY()),7,1), US!$A:$A, "&lt;=" &amp; EOMONTH(DATE(YEAR(TODAY()),7,1), 0), US!$H:$H, "Booket til time")</f>
        <v>13</v>
      </c>
      <c r="U51" s="126">
        <f t="shared" si="15"/>
        <v>0</v>
      </c>
      <c r="V51" s="126">
        <f t="shared" si="16"/>
        <v>0</v>
      </c>
      <c r="W51" s="140" t="str">
        <f>$B$136</f>
        <v>#DIV/0!</v>
      </c>
      <c r="X51" s="126">
        <f t="shared" si="17"/>
        <v>15140</v>
      </c>
      <c r="Y51" s="126">
        <f t="shared" si="18"/>
        <v>33470</v>
      </c>
      <c r="Z51" s="128" t="str">
        <f>$F$127</f>
        <v>#DIV/0!</v>
      </c>
      <c r="AA51" s="129">
        <f t="shared" si="19"/>
        <v>7670</v>
      </c>
      <c r="AB51" s="141">
        <f>COUNTIFS(US!$A:$A, "&gt;=" &amp; DATE(YEAR(TODAY()),7,1), US!$A:$A, "&lt;=" &amp; EOMONTH(DATE(YEAR(TODAY()),7,1), 0), US!$G:$G, "Ja")</f>
        <v>3</v>
      </c>
      <c r="AC51" s="129">
        <f t="shared" si="20"/>
        <v>7470</v>
      </c>
      <c r="AD51" s="131">
        <f t="shared" si="23"/>
        <v>0.1578947368</v>
      </c>
      <c r="AE51" s="136"/>
      <c r="AF51" s="131" t="str">
        <f t="shared" si="21"/>
        <v>#DIV/0!</v>
      </c>
      <c r="AG51" s="131"/>
    </row>
    <row r="52">
      <c r="P52" s="93"/>
      <c r="Q52" s="123" t="s">
        <v>42</v>
      </c>
      <c r="R52" s="124">
        <v>0.0</v>
      </c>
      <c r="S52" s="139">
        <f>COUNTIFS(US!$A:$A, "&gt;=" &amp; DATE(YEAR(TODAY()),8,1), US!$A:$A, "&lt;=" &amp; EOMONTH(DATE(YEAR(TODAY()),8,1), 0))</f>
        <v>0</v>
      </c>
      <c r="T52" s="139">
        <f>COUNTIFS(US!$A:$A, "&gt;=" &amp; DATE(YEAR(TODAY()),8,1), US!$A:$A, "&lt;=" &amp; EOMONTH(DATE(YEAR(TODAY()),8,1), 0), US!$H:$H, "Booket til time")</f>
        <v>0</v>
      </c>
      <c r="U52" s="126" t="str">
        <f t="shared" si="15"/>
        <v>#DIV/0!</v>
      </c>
      <c r="V52" s="126" t="str">
        <f t="shared" si="16"/>
        <v>#DIV/0!</v>
      </c>
      <c r="W52" s="140" t="str">
        <f>$H$136</f>
        <v>#DIV/0!</v>
      </c>
      <c r="X52" s="126">
        <f t="shared" si="17"/>
        <v>0</v>
      </c>
      <c r="Y52" s="126">
        <f t="shared" si="18"/>
        <v>0</v>
      </c>
      <c r="Z52" s="128" t="str">
        <f>$L$127</f>
        <v>#DIV/0!</v>
      </c>
      <c r="AA52" s="129">
        <f t="shared" si="19"/>
        <v>0</v>
      </c>
      <c r="AB52" s="141">
        <f>COUNTIFS(US!$A:$A, "&gt;=" &amp; DATE(YEAR(TODAY()),8,1), US!$A:$A, "&lt;=" &amp; EOMONTH(DATE(YEAR(TODAY()),8,1), 0), US!$G:$G, "Ja")</f>
        <v>0</v>
      </c>
      <c r="AC52" s="129">
        <f t="shared" si="20"/>
        <v>0</v>
      </c>
      <c r="AD52" s="131" t="str">
        <f t="shared" si="23"/>
        <v>#DIV/0!</v>
      </c>
      <c r="AE52" s="136"/>
      <c r="AF52" s="131" t="str">
        <f t="shared" si="21"/>
        <v>#DIV/0!</v>
      </c>
      <c r="AG52" s="131"/>
    </row>
    <row r="53">
      <c r="P53" s="93"/>
      <c r="Q53" s="123" t="s">
        <v>4076</v>
      </c>
      <c r="R53" s="124">
        <v>0.0</v>
      </c>
      <c r="S53" s="139">
        <f>COUNTIFS(US!$A:$A, "&gt;=" &amp; DATE(YEAR(TODAY()),9,1), US!$A:$A, "&lt;=" &amp; EOMONTH(DATE(YEAR(TODAY()),9,1), 0))</f>
        <v>0</v>
      </c>
      <c r="T53" s="139">
        <f>COUNTIFS(US!$A:$A, "&gt;=" &amp; DATE(YEAR(TODAY()),9,1), US!$A:$A, "&lt;=" &amp; EOMONTH(DATE(YEAR(TODAY()),9,1), 0), US!$H:$H, "Booket til time")</f>
        <v>0</v>
      </c>
      <c r="U53" s="126" t="str">
        <f t="shared" si="15"/>
        <v>#DIV/0!</v>
      </c>
      <c r="V53" s="126" t="str">
        <f t="shared" si="16"/>
        <v>#DIV/0!</v>
      </c>
      <c r="W53" s="140" t="str">
        <f>$B$152</f>
        <v>#DIV/0!</v>
      </c>
      <c r="X53" s="126">
        <f t="shared" si="17"/>
        <v>0</v>
      </c>
      <c r="Y53" s="126">
        <f t="shared" si="18"/>
        <v>0</v>
      </c>
      <c r="Z53" s="128" t="str">
        <f>$F$143</f>
        <v>#DIV/0!</v>
      </c>
      <c r="AA53" s="129">
        <f t="shared" si="19"/>
        <v>0</v>
      </c>
      <c r="AB53" s="141">
        <f>COUNTIFS(US!$A:$A, "&gt;=" &amp; DATE(YEAR(TODAY()),9,1), US!$A:$A, "&lt;=" &amp; EOMONTH(DATE(YEAR(TODAY()),9,1), 0), US!$G:$G, "Ja")</f>
        <v>0</v>
      </c>
      <c r="AC53" s="129">
        <f t="shared" si="20"/>
        <v>0</v>
      </c>
      <c r="AD53" s="131" t="str">
        <f t="shared" si="23"/>
        <v>#DIV/0!</v>
      </c>
      <c r="AE53" s="136"/>
      <c r="AF53" s="131" t="str">
        <f t="shared" si="21"/>
        <v>#DIV/0!</v>
      </c>
      <c r="AG53" s="131"/>
    </row>
    <row r="54">
      <c r="P54" s="93"/>
      <c r="Q54" s="123" t="s">
        <v>4077</v>
      </c>
      <c r="R54" s="124">
        <v>6022.0</v>
      </c>
      <c r="S54" s="139">
        <f>COUNTIFS(US!$A:$A, "&gt;=" &amp; DATE(YEAR(TODAY()),10,1), US!$A:$A, "&lt;=" &amp; EOMONTH(DATE(YEAR(TODAY()),10,1), 0))</f>
        <v>0</v>
      </c>
      <c r="T54" s="139">
        <f>COUNTIFS(US!$A:$A, "&gt;=" &amp; DATE(YEAR(TODAY()),10,1), US!$A:$A, "&lt;=" &amp; EOMONTH(DATE(YEAR(TODAY()),10,1), 0), US!$H:$H, "Booket til time")</f>
        <v>0</v>
      </c>
      <c r="U54" s="126" t="str">
        <f t="shared" si="15"/>
        <v>#DIV/0!</v>
      </c>
      <c r="V54" s="126" t="str">
        <f t="shared" si="16"/>
        <v>#DIV/0!</v>
      </c>
      <c r="W54" s="140">
        <f>$H$152</f>
        <v>0</v>
      </c>
      <c r="X54" s="126">
        <f t="shared" si="17"/>
        <v>0</v>
      </c>
      <c r="Y54" s="126">
        <f t="shared" si="18"/>
        <v>0</v>
      </c>
      <c r="Z54" s="128" t="str">
        <f>$L$143</f>
        <v>#DIV/0!</v>
      </c>
      <c r="AA54" s="129">
        <f t="shared" si="19"/>
        <v>0</v>
      </c>
      <c r="AB54" s="141">
        <f>COUNTIFS(US!$A:$A, "&gt;=" &amp; DATE(YEAR(TODAY()),10,1), US!$A:$A, "&lt;=" &amp; EOMONTH(DATE(YEAR(TODAY()),10,1), 0), US!$G:$G, "Ja")</f>
        <v>0</v>
      </c>
      <c r="AC54" s="129">
        <f t="shared" si="20"/>
        <v>0</v>
      </c>
      <c r="AD54" s="131" t="str">
        <f t="shared" si="23"/>
        <v>#DIV/0!</v>
      </c>
      <c r="AE54" s="136"/>
      <c r="AF54" s="131" t="str">
        <f t="shared" si="21"/>
        <v>#DIV/0!</v>
      </c>
      <c r="AG54" s="131"/>
    </row>
    <row r="55">
      <c r="P55" s="93"/>
      <c r="Q55" s="123" t="s">
        <v>4078</v>
      </c>
      <c r="R55" s="124">
        <v>0.0</v>
      </c>
      <c r="S55" s="139">
        <f>COUNTIFS(US!$A:$A, "&gt;=" &amp; DATE(YEAR(TODAY()),11,1), US!$A:$A, "&lt;=" &amp; EOMONTH(DATE(YEAR(TODAY()),11,1), 0))</f>
        <v>0</v>
      </c>
      <c r="T55" s="139">
        <f>COUNTIFS(US!$A:$A, "&gt;=" &amp; DATE(YEAR(TODAY()),11,1), US!$A:$A, "&lt;=" &amp; EOMONTH(DATE(YEAR(TODAY()),11,1), 0), US!$H:$H, "Booket til time")</f>
        <v>0</v>
      </c>
      <c r="U55" s="126" t="str">
        <f t="shared" si="15"/>
        <v>#DIV/0!</v>
      </c>
      <c r="V55" s="126" t="str">
        <f t="shared" si="16"/>
        <v>#DIV/0!</v>
      </c>
      <c r="W55" s="140" t="str">
        <f>$B$168</f>
        <v>#DIV/0!</v>
      </c>
      <c r="X55" s="126">
        <f t="shared" si="17"/>
        <v>0</v>
      </c>
      <c r="Y55" s="126">
        <f t="shared" si="18"/>
        <v>0</v>
      </c>
      <c r="Z55" s="128" t="str">
        <f>$F$159</f>
        <v>#DIV/0!</v>
      </c>
      <c r="AA55" s="129">
        <f t="shared" si="19"/>
        <v>0</v>
      </c>
      <c r="AB55" s="141">
        <f>COUNTIFS(US!$A:$A, "&gt;=" &amp; DATE(YEAR(TODAY()),11,1), US!$A:$A, "&lt;=" &amp; EOMONTH(DATE(YEAR(TODAY()),11,1), 0), US!$G:$G, "Ja")</f>
        <v>0</v>
      </c>
      <c r="AC55" s="129">
        <f t="shared" si="20"/>
        <v>0</v>
      </c>
      <c r="AD55" s="131" t="str">
        <f t="shared" si="23"/>
        <v>#DIV/0!</v>
      </c>
      <c r="AE55" s="136"/>
      <c r="AF55" s="131" t="str">
        <f t="shared" si="21"/>
        <v>#DIV/0!</v>
      </c>
      <c r="AG55" s="131"/>
    </row>
    <row r="56">
      <c r="P56" s="93"/>
      <c r="Q56" s="123" t="s">
        <v>4079</v>
      </c>
      <c r="R56" s="124">
        <v>0.0</v>
      </c>
      <c r="S56" s="139">
        <f>COUNTIFS(US!$A:$A, "&gt;=" &amp; DATE(YEAR(TODAY()),12,1), US!$A:$A, "&lt;=" &amp; EOMONTH(DATE(YEAR(TODAY()),12,1), 0))</f>
        <v>0</v>
      </c>
      <c r="T56" s="139">
        <f>COUNTIFS(US!$A:$A, "&gt;=" &amp; DATE(YEAR(TODAY()),12,1), US!$A:$A, "&lt;=" &amp; EOMONTH(DATE(YEAR(TODAY()),12,1), 0), US!$H:$H, "Booket til time")</f>
        <v>0</v>
      </c>
      <c r="U56" s="126" t="str">
        <f t="shared" si="15"/>
        <v>#DIV/0!</v>
      </c>
      <c r="V56" s="126" t="str">
        <f t="shared" si="16"/>
        <v>#DIV/0!</v>
      </c>
      <c r="W56" s="140" t="str">
        <f>$H$168</f>
        <v>#DIV/0!</v>
      </c>
      <c r="X56" s="126">
        <f t="shared" si="17"/>
        <v>0</v>
      </c>
      <c r="Y56" s="126">
        <f t="shared" si="18"/>
        <v>0</v>
      </c>
      <c r="Z56" s="128" t="str">
        <f>$L$159</f>
        <v>#DIV/0!</v>
      </c>
      <c r="AA56" s="129">
        <f t="shared" si="19"/>
        <v>0</v>
      </c>
      <c r="AB56" s="141">
        <f>COUNTIFS(US!$A:$A, "&gt;=" &amp; DATE(YEAR(TODAY()),12,1), US!$A:$A, "&lt;=" &amp; EOMONTH(DATE(YEAR(TODAY()),12,1), 0), US!$G:$G, "Ja")</f>
        <v>0</v>
      </c>
      <c r="AC56" s="129">
        <f t="shared" si="20"/>
        <v>0</v>
      </c>
      <c r="AD56" s="131" t="str">
        <f t="shared" si="23"/>
        <v>#DIV/0!</v>
      </c>
      <c r="AE56" s="136"/>
      <c r="AF56" s="131" t="str">
        <f t="shared" si="21"/>
        <v>#DIV/0!</v>
      </c>
      <c r="AG56" s="131"/>
    </row>
    <row r="57">
      <c r="P57" s="93"/>
      <c r="Q57" s="123" t="s">
        <v>4080</v>
      </c>
      <c r="R57" s="134">
        <f t="shared" ref="R57:T57" si="24">SUM(R45:R56)</f>
        <v>6022</v>
      </c>
      <c r="S57" s="123">
        <f t="shared" si="24"/>
        <v>19</v>
      </c>
      <c r="T57" s="123">
        <f t="shared" si="24"/>
        <v>13</v>
      </c>
      <c r="U57" s="134">
        <f t="shared" si="15"/>
        <v>316.9473684</v>
      </c>
      <c r="V57" s="134">
        <f t="shared" si="16"/>
        <v>463.2307692</v>
      </c>
      <c r="W57" s="142">
        <f>Y57/R57</f>
        <v>5.557954168</v>
      </c>
      <c r="X57" s="134">
        <f t="shared" ref="X57:Y57" si="25">SUM(X45:X56)</f>
        <v>15140</v>
      </c>
      <c r="Y57" s="134">
        <f t="shared" si="25"/>
        <v>33470</v>
      </c>
      <c r="Z57" s="135">
        <f>T57/S57</f>
        <v>0.6842105263</v>
      </c>
      <c r="AA57" s="134">
        <f t="shared" ref="AA57:AC57" si="26">SUM(AA45:AA56)</f>
        <v>7670</v>
      </c>
      <c r="AB57" s="123">
        <f t="shared" si="26"/>
        <v>3</v>
      </c>
      <c r="AC57" s="134">
        <f t="shared" si="26"/>
        <v>7470</v>
      </c>
      <c r="AD57" s="143">
        <f t="shared" si="23"/>
        <v>0.1578947368</v>
      </c>
      <c r="AE57" s="123">
        <f>SUM(AE45:AE56)</f>
        <v>125</v>
      </c>
      <c r="AF57" s="135">
        <f t="shared" si="21"/>
        <v>0.152</v>
      </c>
      <c r="AG57" s="94"/>
    </row>
    <row r="58">
      <c r="P58" s="93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94"/>
      <c r="AE58" s="94"/>
      <c r="AF58" s="94"/>
      <c r="AG58" s="94"/>
    </row>
    <row r="59">
      <c r="P59" s="93"/>
      <c r="Q59" s="138" t="s">
        <v>4088</v>
      </c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94"/>
      <c r="AE59" s="94"/>
      <c r="AF59" s="94"/>
      <c r="AG59" s="94"/>
    </row>
    <row r="60">
      <c r="P60" s="93"/>
      <c r="Q60" s="118" t="s">
        <v>4063</v>
      </c>
      <c r="R60" s="118" t="s">
        <v>4057</v>
      </c>
      <c r="S60" s="118" t="s">
        <v>4052</v>
      </c>
      <c r="T60" s="118" t="s">
        <v>4064</v>
      </c>
      <c r="U60" s="118" t="s">
        <v>4051</v>
      </c>
      <c r="V60" s="118" t="s">
        <v>4054</v>
      </c>
      <c r="W60" s="118" t="s">
        <v>4065</v>
      </c>
      <c r="X60" s="119" t="s">
        <v>4058</v>
      </c>
      <c r="Y60" s="119" t="s">
        <v>4066</v>
      </c>
      <c r="Z60" s="120" t="s">
        <v>4067</v>
      </c>
      <c r="AA60" s="120" t="s">
        <v>4056</v>
      </c>
      <c r="AB60" s="120" t="s">
        <v>4062</v>
      </c>
      <c r="AC60" s="120" t="s">
        <v>4059</v>
      </c>
      <c r="AD60" s="121" t="s">
        <v>4068</v>
      </c>
      <c r="AE60" s="122" t="s">
        <v>4069</v>
      </c>
      <c r="AF60" s="121" t="s">
        <v>4070</v>
      </c>
      <c r="AG60" s="121"/>
    </row>
    <row r="61">
      <c r="P61" s="93"/>
      <c r="Q61" s="123" t="s">
        <v>4071</v>
      </c>
      <c r="R61" s="124">
        <v>0.0</v>
      </c>
      <c r="S61" s="139">
        <f>COUNTIFS(US!$A:$A, "&gt;=" &amp; DATE(YEAR(TODAY()),1,1), US!$A:$A, "&lt;=" &amp; EOMONTH(DATE(YEAR(TODAY()),1,1), 0))</f>
        <v>0</v>
      </c>
      <c r="T61" s="139">
        <f>COUNTIFS(US!$A:$A, "&gt;=" &amp; DATE(YEAR(TODAY()),1,1), US!$A:$A, "&lt;=" &amp; EOMONTH(DATE(YEAR(TODAY()),1,1), 0), US!$H:$H, "Booket til time")</f>
        <v>0</v>
      </c>
      <c r="U61" s="126" t="str">
        <f t="shared" ref="U61:U73" si="27">R61/S61</f>
        <v>#DIV/0!</v>
      </c>
      <c r="V61" s="126" t="str">
        <f t="shared" ref="V61:V73" si="28">R61/T61</f>
        <v>#DIV/0!</v>
      </c>
      <c r="W61" s="140" t="str">
        <f>$B$88</f>
        <v>#DIV/0!</v>
      </c>
      <c r="X61" s="126">
        <f t="shared" ref="X61:X72" si="29">($S$32*T61)+AC61</f>
        <v>0</v>
      </c>
      <c r="Y61" s="126">
        <f t="shared" ref="Y61:Y72" si="30">($S$33*T61)+AC61</f>
        <v>0</v>
      </c>
      <c r="Z61" s="128" t="str">
        <f>$F$79</f>
        <v>#DIV/0!</v>
      </c>
      <c r="AA61" s="129">
        <f t="shared" ref="AA61:AA72" si="31">T61*$S$32</f>
        <v>0</v>
      </c>
      <c r="AB61" s="136">
        <f>COUNTIFS(US!$A:$A, "&gt;=" &amp; DATE(YEAR(TODAY()),1,1), US!$A:$A, "&lt;=" &amp; EOMONTH(DATE(YEAR(TODAY()),1,1), 0), US!$G:$G, "Ja")</f>
        <v>0</v>
      </c>
      <c r="AC61" s="129">
        <f t="shared" ref="AC61:AC72" si="32">AB61*$S$34</f>
        <v>0</v>
      </c>
      <c r="AD61" s="131" t="str">
        <f>F131/D122</f>
        <v>#DIV/0!</v>
      </c>
      <c r="AE61" s="136">
        <v>0.0</v>
      </c>
      <c r="AF61" s="131" t="str">
        <f t="shared" ref="AF61:AF73" si="33">S61/AE61</f>
        <v>#DIV/0!</v>
      </c>
      <c r="AG61" s="131"/>
    </row>
    <row r="62">
      <c r="P62" s="93"/>
      <c r="Q62" s="123" t="s">
        <v>2161</v>
      </c>
      <c r="R62" s="124">
        <v>0.0</v>
      </c>
      <c r="S62" s="139">
        <f>COUNTIFS(US!$A:$A, "&gt;=" &amp; DATE(YEAR(TODAY()),2,1), US!$A:$A, "&lt;=" &amp; EOMONTH(DATE(YEAR(TODAY()),2,1), 0))</f>
        <v>0</v>
      </c>
      <c r="T62" s="139">
        <f>COUNTIFS(US!$A:$A, "&gt;=" &amp; DATE(YEAR(TODAY()),2,1), US!$A:$A, "&lt;=" &amp; EOMONTH(DATE(YEAR(TODAY()),2,1), 0), US!$H:$H, "Booket til time")</f>
        <v>0</v>
      </c>
      <c r="U62" s="126" t="str">
        <f t="shared" si="27"/>
        <v>#DIV/0!</v>
      </c>
      <c r="V62" s="126" t="str">
        <f t="shared" si="28"/>
        <v>#DIV/0!</v>
      </c>
      <c r="W62" s="140" t="str">
        <f>$H$88</f>
        <v>#DIV/0!</v>
      </c>
      <c r="X62" s="126">
        <f t="shared" si="29"/>
        <v>0</v>
      </c>
      <c r="Y62" s="126">
        <f t="shared" si="30"/>
        <v>0</v>
      </c>
      <c r="Z62" s="128" t="str">
        <f>$L$79</f>
        <v>#DIV/0!</v>
      </c>
      <c r="AA62" s="129">
        <f t="shared" si="31"/>
        <v>0</v>
      </c>
      <c r="AB62" s="141">
        <f>COUNTIFS(US!$A:$A, "&gt;=" &amp; DATE(YEAR(TODAY()),2,1), US!$A:$A, "&lt;=" &amp; EOMONTH(DATE(YEAR(TODAY()),2,1), 0), US!$G:$G, "Ja")</f>
        <v>0</v>
      </c>
      <c r="AC62" s="129">
        <f t="shared" si="32"/>
        <v>0</v>
      </c>
      <c r="AD62" s="131" t="str">
        <f t="shared" ref="AD62:AD63" si="34">L131/J122</f>
        <v>#DIV/0!</v>
      </c>
      <c r="AE62" s="136">
        <v>0.0</v>
      </c>
      <c r="AF62" s="131" t="str">
        <f t="shared" si="33"/>
        <v>#DIV/0!</v>
      </c>
      <c r="AG62" s="131"/>
    </row>
    <row r="63">
      <c r="P63" s="93"/>
      <c r="Q63" s="123" t="s">
        <v>2763</v>
      </c>
      <c r="R63" s="124">
        <v>0.0</v>
      </c>
      <c r="S63" s="139">
        <f>COUNTIFS(US!$A:$A, "&gt;=" &amp; DATE(YEAR(TODAY()),3,1), US!$A:$A, "&lt;=" &amp; EOMONTH(DATE(YEAR(TODAY()),3,1), 0))</f>
        <v>0</v>
      </c>
      <c r="T63" s="139">
        <f>COUNTIFS(US!$A:$A, "&gt;=" &amp; DATE(YEAR(TODAY()),3,1), US!$A:$A, "&lt;=" &amp; EOMONTH(DATE(YEAR(TODAY()),3,1), 0), US!$H:$H, "Booket til time")</f>
        <v>0</v>
      </c>
      <c r="U63" s="126" t="str">
        <f t="shared" si="27"/>
        <v>#DIV/0!</v>
      </c>
      <c r="V63" s="126" t="str">
        <f t="shared" si="28"/>
        <v>#DIV/0!</v>
      </c>
      <c r="W63" s="140" t="str">
        <f>$B$104</f>
        <v>#DIV/0!</v>
      </c>
      <c r="X63" s="126">
        <f t="shared" si="29"/>
        <v>0</v>
      </c>
      <c r="Y63" s="126">
        <f t="shared" si="30"/>
        <v>0</v>
      </c>
      <c r="Z63" s="128" t="str">
        <f>$F$95</f>
        <v>#DIV/0!</v>
      </c>
      <c r="AA63" s="129">
        <f t="shared" si="31"/>
        <v>0</v>
      </c>
      <c r="AB63" s="141">
        <f>COUNTIFS(US!$A:$A, "&gt;=" &amp; DATE(YEAR(TODAY()),3,1), US!$A:$A, "&lt;=" &amp; EOMONTH(DATE(YEAR(TODAY()),3,1), 0), US!$G:$G, "Ja")</f>
        <v>0</v>
      </c>
      <c r="AC63" s="129">
        <f t="shared" si="32"/>
        <v>0</v>
      </c>
      <c r="AD63" s="131" t="str">
        <f t="shared" si="34"/>
        <v>#VALUE!</v>
      </c>
      <c r="AE63" s="136">
        <v>123.0</v>
      </c>
      <c r="AF63" s="131">
        <f t="shared" si="33"/>
        <v>0</v>
      </c>
      <c r="AG63" s="131"/>
    </row>
    <row r="64">
      <c r="P64" s="93"/>
      <c r="Q64" s="123" t="s">
        <v>4072</v>
      </c>
      <c r="R64" s="124">
        <v>0.0</v>
      </c>
      <c r="S64" s="139">
        <f>COUNTIFS(US!$A:$A, "&gt;=" &amp; DATE(YEAR(TODAY()),4,1), US!$A:$A, "&lt;=" &amp; EOMONTH(DATE(YEAR(TODAY()),4,1), 0))</f>
        <v>0</v>
      </c>
      <c r="T64" s="139">
        <f>COUNTIFS(US!$A:$A, "&gt;=" &amp; DATE(YEAR(TODAY()),4,1), US!$A:$A, "&lt;=" &amp; EOMONTH(DATE(YEAR(TODAY()),4,1), 0), US!$H:$H, "Booket til time")</f>
        <v>0</v>
      </c>
      <c r="U64" s="126" t="str">
        <f t="shared" si="27"/>
        <v>#DIV/0!</v>
      </c>
      <c r="V64" s="126" t="str">
        <f t="shared" si="28"/>
        <v>#DIV/0!</v>
      </c>
      <c r="W64" s="140" t="str">
        <f>$H$104</f>
        <v>#DIV/0!</v>
      </c>
      <c r="X64" s="126">
        <f t="shared" si="29"/>
        <v>0</v>
      </c>
      <c r="Y64" s="126">
        <f t="shared" si="30"/>
        <v>0</v>
      </c>
      <c r="Z64" s="128" t="str">
        <f>$L$95</f>
        <v>#DIV/0!</v>
      </c>
      <c r="AA64" s="129">
        <f t="shared" si="31"/>
        <v>0</v>
      </c>
      <c r="AB64" s="141">
        <f>COUNTIFS(US!$A:$A, "&gt;=" &amp; DATE(YEAR(TODAY()),4,1), US!$A:$A, "&lt;=" &amp; EOMONTH(DATE(YEAR(TODAY()),4,1), 0), US!$G:$G, "Ja")</f>
        <v>0</v>
      </c>
      <c r="AC64" s="129">
        <f t="shared" si="32"/>
        <v>0</v>
      </c>
      <c r="AD64" s="131" t="str">
        <f t="shared" ref="AD64:AD73" si="35">AB64/S64</f>
        <v>#DIV/0!</v>
      </c>
      <c r="AE64" s="136"/>
      <c r="AF64" s="131" t="str">
        <f t="shared" si="33"/>
        <v>#DIV/0!</v>
      </c>
      <c r="AG64" s="131"/>
    </row>
    <row r="65">
      <c r="P65" s="93"/>
      <c r="Q65" s="123" t="s">
        <v>4073</v>
      </c>
      <c r="R65" s="124">
        <v>0.0</v>
      </c>
      <c r="S65" s="139">
        <f>COUNTIFS(US!$A:$A, "&gt;=" &amp; DATE(YEAR(TODAY()),5,1), US!$A:$A, "&lt;=" &amp; EOMONTH(DATE(YEAR(TODAY()),5,1), 0))</f>
        <v>0</v>
      </c>
      <c r="T65" s="139">
        <f>COUNTIFS(US!$A:$A, "&gt;=" &amp; DATE(YEAR(TODAY()),5,1), US!$A:$A, "&lt;=" &amp; EOMONTH(DATE(YEAR(TODAY()),5,1), 0), US!$H:$H, "Booket til time")</f>
        <v>0</v>
      </c>
      <c r="U65" s="126" t="str">
        <f t="shared" si="27"/>
        <v>#DIV/0!</v>
      </c>
      <c r="V65" s="126" t="str">
        <f t="shared" si="28"/>
        <v>#DIV/0!</v>
      </c>
      <c r="W65" s="140" t="str">
        <f>$B$120</f>
        <v>#DIV/0!</v>
      </c>
      <c r="X65" s="126">
        <f t="shared" si="29"/>
        <v>0</v>
      </c>
      <c r="Y65" s="126">
        <f t="shared" si="30"/>
        <v>0</v>
      </c>
      <c r="Z65" s="128" t="str">
        <f>$F$111</f>
        <v>#DIV/0!</v>
      </c>
      <c r="AA65" s="129">
        <f t="shared" si="31"/>
        <v>0</v>
      </c>
      <c r="AB65" s="141">
        <f>COUNTIFS(US!$A:$A, "&gt;=" &amp; DATE(YEAR(TODAY()),5,1), US!$A:$A, "&lt;=" &amp; EOMONTH(DATE(YEAR(TODAY()),5,1), 0), US!$G:$G, "Ja")</f>
        <v>0</v>
      </c>
      <c r="AC65" s="129">
        <f t="shared" si="32"/>
        <v>0</v>
      </c>
      <c r="AD65" s="131" t="str">
        <f t="shared" si="35"/>
        <v>#DIV/0!</v>
      </c>
      <c r="AE65" s="136"/>
      <c r="AF65" s="131" t="str">
        <f t="shared" si="33"/>
        <v>#DIV/0!</v>
      </c>
      <c r="AG65" s="131"/>
    </row>
    <row r="66">
      <c r="P66" s="93"/>
      <c r="Q66" s="123" t="s">
        <v>4074</v>
      </c>
      <c r="R66" s="124">
        <v>0.0</v>
      </c>
      <c r="S66" s="139">
        <f>COUNTIFS(US!$A:$A, "&gt;=" &amp; DATE(YEAR(TODAY()),6,1), US!$A:$A, "&lt;=" &amp; EOMONTH(DATE(YEAR(TODAY()),6,1), 0))</f>
        <v>0</v>
      </c>
      <c r="T66" s="139">
        <f>COUNTIFS(US!$A:$A, "&gt;=" &amp; DATE(YEAR(TODAY()),6,1), US!$A:$A, "&lt;=" &amp; EOMONTH(DATE(YEAR(TODAY()),6,1), 0), US!$H:$H, "Booket til time")</f>
        <v>0</v>
      </c>
      <c r="U66" s="126" t="str">
        <f t="shared" si="27"/>
        <v>#DIV/0!</v>
      </c>
      <c r="V66" s="126" t="str">
        <f t="shared" si="28"/>
        <v>#DIV/0!</v>
      </c>
      <c r="W66" s="140" t="str">
        <f>$H$120</f>
        <v>#DIV/0!</v>
      </c>
      <c r="X66" s="126">
        <f t="shared" si="29"/>
        <v>0</v>
      </c>
      <c r="Y66" s="126">
        <f t="shared" si="30"/>
        <v>0</v>
      </c>
      <c r="Z66" s="128" t="str">
        <f>$L$111</f>
        <v>#DIV/0!</v>
      </c>
      <c r="AA66" s="129">
        <f t="shared" si="31"/>
        <v>0</v>
      </c>
      <c r="AB66" s="141">
        <f>COUNTIFS(US!$A:$A, "&gt;=" &amp; DATE(YEAR(TODAY()),6,1), US!$A:$A, "&lt;=" &amp; EOMONTH(DATE(YEAR(TODAY()),6,1), 0), US!$G:$G, "Ja")</f>
        <v>0</v>
      </c>
      <c r="AC66" s="129">
        <f t="shared" si="32"/>
        <v>0</v>
      </c>
      <c r="AD66" s="131" t="str">
        <f t="shared" si="35"/>
        <v>#DIV/0!</v>
      </c>
      <c r="AE66" s="136"/>
      <c r="AF66" s="131" t="str">
        <f t="shared" si="33"/>
        <v>#DIV/0!</v>
      </c>
      <c r="AG66" s="131"/>
    </row>
    <row r="67">
      <c r="P67" s="93"/>
      <c r="Q67" s="123" t="s">
        <v>4075</v>
      </c>
      <c r="R67" s="124">
        <v>0.0</v>
      </c>
      <c r="S67" s="139">
        <f>COUNTIFS(US!$A:$A, "&gt;=" &amp; DATE(YEAR(TODAY()),7,1), US!$A:$A, "&lt;=" &amp; EOMONTH(DATE(YEAR(TODAY()),7,1), 0))</f>
        <v>19</v>
      </c>
      <c r="T67" s="139">
        <f>COUNTIFS(US!$A:$A, "&gt;=" &amp; DATE(YEAR(TODAY()),7,1), US!$A:$A, "&lt;=" &amp; EOMONTH(DATE(YEAR(TODAY()),7,1), 0), US!$H:$H, "Booket til time")</f>
        <v>13</v>
      </c>
      <c r="U67" s="126">
        <f t="shared" si="27"/>
        <v>0</v>
      </c>
      <c r="V67" s="126">
        <f t="shared" si="28"/>
        <v>0</v>
      </c>
      <c r="W67" s="140" t="str">
        <f>$B$136</f>
        <v>#DIV/0!</v>
      </c>
      <c r="X67" s="126">
        <f t="shared" si="29"/>
        <v>15140</v>
      </c>
      <c r="Y67" s="126">
        <f t="shared" si="30"/>
        <v>33470</v>
      </c>
      <c r="Z67" s="128" t="str">
        <f>$F$127</f>
        <v>#DIV/0!</v>
      </c>
      <c r="AA67" s="129">
        <f t="shared" si="31"/>
        <v>7670</v>
      </c>
      <c r="AB67" s="141">
        <f>COUNTIFS(US!$A:$A, "&gt;=" &amp; DATE(YEAR(TODAY()),7,1), US!$A:$A, "&lt;=" &amp; EOMONTH(DATE(YEAR(TODAY()),7,1), 0), US!$G:$G, "Ja")</f>
        <v>3</v>
      </c>
      <c r="AC67" s="129">
        <f t="shared" si="32"/>
        <v>7470</v>
      </c>
      <c r="AD67" s="131">
        <f t="shared" si="35"/>
        <v>0.1578947368</v>
      </c>
      <c r="AE67" s="136"/>
      <c r="AF67" s="131" t="str">
        <f t="shared" si="33"/>
        <v>#DIV/0!</v>
      </c>
      <c r="AG67" s="131"/>
    </row>
    <row r="68">
      <c r="P68" s="93"/>
      <c r="Q68" s="123" t="s">
        <v>42</v>
      </c>
      <c r="R68" s="124">
        <v>0.0</v>
      </c>
      <c r="S68" s="139">
        <f>COUNTIFS(US!$A:$A, "&gt;=" &amp; DATE(YEAR(TODAY()),8,1), US!$A:$A, "&lt;=" &amp; EOMONTH(DATE(YEAR(TODAY()),8,1), 0))</f>
        <v>0</v>
      </c>
      <c r="T68" s="139">
        <f>COUNTIFS(US!$A:$A, "&gt;=" &amp; DATE(YEAR(TODAY()),8,1), US!$A:$A, "&lt;=" &amp; EOMONTH(DATE(YEAR(TODAY()),8,1), 0), US!$H:$H, "Booket til time")</f>
        <v>0</v>
      </c>
      <c r="U68" s="126" t="str">
        <f t="shared" si="27"/>
        <v>#DIV/0!</v>
      </c>
      <c r="V68" s="126" t="str">
        <f t="shared" si="28"/>
        <v>#DIV/0!</v>
      </c>
      <c r="W68" s="140" t="str">
        <f>$H$136</f>
        <v>#DIV/0!</v>
      </c>
      <c r="X68" s="126">
        <f t="shared" si="29"/>
        <v>0</v>
      </c>
      <c r="Y68" s="126">
        <f t="shared" si="30"/>
        <v>0</v>
      </c>
      <c r="Z68" s="128" t="str">
        <f>$L$127</f>
        <v>#DIV/0!</v>
      </c>
      <c r="AA68" s="129">
        <f t="shared" si="31"/>
        <v>0</v>
      </c>
      <c r="AB68" s="141">
        <f>COUNTIFS(US!$A:$A, "&gt;=" &amp; DATE(YEAR(TODAY()),8,1), US!$A:$A, "&lt;=" &amp; EOMONTH(DATE(YEAR(TODAY()),8,1), 0), US!$G:$G, "Ja")</f>
        <v>0</v>
      </c>
      <c r="AC68" s="129">
        <f t="shared" si="32"/>
        <v>0</v>
      </c>
      <c r="AD68" s="131" t="str">
        <f t="shared" si="35"/>
        <v>#DIV/0!</v>
      </c>
      <c r="AE68" s="136"/>
      <c r="AF68" s="131" t="str">
        <f t="shared" si="33"/>
        <v>#DIV/0!</v>
      </c>
      <c r="AG68" s="131"/>
    </row>
    <row r="69">
      <c r="P69" s="93"/>
      <c r="Q69" s="123" t="s">
        <v>4076</v>
      </c>
      <c r="R69" s="124">
        <v>0.0</v>
      </c>
      <c r="S69" s="139">
        <f>COUNTIFS(US!$A:$A, "&gt;=" &amp; DATE(YEAR(TODAY()),9,1), US!$A:$A, "&lt;=" &amp; EOMONTH(DATE(YEAR(TODAY()),9,1), 0))</f>
        <v>0</v>
      </c>
      <c r="T69" s="139">
        <f>COUNTIFS(US!$A:$A, "&gt;=" &amp; DATE(YEAR(TODAY()),9,1), US!$A:$A, "&lt;=" &amp; EOMONTH(DATE(YEAR(TODAY()),9,1), 0), US!$H:$H, "Booket til time")</f>
        <v>0</v>
      </c>
      <c r="U69" s="126" t="str">
        <f t="shared" si="27"/>
        <v>#DIV/0!</v>
      </c>
      <c r="V69" s="126" t="str">
        <f t="shared" si="28"/>
        <v>#DIV/0!</v>
      </c>
      <c r="W69" s="140" t="str">
        <f>$B$152</f>
        <v>#DIV/0!</v>
      </c>
      <c r="X69" s="126">
        <f t="shared" si="29"/>
        <v>0</v>
      </c>
      <c r="Y69" s="126">
        <f t="shared" si="30"/>
        <v>0</v>
      </c>
      <c r="Z69" s="128" t="str">
        <f>$F$143</f>
        <v>#DIV/0!</v>
      </c>
      <c r="AA69" s="129">
        <f t="shared" si="31"/>
        <v>0</v>
      </c>
      <c r="AB69" s="141">
        <f>COUNTIFS(US!$A:$A, "&gt;=" &amp; DATE(YEAR(TODAY()),9,1), US!$A:$A, "&lt;=" &amp; EOMONTH(DATE(YEAR(TODAY()),9,1), 0), US!$G:$G, "Ja")</f>
        <v>0</v>
      </c>
      <c r="AC69" s="129">
        <f t="shared" si="32"/>
        <v>0</v>
      </c>
      <c r="AD69" s="131" t="str">
        <f t="shared" si="35"/>
        <v>#DIV/0!</v>
      </c>
      <c r="AE69" s="136"/>
      <c r="AF69" s="131" t="str">
        <f t="shared" si="33"/>
        <v>#DIV/0!</v>
      </c>
      <c r="AG69" s="131"/>
    </row>
    <row r="70">
      <c r="P70" s="93"/>
      <c r="Q70" s="123" t="s">
        <v>4077</v>
      </c>
      <c r="R70" s="124">
        <v>0.0</v>
      </c>
      <c r="S70" s="139">
        <f>COUNTIFS(US!$A:$A, "&gt;=" &amp; DATE(YEAR(TODAY()),10,1), US!$A:$A, "&lt;=" &amp; EOMONTH(DATE(YEAR(TODAY()),10,1), 0))</f>
        <v>0</v>
      </c>
      <c r="T70" s="139">
        <f>COUNTIFS(US!$A:$A, "&gt;=" &amp; DATE(YEAR(TODAY()),10,1), US!$A:$A, "&lt;=" &amp; EOMONTH(DATE(YEAR(TODAY()),10,1), 0), US!$H:$H, "Booket til time")</f>
        <v>0</v>
      </c>
      <c r="U70" s="126" t="str">
        <f t="shared" si="27"/>
        <v>#DIV/0!</v>
      </c>
      <c r="V70" s="126" t="str">
        <f t="shared" si="28"/>
        <v>#DIV/0!</v>
      </c>
      <c r="W70" s="140">
        <f>$H$152</f>
        <v>0</v>
      </c>
      <c r="X70" s="126">
        <f t="shared" si="29"/>
        <v>0</v>
      </c>
      <c r="Y70" s="126">
        <f t="shared" si="30"/>
        <v>0</v>
      </c>
      <c r="Z70" s="128" t="str">
        <f>$L$143</f>
        <v>#DIV/0!</v>
      </c>
      <c r="AA70" s="129">
        <f t="shared" si="31"/>
        <v>0</v>
      </c>
      <c r="AB70" s="141">
        <f>COUNTIFS(US!$A:$A, "&gt;=" &amp; DATE(YEAR(TODAY()),10,1), US!$A:$A, "&lt;=" &amp; EOMONTH(DATE(YEAR(TODAY()),10,1), 0), US!$G:$G, "Ja")</f>
        <v>0</v>
      </c>
      <c r="AC70" s="129">
        <f t="shared" si="32"/>
        <v>0</v>
      </c>
      <c r="AD70" s="131" t="str">
        <f t="shared" si="35"/>
        <v>#DIV/0!</v>
      </c>
      <c r="AE70" s="136"/>
      <c r="AF70" s="131" t="str">
        <f t="shared" si="33"/>
        <v>#DIV/0!</v>
      </c>
      <c r="AG70" s="131"/>
    </row>
    <row r="71">
      <c r="P71" s="93"/>
      <c r="Q71" s="123" t="s">
        <v>4078</v>
      </c>
      <c r="R71" s="124">
        <v>0.0</v>
      </c>
      <c r="S71" s="139">
        <f>COUNTIFS(US!$A:$A, "&gt;=" &amp; DATE(YEAR(TODAY()),11,1), US!$A:$A, "&lt;=" &amp; EOMONTH(DATE(YEAR(TODAY()),11,1), 0))</f>
        <v>0</v>
      </c>
      <c r="T71" s="139">
        <f>COUNTIFS(US!$A:$A, "&gt;=" &amp; DATE(YEAR(TODAY()),11,1), US!$A:$A, "&lt;=" &amp; EOMONTH(DATE(YEAR(TODAY()),11,1), 0), US!$H:$H, "Booket til time")</f>
        <v>0</v>
      </c>
      <c r="U71" s="126" t="str">
        <f t="shared" si="27"/>
        <v>#DIV/0!</v>
      </c>
      <c r="V71" s="126" t="str">
        <f t="shared" si="28"/>
        <v>#DIV/0!</v>
      </c>
      <c r="W71" s="140" t="str">
        <f>$B$168</f>
        <v>#DIV/0!</v>
      </c>
      <c r="X71" s="126">
        <f t="shared" si="29"/>
        <v>0</v>
      </c>
      <c r="Y71" s="126">
        <f t="shared" si="30"/>
        <v>0</v>
      </c>
      <c r="Z71" s="128" t="str">
        <f>$F$159</f>
        <v>#DIV/0!</v>
      </c>
      <c r="AA71" s="129">
        <f t="shared" si="31"/>
        <v>0</v>
      </c>
      <c r="AB71" s="141">
        <f>COUNTIFS(US!$A:$A, "&gt;=" &amp; DATE(YEAR(TODAY()),11,1), US!$A:$A, "&lt;=" &amp; EOMONTH(DATE(YEAR(TODAY()),11,1), 0), US!$G:$G, "Ja")</f>
        <v>0</v>
      </c>
      <c r="AC71" s="129">
        <f t="shared" si="32"/>
        <v>0</v>
      </c>
      <c r="AD71" s="131" t="str">
        <f t="shared" si="35"/>
        <v>#DIV/0!</v>
      </c>
      <c r="AE71" s="136"/>
      <c r="AF71" s="131" t="str">
        <f t="shared" si="33"/>
        <v>#DIV/0!</v>
      </c>
      <c r="AG71" s="131"/>
    </row>
    <row r="72">
      <c r="P72" s="93"/>
      <c r="Q72" s="123" t="s">
        <v>4079</v>
      </c>
      <c r="R72" s="124">
        <v>0.0</v>
      </c>
      <c r="S72" s="139">
        <f>COUNTIFS(US!$A:$A, "&gt;=" &amp; DATE(YEAR(TODAY()),12,1), US!$A:$A, "&lt;=" &amp; EOMONTH(DATE(YEAR(TODAY()),12,1), 0))</f>
        <v>0</v>
      </c>
      <c r="T72" s="139">
        <f>COUNTIFS(US!$A:$A, "&gt;=" &amp; DATE(YEAR(TODAY()),12,1), US!$A:$A, "&lt;=" &amp; EOMONTH(DATE(YEAR(TODAY()),12,1), 0), US!$H:$H, "Booket til time")</f>
        <v>0</v>
      </c>
      <c r="U72" s="126" t="str">
        <f t="shared" si="27"/>
        <v>#DIV/0!</v>
      </c>
      <c r="V72" s="126" t="str">
        <f t="shared" si="28"/>
        <v>#DIV/0!</v>
      </c>
      <c r="W72" s="140" t="str">
        <f>$H$168</f>
        <v>#DIV/0!</v>
      </c>
      <c r="X72" s="126">
        <f t="shared" si="29"/>
        <v>0</v>
      </c>
      <c r="Y72" s="126">
        <f t="shared" si="30"/>
        <v>0</v>
      </c>
      <c r="Z72" s="128" t="str">
        <f>$L$159</f>
        <v>#DIV/0!</v>
      </c>
      <c r="AA72" s="129">
        <f t="shared" si="31"/>
        <v>0</v>
      </c>
      <c r="AB72" s="141">
        <f>COUNTIFS(US!$A:$A, "&gt;=" &amp; DATE(YEAR(TODAY()),12,1), US!$A:$A, "&lt;=" &amp; EOMONTH(DATE(YEAR(TODAY()),12,1), 0), US!$G:$G, "Ja")</f>
        <v>0</v>
      </c>
      <c r="AC72" s="129">
        <f t="shared" si="32"/>
        <v>0</v>
      </c>
      <c r="AD72" s="131" t="str">
        <f t="shared" si="35"/>
        <v>#DIV/0!</v>
      </c>
      <c r="AE72" s="136"/>
      <c r="AF72" s="131" t="str">
        <f t="shared" si="33"/>
        <v>#DIV/0!</v>
      </c>
      <c r="AG72" s="131"/>
    </row>
    <row r="73">
      <c r="F73" s="144"/>
      <c r="P73" s="93"/>
      <c r="Q73" s="123" t="s">
        <v>4080</v>
      </c>
      <c r="R73" s="134">
        <f t="shared" ref="R73:T73" si="36">SUM(R61:R72)</f>
        <v>0</v>
      </c>
      <c r="S73" s="123">
        <f t="shared" si="36"/>
        <v>19</v>
      </c>
      <c r="T73" s="123">
        <f t="shared" si="36"/>
        <v>13</v>
      </c>
      <c r="U73" s="134">
        <f t="shared" si="27"/>
        <v>0</v>
      </c>
      <c r="V73" s="134">
        <f t="shared" si="28"/>
        <v>0</v>
      </c>
      <c r="W73" s="142" t="str">
        <f>Y73/R73</f>
        <v>#DIV/0!</v>
      </c>
      <c r="X73" s="134">
        <f t="shared" ref="X73:Y73" si="37">SUM(X61:X72)</f>
        <v>15140</v>
      </c>
      <c r="Y73" s="134">
        <f t="shared" si="37"/>
        <v>33470</v>
      </c>
      <c r="Z73" s="135">
        <f>T73/S73</f>
        <v>0.6842105263</v>
      </c>
      <c r="AA73" s="134">
        <f t="shared" ref="AA73:AC73" si="38">SUM(AA61:AA72)</f>
        <v>7670</v>
      </c>
      <c r="AB73" s="123">
        <f t="shared" si="38"/>
        <v>3</v>
      </c>
      <c r="AC73" s="134">
        <f t="shared" si="38"/>
        <v>7470</v>
      </c>
      <c r="AD73" s="143">
        <f t="shared" si="35"/>
        <v>0.1578947368</v>
      </c>
      <c r="AE73" s="123">
        <f>SUM(AE61:AE72)</f>
        <v>123</v>
      </c>
      <c r="AF73" s="135">
        <f t="shared" si="33"/>
        <v>0.1544715447</v>
      </c>
      <c r="AG73" s="94"/>
    </row>
    <row r="74"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4"/>
      <c r="AE74" s="94"/>
      <c r="AF74" s="94"/>
      <c r="AG74" s="94"/>
    </row>
    <row r="75"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4"/>
      <c r="AE75" s="94"/>
      <c r="AF75" s="94"/>
      <c r="AG75" s="94"/>
    </row>
    <row r="76">
      <c r="A76" s="95"/>
      <c r="B76" s="96" t="s">
        <v>4089</v>
      </c>
      <c r="C76" s="95"/>
      <c r="D76" s="95"/>
      <c r="E76" s="95"/>
      <c r="F76" s="95"/>
      <c r="G76" s="95"/>
      <c r="H76" s="96" t="s">
        <v>4090</v>
      </c>
      <c r="I76" s="95"/>
      <c r="J76" s="95"/>
      <c r="K76" s="95"/>
      <c r="L76" s="95"/>
      <c r="M76" s="95"/>
      <c r="N76" s="95"/>
      <c r="O76" s="95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4"/>
      <c r="AE76" s="94"/>
      <c r="AF76" s="94"/>
      <c r="AG76" s="94"/>
    </row>
    <row r="77">
      <c r="A77" s="95"/>
      <c r="B77" s="98"/>
      <c r="C77" s="95"/>
      <c r="D77" s="145"/>
      <c r="E77" s="95"/>
      <c r="F77" s="145"/>
      <c r="G77" s="95"/>
      <c r="H77" s="98"/>
      <c r="I77" s="95"/>
      <c r="J77" s="98"/>
      <c r="K77" s="95"/>
      <c r="L77" s="98"/>
      <c r="M77" s="95"/>
      <c r="N77" s="95"/>
      <c r="O77" s="95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4"/>
      <c r="AE77" s="94"/>
      <c r="AF77" s="94"/>
      <c r="AG77" s="94"/>
    </row>
    <row r="78">
      <c r="A78" s="99"/>
      <c r="B78" s="100" t="s">
        <v>4051</v>
      </c>
      <c r="C78" s="99"/>
      <c r="D78" s="100" t="s">
        <v>4052</v>
      </c>
      <c r="E78" s="99"/>
      <c r="F78" s="101" t="s">
        <v>4053</v>
      </c>
      <c r="G78" s="99"/>
      <c r="H78" s="100" t="s">
        <v>4051</v>
      </c>
      <c r="I78" s="99"/>
      <c r="J78" s="100" t="s">
        <v>4052</v>
      </c>
      <c r="K78" s="99"/>
      <c r="L78" s="101" t="s">
        <v>4053</v>
      </c>
      <c r="M78" s="95"/>
      <c r="N78" s="95"/>
      <c r="O78" s="95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4"/>
      <c r="AE78" s="94"/>
      <c r="AF78" s="94"/>
      <c r="AG78" s="94"/>
    </row>
    <row r="79" ht="46.5" customHeight="1">
      <c r="A79" s="102"/>
      <c r="B79" s="103" t="str">
        <f>$U$18</f>
        <v>#DIV/0!</v>
      </c>
      <c r="C79" s="104"/>
      <c r="D79" s="105">
        <f>$S$18</f>
        <v>0</v>
      </c>
      <c r="E79" s="104"/>
      <c r="F79" s="106" t="str">
        <f>$Z$18</f>
        <v>#DIV/0!</v>
      </c>
      <c r="G79" s="102"/>
      <c r="H79" s="103" t="str">
        <f>$U$19</f>
        <v>#DIV/0!</v>
      </c>
      <c r="I79" s="104"/>
      <c r="J79" s="146">
        <f>$S$19</f>
        <v>0</v>
      </c>
      <c r="K79" s="104"/>
      <c r="L79" s="106" t="str">
        <f>$Z$19</f>
        <v>#DIV/0!</v>
      </c>
      <c r="M79" s="107"/>
      <c r="N79" s="107"/>
      <c r="O79" s="107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94"/>
      <c r="AE79" s="94"/>
      <c r="AF79" s="94"/>
      <c r="AG79" s="94"/>
    </row>
    <row r="80" ht="11.25" customHeight="1">
      <c r="A80" s="95"/>
      <c r="B80" s="98"/>
      <c r="C80" s="95"/>
      <c r="D80" s="98"/>
      <c r="E80" s="95"/>
      <c r="F80" s="98"/>
      <c r="G80" s="95"/>
      <c r="H80" s="98"/>
      <c r="I80" s="95"/>
      <c r="J80" s="98"/>
      <c r="K80" s="95"/>
      <c r="L80" s="98"/>
      <c r="M80" s="95"/>
      <c r="N80" s="95"/>
      <c r="O80" s="95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4"/>
      <c r="AE80" s="94"/>
      <c r="AF80" s="94"/>
      <c r="AG80" s="94"/>
    </row>
    <row r="81">
      <c r="A81" s="99"/>
      <c r="B81" s="100" t="s">
        <v>4054</v>
      </c>
      <c r="C81" s="99"/>
      <c r="D81" s="109" t="s">
        <v>4055</v>
      </c>
      <c r="E81" s="95"/>
      <c r="F81" s="101" t="s">
        <v>4056</v>
      </c>
      <c r="G81" s="99"/>
      <c r="H81" s="100" t="s">
        <v>4054</v>
      </c>
      <c r="I81" s="99"/>
      <c r="J81" s="109" t="s">
        <v>4055</v>
      </c>
      <c r="K81" s="95"/>
      <c r="L81" s="101" t="s">
        <v>4056</v>
      </c>
      <c r="M81" s="95"/>
      <c r="N81" s="95"/>
      <c r="O81" s="95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4"/>
      <c r="AE81" s="94"/>
      <c r="AF81" s="94"/>
      <c r="AG81" s="94"/>
    </row>
    <row r="82" ht="46.5" customHeight="1">
      <c r="A82" s="102"/>
      <c r="B82" s="103" t="str">
        <f>$V$18</f>
        <v>#DIV/0!</v>
      </c>
      <c r="C82" s="104"/>
      <c r="D82" s="110">
        <f>$T$18</f>
        <v>0</v>
      </c>
      <c r="E82" s="111"/>
      <c r="F82" s="112">
        <f>$AA$18</f>
        <v>0</v>
      </c>
      <c r="G82" s="102"/>
      <c r="H82" s="103" t="str">
        <f>$V$19</f>
        <v>#DIV/0!</v>
      </c>
      <c r="I82" s="104"/>
      <c r="J82" s="147">
        <f>$T$19</f>
        <v>0</v>
      </c>
      <c r="K82" s="111"/>
      <c r="L82" s="112">
        <f>$AA$19</f>
        <v>0</v>
      </c>
      <c r="M82" s="107"/>
      <c r="N82" s="107"/>
      <c r="O82" s="107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94"/>
      <c r="AE82" s="94"/>
      <c r="AF82" s="94"/>
      <c r="AG82" s="94"/>
    </row>
    <row r="83" ht="11.25" customHeight="1">
      <c r="A83" s="95"/>
      <c r="B83" s="98"/>
      <c r="C83" s="95"/>
      <c r="D83" s="95"/>
      <c r="E83" s="95"/>
      <c r="F83" s="95"/>
      <c r="G83" s="95"/>
      <c r="H83" s="98"/>
      <c r="I83" s="95"/>
      <c r="J83" s="95"/>
      <c r="K83" s="95"/>
      <c r="L83" s="95"/>
      <c r="M83" s="95"/>
      <c r="N83" s="95"/>
      <c r="O83" s="95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4"/>
      <c r="AE83" s="94"/>
      <c r="AF83" s="94"/>
      <c r="AG83" s="94"/>
    </row>
    <row r="84">
      <c r="A84" s="99"/>
      <c r="B84" s="101" t="s">
        <v>4057</v>
      </c>
      <c r="C84" s="95"/>
      <c r="D84" s="109" t="s">
        <v>4058</v>
      </c>
      <c r="E84" s="99"/>
      <c r="F84" s="101" t="s">
        <v>4059</v>
      </c>
      <c r="G84" s="99"/>
      <c r="H84" s="101" t="s">
        <v>4057</v>
      </c>
      <c r="I84" s="95"/>
      <c r="J84" s="109" t="s">
        <v>4058</v>
      </c>
      <c r="K84" s="99"/>
      <c r="L84" s="101" t="s">
        <v>4059</v>
      </c>
      <c r="M84" s="95"/>
      <c r="N84" s="95"/>
      <c r="O84" s="95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4"/>
      <c r="AE84" s="94"/>
      <c r="AF84" s="94"/>
      <c r="AG84" s="94"/>
    </row>
    <row r="85" ht="46.5" customHeight="1">
      <c r="A85" s="102"/>
      <c r="B85" s="103">
        <f>$R$18</f>
        <v>0</v>
      </c>
      <c r="C85" s="111"/>
      <c r="D85" s="113">
        <f>$X$18</f>
        <v>0</v>
      </c>
      <c r="E85" s="104"/>
      <c r="F85" s="112">
        <f>$AC$18</f>
        <v>0</v>
      </c>
      <c r="G85" s="102"/>
      <c r="H85" s="103">
        <f>$R$19</f>
        <v>0</v>
      </c>
      <c r="I85" s="111"/>
      <c r="J85" s="113">
        <f>$X$19</f>
        <v>0</v>
      </c>
      <c r="K85" s="104"/>
      <c r="L85" s="112">
        <f>$AC$19</f>
        <v>0</v>
      </c>
      <c r="M85" s="107"/>
      <c r="N85" s="107"/>
      <c r="O85" s="107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94"/>
      <c r="AE85" s="94"/>
      <c r="AF85" s="94"/>
      <c r="AG85" s="94"/>
    </row>
    <row r="86" ht="11.25" customHeight="1">
      <c r="A86" s="95"/>
      <c r="B86" s="96"/>
      <c r="C86" s="95"/>
      <c r="D86" s="95"/>
      <c r="E86" s="95"/>
      <c r="F86" s="114" t="str">
        <f>$AD$18</f>
        <v>#DIV/0!</v>
      </c>
      <c r="G86" s="95"/>
      <c r="H86" s="96"/>
      <c r="I86" s="95"/>
      <c r="J86" s="95"/>
      <c r="K86" s="95"/>
      <c r="L86" s="114" t="str">
        <f>$AD$19</f>
        <v>#DIV/0!</v>
      </c>
      <c r="M86" s="95"/>
      <c r="N86" s="95"/>
      <c r="O86" s="95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4"/>
      <c r="AE86" s="94"/>
      <c r="AF86" s="94"/>
      <c r="AG86" s="94"/>
    </row>
    <row r="87">
      <c r="A87" s="95"/>
      <c r="B87" s="101" t="s">
        <v>4060</v>
      </c>
      <c r="C87" s="95"/>
      <c r="D87" s="109" t="s">
        <v>4061</v>
      </c>
      <c r="E87" s="95"/>
      <c r="F87" s="101" t="s">
        <v>4091</v>
      </c>
      <c r="G87" s="95"/>
      <c r="H87" s="101" t="s">
        <v>4060</v>
      </c>
      <c r="I87" s="95"/>
      <c r="J87" s="109" t="s">
        <v>4061</v>
      </c>
      <c r="K87" s="95"/>
      <c r="L87" s="101" t="s">
        <v>4091</v>
      </c>
      <c r="M87" s="95"/>
      <c r="N87" s="95"/>
      <c r="O87" s="95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4"/>
      <c r="AE87" s="94"/>
      <c r="AF87" s="94"/>
      <c r="AG87" s="94"/>
    </row>
    <row r="88" ht="46.5" customHeight="1">
      <c r="A88" s="95"/>
      <c r="B88" s="115" t="str">
        <f>$W$18</f>
        <v>#DIV/0!</v>
      </c>
      <c r="C88" s="116"/>
      <c r="D88" s="113">
        <f>$Y$18</f>
        <v>0</v>
      </c>
      <c r="E88" s="116"/>
      <c r="F88" s="105">
        <f>COUNTIFS(US!$A:$A, "&gt;=" &amp; DATE(2025,1,1), US!$A:$A, "&lt;=" &amp; DATE(2025,1,31), US!$G:$G, "Ja") </f>
        <v>0</v>
      </c>
      <c r="G88" s="95"/>
      <c r="H88" s="115" t="str">
        <f>$W$19</f>
        <v>#DIV/0!</v>
      </c>
      <c r="I88" s="116"/>
      <c r="J88" s="113">
        <f>$Y$19</f>
        <v>0</v>
      </c>
      <c r="K88" s="116"/>
      <c r="L88" s="146">
        <f>COUNTIFS(US!A:A, "&gt;=" &amp; DATE(2025,2,1), US!A:A, "&lt;=" &amp; DATE(2025,2,28), US!G:G, "Ja") </f>
        <v>0</v>
      </c>
      <c r="M88" s="95"/>
      <c r="N88" s="95"/>
      <c r="O88" s="95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4"/>
      <c r="AE88" s="94"/>
      <c r="AF88" s="94"/>
      <c r="AG88" s="94"/>
    </row>
    <row r="89">
      <c r="A89" s="95"/>
      <c r="B89" s="96"/>
      <c r="C89" s="95"/>
      <c r="D89" s="95"/>
      <c r="E89" s="95"/>
      <c r="F89" s="95"/>
      <c r="G89" s="95"/>
      <c r="H89" s="96"/>
      <c r="I89" s="95"/>
      <c r="J89" s="95"/>
      <c r="K89" s="95"/>
      <c r="L89" s="95"/>
      <c r="M89" s="95"/>
      <c r="N89" s="95"/>
      <c r="O89" s="95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4"/>
      <c r="AE89" s="94"/>
      <c r="AF89" s="94"/>
      <c r="AG89" s="94"/>
    </row>
    <row r="90"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4"/>
      <c r="AE90" s="94"/>
      <c r="AF90" s="94"/>
      <c r="AG90" s="94"/>
    </row>
    <row r="91"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4"/>
      <c r="AE91" s="94"/>
      <c r="AF91" s="94"/>
      <c r="AG91" s="94"/>
    </row>
    <row r="92">
      <c r="A92" s="95"/>
      <c r="B92" s="96" t="s">
        <v>4092</v>
      </c>
      <c r="C92" s="95"/>
      <c r="D92" s="95"/>
      <c r="E92" s="95"/>
      <c r="F92" s="95"/>
      <c r="G92" s="95"/>
      <c r="H92" s="148" t="s">
        <v>4093</v>
      </c>
      <c r="I92" s="95"/>
      <c r="J92" s="95"/>
      <c r="K92" s="95"/>
      <c r="L92" s="95"/>
      <c r="M92" s="95"/>
      <c r="N92" s="95"/>
      <c r="O92" s="95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4"/>
      <c r="AE92" s="94"/>
      <c r="AF92" s="94"/>
      <c r="AG92" s="94"/>
    </row>
    <row r="93">
      <c r="A93" s="95"/>
      <c r="B93" s="98"/>
      <c r="C93" s="95"/>
      <c r="D93" s="98"/>
      <c r="E93" s="95"/>
      <c r="F93" s="98"/>
      <c r="G93" s="95"/>
      <c r="H93" s="98"/>
      <c r="I93" s="95"/>
      <c r="J93" s="98"/>
      <c r="K93" s="95"/>
      <c r="L93" s="98"/>
      <c r="M93" s="95"/>
      <c r="N93" s="95"/>
      <c r="O93" s="95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4"/>
      <c r="AE93" s="94"/>
      <c r="AF93" s="94"/>
      <c r="AG93" s="94"/>
    </row>
    <row r="94">
      <c r="A94" s="99"/>
      <c r="B94" s="100" t="s">
        <v>4051</v>
      </c>
      <c r="C94" s="99"/>
      <c r="D94" s="100" t="s">
        <v>4052</v>
      </c>
      <c r="E94" s="99"/>
      <c r="F94" s="101" t="s">
        <v>4053</v>
      </c>
      <c r="G94" s="99"/>
      <c r="H94" s="100" t="s">
        <v>4051</v>
      </c>
      <c r="I94" s="99"/>
      <c r="J94" s="100" t="s">
        <v>4052</v>
      </c>
      <c r="K94" s="99"/>
      <c r="L94" s="101" t="s">
        <v>4053</v>
      </c>
      <c r="M94" s="95"/>
      <c r="N94" s="95"/>
      <c r="O94" s="95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4"/>
      <c r="AE94" s="94"/>
      <c r="AF94" s="94"/>
      <c r="AG94" s="94"/>
    </row>
    <row r="95" ht="40.5" customHeight="1">
      <c r="A95" s="102"/>
      <c r="B95" s="103" t="str">
        <f>$U$20</f>
        <v>#DIV/0!</v>
      </c>
      <c r="C95" s="104"/>
      <c r="D95" s="146">
        <f>$S$20</f>
        <v>0</v>
      </c>
      <c r="E95" s="104"/>
      <c r="F95" s="106" t="str">
        <f>$Z$20</f>
        <v>#DIV/0!</v>
      </c>
      <c r="G95" s="102"/>
      <c r="H95" s="103" t="str">
        <f>$U$21</f>
        <v>#DIV/0!</v>
      </c>
      <c r="I95" s="104"/>
      <c r="J95" s="146">
        <f>$S$21</f>
        <v>0</v>
      </c>
      <c r="K95" s="104"/>
      <c r="L95" s="106" t="str">
        <f>$Z$21</f>
        <v>#DIV/0!</v>
      </c>
      <c r="M95" s="107"/>
      <c r="N95" s="107"/>
      <c r="O95" s="107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94"/>
      <c r="AE95" s="94"/>
      <c r="AF95" s="94"/>
      <c r="AG95" s="94"/>
    </row>
    <row r="96" ht="11.25" customHeight="1">
      <c r="A96" s="95"/>
      <c r="B96" s="98"/>
      <c r="C96" s="95"/>
      <c r="D96" s="98"/>
      <c r="E96" s="95"/>
      <c r="F96" s="98"/>
      <c r="G96" s="95"/>
      <c r="H96" s="98"/>
      <c r="I96" s="95"/>
      <c r="J96" s="98"/>
      <c r="K96" s="95"/>
      <c r="L96" s="98"/>
      <c r="M96" s="95"/>
      <c r="N96" s="95"/>
      <c r="O96" s="95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4"/>
      <c r="AE96" s="94"/>
      <c r="AF96" s="94"/>
      <c r="AG96" s="94"/>
    </row>
    <row r="97">
      <c r="A97" s="99"/>
      <c r="B97" s="100" t="s">
        <v>4054</v>
      </c>
      <c r="C97" s="99"/>
      <c r="D97" s="109" t="s">
        <v>4055</v>
      </c>
      <c r="E97" s="95"/>
      <c r="F97" s="101" t="s">
        <v>4056</v>
      </c>
      <c r="G97" s="99"/>
      <c r="H97" s="100" t="s">
        <v>4054</v>
      </c>
      <c r="I97" s="99"/>
      <c r="J97" s="109" t="s">
        <v>4055</v>
      </c>
      <c r="K97" s="95"/>
      <c r="L97" s="101" t="s">
        <v>4056</v>
      </c>
      <c r="M97" s="95"/>
      <c r="N97" s="95"/>
      <c r="O97" s="95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4"/>
      <c r="AE97" s="94"/>
      <c r="AF97" s="94"/>
      <c r="AG97" s="94"/>
    </row>
    <row r="98" ht="37.5" customHeight="1">
      <c r="A98" s="102"/>
      <c r="B98" s="103" t="str">
        <f>$V$20</f>
        <v>#DIV/0!</v>
      </c>
      <c r="C98" s="104"/>
      <c r="D98" s="147">
        <f>$T$20</f>
        <v>0</v>
      </c>
      <c r="E98" s="111"/>
      <c r="F98" s="112">
        <f>$AA$20</f>
        <v>0</v>
      </c>
      <c r="G98" s="102"/>
      <c r="H98" s="103" t="str">
        <f>$V$21</f>
        <v>#DIV/0!</v>
      </c>
      <c r="I98" s="104"/>
      <c r="J98" s="147">
        <f>$T$21</f>
        <v>0</v>
      </c>
      <c r="K98" s="111"/>
      <c r="L98" s="112">
        <f>$AA$21</f>
        <v>0</v>
      </c>
      <c r="M98" s="107"/>
      <c r="N98" s="107"/>
      <c r="O98" s="107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94"/>
      <c r="AE98" s="94"/>
      <c r="AF98" s="94"/>
      <c r="AG98" s="94"/>
    </row>
    <row r="99" ht="11.25" customHeight="1">
      <c r="A99" s="95"/>
      <c r="B99" s="98"/>
      <c r="C99" s="95"/>
      <c r="D99" s="95"/>
      <c r="E99" s="95"/>
      <c r="F99" s="95"/>
      <c r="G99" s="95"/>
      <c r="H99" s="98"/>
      <c r="I99" s="95"/>
      <c r="J99" s="95"/>
      <c r="K99" s="95"/>
      <c r="L99" s="95"/>
      <c r="M99" s="95"/>
      <c r="N99" s="95"/>
      <c r="O99" s="95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4"/>
      <c r="AE99" s="94"/>
      <c r="AF99" s="94"/>
      <c r="AG99" s="94"/>
    </row>
    <row r="100">
      <c r="A100" s="99"/>
      <c r="B100" s="101" t="s">
        <v>4057</v>
      </c>
      <c r="C100" s="95"/>
      <c r="D100" s="109" t="s">
        <v>4058</v>
      </c>
      <c r="E100" s="99"/>
      <c r="F100" s="101" t="s">
        <v>4059</v>
      </c>
      <c r="G100" s="99"/>
      <c r="H100" s="101" t="s">
        <v>4057</v>
      </c>
      <c r="I100" s="95"/>
      <c r="J100" s="109" t="s">
        <v>4058</v>
      </c>
      <c r="K100" s="99"/>
      <c r="L100" s="101" t="s">
        <v>4059</v>
      </c>
      <c r="M100" s="95"/>
      <c r="N100" s="95"/>
      <c r="O100" s="95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4"/>
      <c r="AE100" s="94"/>
      <c r="AF100" s="94"/>
      <c r="AG100" s="94"/>
    </row>
    <row r="101" ht="44.25" customHeight="1">
      <c r="A101" s="102"/>
      <c r="B101" s="103">
        <f>$R$20</f>
        <v>0</v>
      </c>
      <c r="C101" s="111"/>
      <c r="D101" s="113">
        <f>$X$20</f>
        <v>0</v>
      </c>
      <c r="E101" s="104"/>
      <c r="F101" s="112">
        <f>$AC$20</f>
        <v>0</v>
      </c>
      <c r="G101" s="102"/>
      <c r="H101" s="103">
        <f>$R$21</f>
        <v>0</v>
      </c>
      <c r="I101" s="111"/>
      <c r="J101" s="113">
        <f>$X$21</f>
        <v>0</v>
      </c>
      <c r="K101" s="104"/>
      <c r="L101" s="112">
        <f>$AC$21</f>
        <v>0</v>
      </c>
      <c r="M101" s="107"/>
      <c r="N101" s="107"/>
      <c r="O101" s="107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94"/>
      <c r="AE101" s="94"/>
      <c r="AF101" s="94"/>
      <c r="AG101" s="94"/>
    </row>
    <row r="102" ht="11.25" customHeight="1">
      <c r="A102" s="95"/>
      <c r="B102" s="96"/>
      <c r="C102" s="95"/>
      <c r="D102" s="95"/>
      <c r="E102" s="95"/>
      <c r="F102" s="114" t="str">
        <f>$AD$47</f>
        <v>#VALUE!</v>
      </c>
      <c r="G102" s="95"/>
      <c r="H102" s="96"/>
      <c r="I102" s="95"/>
      <c r="J102" s="95"/>
      <c r="K102" s="95"/>
      <c r="L102" s="114" t="str">
        <f>$AD$21</f>
        <v>#DIV/0!</v>
      </c>
      <c r="M102" s="95"/>
      <c r="N102" s="95"/>
      <c r="O102" s="95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4"/>
      <c r="AE102" s="94"/>
      <c r="AF102" s="94"/>
      <c r="AG102" s="94"/>
    </row>
    <row r="103">
      <c r="A103" s="95"/>
      <c r="B103" s="101" t="s">
        <v>4060</v>
      </c>
      <c r="C103" s="95"/>
      <c r="D103" s="109" t="s">
        <v>4061</v>
      </c>
      <c r="E103" s="95"/>
      <c r="F103" s="101" t="s">
        <v>4091</v>
      </c>
      <c r="G103" s="95"/>
      <c r="H103" s="101" t="s">
        <v>4060</v>
      </c>
      <c r="I103" s="95"/>
      <c r="J103" s="109" t="s">
        <v>4061</v>
      </c>
      <c r="K103" s="95"/>
      <c r="L103" s="101" t="s">
        <v>4091</v>
      </c>
      <c r="M103" s="95"/>
      <c r="N103" s="95"/>
      <c r="O103" s="95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4"/>
      <c r="AE103" s="94"/>
      <c r="AF103" s="94"/>
      <c r="AG103" s="94"/>
    </row>
    <row r="104" ht="42.75" customHeight="1">
      <c r="A104" s="95"/>
      <c r="B104" s="115" t="str">
        <f>$W$20</f>
        <v>#DIV/0!</v>
      </c>
      <c r="C104" s="116"/>
      <c r="D104" s="113">
        <f>$Y$20</f>
        <v>0</v>
      </c>
      <c r="E104" s="116"/>
      <c r="F104" s="105">
        <f>COUNTIFS(US!A:A, "&gt;=" &amp; DATE(2025,3,1), US!A:A, "&lt;=" &amp; DATE(2025,3,31), US!G:G, "Ja")</f>
        <v>0</v>
      </c>
      <c r="G104" s="95"/>
      <c r="H104" s="115" t="str">
        <f>$W$21</f>
        <v>#DIV/0!</v>
      </c>
      <c r="I104" s="116"/>
      <c r="J104" s="113">
        <f>$Y$21</f>
        <v>0</v>
      </c>
      <c r="K104" s="116"/>
      <c r="L104" s="146">
        <f>$AB$21</f>
        <v>0</v>
      </c>
      <c r="M104" s="95"/>
      <c r="N104" s="95"/>
      <c r="O104" s="95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4"/>
      <c r="AE104" s="94"/>
      <c r="AF104" s="94"/>
      <c r="AG104" s="94"/>
    </row>
    <row r="105">
      <c r="A105" s="95"/>
      <c r="B105" s="96"/>
      <c r="C105" s="95"/>
      <c r="D105" s="95"/>
      <c r="E105" s="95"/>
      <c r="F105" s="95"/>
      <c r="G105" s="95"/>
      <c r="H105" s="149"/>
      <c r="I105" s="95"/>
      <c r="J105" s="95"/>
      <c r="K105" s="95"/>
      <c r="L105" s="95"/>
      <c r="M105" s="95"/>
      <c r="N105" s="95"/>
      <c r="O105" s="95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4"/>
      <c r="AE105" s="94"/>
      <c r="AF105" s="94"/>
      <c r="AG105" s="94"/>
    </row>
    <row r="106">
      <c r="A106" s="95"/>
      <c r="B106" s="96"/>
      <c r="C106" s="95"/>
      <c r="D106" s="95"/>
      <c r="E106" s="95"/>
      <c r="F106" s="95"/>
      <c r="G106" s="95"/>
      <c r="H106" s="149"/>
      <c r="I106" s="95"/>
      <c r="J106" s="95"/>
      <c r="K106" s="95"/>
      <c r="L106" s="95"/>
      <c r="M106" s="95"/>
      <c r="N106" s="95"/>
      <c r="O106" s="95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4"/>
      <c r="AE106" s="94"/>
      <c r="AF106" s="94"/>
      <c r="AG106" s="94"/>
    </row>
    <row r="107">
      <c r="A107" s="95"/>
      <c r="B107" s="96"/>
      <c r="C107" s="95"/>
      <c r="D107" s="95"/>
      <c r="E107" s="95"/>
      <c r="F107" s="95"/>
      <c r="G107" s="95"/>
      <c r="H107" s="149"/>
      <c r="I107" s="95"/>
      <c r="J107" s="95"/>
      <c r="K107" s="95"/>
      <c r="L107" s="95"/>
      <c r="M107" s="95"/>
      <c r="N107" s="95"/>
      <c r="O107" s="95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4"/>
      <c r="AE107" s="94"/>
      <c r="AF107" s="94"/>
      <c r="AG107" s="94"/>
    </row>
    <row r="108">
      <c r="A108" s="95"/>
      <c r="B108" s="96" t="s">
        <v>4094</v>
      </c>
      <c r="C108" s="95"/>
      <c r="D108" s="95"/>
      <c r="E108" s="95"/>
      <c r="F108" s="95"/>
      <c r="G108" s="95"/>
      <c r="H108" s="149" t="s">
        <v>4095</v>
      </c>
      <c r="I108" s="95"/>
      <c r="J108" s="95"/>
      <c r="K108" s="95"/>
      <c r="L108" s="95"/>
      <c r="M108" s="95"/>
      <c r="N108" s="95"/>
      <c r="O108" s="95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4"/>
      <c r="AE108" s="94"/>
      <c r="AF108" s="94"/>
      <c r="AG108" s="94"/>
    </row>
    <row r="109">
      <c r="A109" s="95"/>
      <c r="B109" s="98"/>
      <c r="C109" s="95"/>
      <c r="D109" s="98"/>
      <c r="E109" s="95"/>
      <c r="F109" s="98"/>
      <c r="G109" s="95"/>
      <c r="H109" s="98"/>
      <c r="I109" s="95"/>
      <c r="J109" s="98"/>
      <c r="K109" s="95"/>
      <c r="L109" s="98"/>
      <c r="M109" s="95"/>
      <c r="N109" s="95"/>
      <c r="O109" s="95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4"/>
      <c r="AE109" s="94"/>
      <c r="AF109" s="94"/>
      <c r="AG109" s="94"/>
    </row>
    <row r="110">
      <c r="A110" s="99"/>
      <c r="B110" s="100" t="s">
        <v>4051</v>
      </c>
      <c r="C110" s="99"/>
      <c r="D110" s="100" t="s">
        <v>4052</v>
      </c>
      <c r="E110" s="99"/>
      <c r="F110" s="101" t="s">
        <v>4053</v>
      </c>
      <c r="G110" s="99"/>
      <c r="H110" s="100" t="s">
        <v>4051</v>
      </c>
      <c r="I110" s="99"/>
      <c r="J110" s="100" t="s">
        <v>4052</v>
      </c>
      <c r="K110" s="99"/>
      <c r="L110" s="101" t="s">
        <v>4053</v>
      </c>
      <c r="M110" s="95"/>
      <c r="N110" s="95"/>
      <c r="O110" s="95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4"/>
      <c r="AE110" s="94"/>
      <c r="AF110" s="94"/>
      <c r="AG110" s="94"/>
    </row>
    <row r="111" ht="40.5" customHeight="1">
      <c r="A111" s="102"/>
      <c r="B111" s="103" t="str">
        <f>$U$22</f>
        <v>#DIV/0!</v>
      </c>
      <c r="C111" s="104"/>
      <c r="D111" s="146">
        <f>$S$22</f>
        <v>0</v>
      </c>
      <c r="E111" s="104"/>
      <c r="F111" s="106" t="str">
        <f>$Z$22</f>
        <v>#DIV/0!</v>
      </c>
      <c r="G111" s="102"/>
      <c r="H111" s="103" t="str">
        <f>$U$23</f>
        <v>#DIV/0!</v>
      </c>
      <c r="I111" s="104"/>
      <c r="J111" s="146">
        <f>$S$23</f>
        <v>0</v>
      </c>
      <c r="K111" s="104"/>
      <c r="L111" s="106" t="str">
        <f>$Z$23</f>
        <v>#DIV/0!</v>
      </c>
      <c r="M111" s="107"/>
      <c r="N111" s="107"/>
      <c r="O111" s="107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94"/>
      <c r="AE111" s="94"/>
      <c r="AF111" s="94"/>
      <c r="AG111" s="94"/>
    </row>
    <row r="112" ht="11.25" customHeight="1">
      <c r="A112" s="95"/>
      <c r="B112" s="98"/>
      <c r="C112" s="95"/>
      <c r="D112" s="98"/>
      <c r="E112" s="95"/>
      <c r="F112" s="98"/>
      <c r="G112" s="95"/>
      <c r="H112" s="98"/>
      <c r="I112" s="95"/>
      <c r="J112" s="98"/>
      <c r="K112" s="95"/>
      <c r="L112" s="98"/>
      <c r="M112" s="95"/>
      <c r="N112" s="95"/>
      <c r="O112" s="95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4"/>
      <c r="AE112" s="94"/>
      <c r="AF112" s="94"/>
      <c r="AG112" s="94"/>
    </row>
    <row r="113">
      <c r="A113" s="99"/>
      <c r="B113" s="100" t="s">
        <v>4054</v>
      </c>
      <c r="C113" s="99"/>
      <c r="D113" s="109" t="s">
        <v>4055</v>
      </c>
      <c r="E113" s="95"/>
      <c r="F113" s="101" t="s">
        <v>4056</v>
      </c>
      <c r="G113" s="99"/>
      <c r="H113" s="100" t="s">
        <v>4054</v>
      </c>
      <c r="I113" s="99"/>
      <c r="J113" s="109" t="s">
        <v>4055</v>
      </c>
      <c r="K113" s="95"/>
      <c r="L113" s="101" t="s">
        <v>4056</v>
      </c>
      <c r="M113" s="95"/>
      <c r="N113" s="95"/>
      <c r="O113" s="95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4"/>
      <c r="AE113" s="94"/>
      <c r="AF113" s="94"/>
      <c r="AG113" s="94"/>
    </row>
    <row r="114" ht="37.5" customHeight="1">
      <c r="A114" s="102"/>
      <c r="B114" s="103" t="str">
        <f>$V$22</f>
        <v>#DIV/0!</v>
      </c>
      <c r="C114" s="104"/>
      <c r="D114" s="147">
        <f>$T$22</f>
        <v>0</v>
      </c>
      <c r="E114" s="111"/>
      <c r="F114" s="112">
        <f>$AA$22</f>
        <v>0</v>
      </c>
      <c r="G114" s="102"/>
      <c r="H114" s="103" t="str">
        <f>$V$23</f>
        <v>#DIV/0!</v>
      </c>
      <c r="I114" s="104"/>
      <c r="J114" s="147">
        <f>$T$23</f>
        <v>0</v>
      </c>
      <c r="K114" s="111"/>
      <c r="L114" s="112">
        <f>$AA$23</f>
        <v>0</v>
      </c>
      <c r="M114" s="107"/>
      <c r="N114" s="107"/>
      <c r="O114" s="107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94"/>
      <c r="AE114" s="94"/>
      <c r="AF114" s="94"/>
      <c r="AG114" s="94"/>
    </row>
    <row r="115" ht="11.25" customHeight="1">
      <c r="A115" s="95"/>
      <c r="B115" s="98"/>
      <c r="C115" s="95"/>
      <c r="D115" s="95"/>
      <c r="E115" s="95"/>
      <c r="F115" s="95"/>
      <c r="G115" s="95"/>
      <c r="H115" s="98"/>
      <c r="I115" s="95"/>
      <c r="J115" s="95"/>
      <c r="K115" s="95"/>
      <c r="L115" s="95"/>
      <c r="M115" s="95"/>
      <c r="N115" s="95"/>
      <c r="O115" s="95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4"/>
      <c r="AE115" s="94"/>
      <c r="AF115" s="94"/>
      <c r="AG115" s="94"/>
    </row>
    <row r="116">
      <c r="A116" s="99"/>
      <c r="B116" s="101" t="s">
        <v>4057</v>
      </c>
      <c r="C116" s="95"/>
      <c r="D116" s="109" t="s">
        <v>4058</v>
      </c>
      <c r="E116" s="99"/>
      <c r="F116" s="101" t="s">
        <v>4059</v>
      </c>
      <c r="G116" s="99"/>
      <c r="H116" s="101" t="s">
        <v>4057</v>
      </c>
      <c r="I116" s="95"/>
      <c r="J116" s="109" t="s">
        <v>4058</v>
      </c>
      <c r="K116" s="99"/>
      <c r="L116" s="101" t="s">
        <v>4059</v>
      </c>
      <c r="M116" s="95"/>
      <c r="N116" s="95"/>
      <c r="O116" s="95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4"/>
      <c r="AE116" s="94"/>
      <c r="AF116" s="94"/>
      <c r="AG116" s="94"/>
    </row>
    <row r="117" ht="44.25" customHeight="1">
      <c r="A117" s="102"/>
      <c r="B117" s="103">
        <f>$R$22</f>
        <v>0</v>
      </c>
      <c r="C117" s="111"/>
      <c r="D117" s="113">
        <f>$X$22</f>
        <v>0</v>
      </c>
      <c r="E117" s="104"/>
      <c r="F117" s="112">
        <f>$AC$22</f>
        <v>0</v>
      </c>
      <c r="G117" s="102"/>
      <c r="H117" s="103">
        <f>$R$23</f>
        <v>0</v>
      </c>
      <c r="I117" s="111"/>
      <c r="J117" s="113">
        <f>$X$23</f>
        <v>0</v>
      </c>
      <c r="K117" s="104"/>
      <c r="L117" s="112">
        <f>$AC$23</f>
        <v>0</v>
      </c>
      <c r="M117" s="107"/>
      <c r="N117" s="107"/>
      <c r="O117" s="107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94"/>
      <c r="AE117" s="94"/>
      <c r="AF117" s="94"/>
      <c r="AG117" s="94"/>
    </row>
    <row r="118" ht="11.25" customHeight="1">
      <c r="A118" s="95"/>
      <c r="B118" s="96"/>
      <c r="C118" s="95"/>
      <c r="D118" s="95"/>
      <c r="E118" s="95"/>
      <c r="F118" s="114" t="str">
        <f>$AD$22</f>
        <v>#DIV/0!</v>
      </c>
      <c r="G118" s="95"/>
      <c r="H118" s="96"/>
      <c r="I118" s="95"/>
      <c r="J118" s="95"/>
      <c r="K118" s="95"/>
      <c r="L118" s="114" t="str">
        <f>$AD$23</f>
        <v>#DIV/0!</v>
      </c>
      <c r="M118" s="95"/>
      <c r="N118" s="95"/>
      <c r="O118" s="95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4"/>
      <c r="AE118" s="94"/>
      <c r="AF118" s="94"/>
      <c r="AG118" s="94"/>
    </row>
    <row r="119">
      <c r="A119" s="95"/>
      <c r="B119" s="101" t="s">
        <v>4060</v>
      </c>
      <c r="C119" s="95"/>
      <c r="D119" s="109" t="s">
        <v>4061</v>
      </c>
      <c r="E119" s="95"/>
      <c r="F119" s="101" t="s">
        <v>4091</v>
      </c>
      <c r="G119" s="95"/>
      <c r="H119" s="101" t="s">
        <v>4060</v>
      </c>
      <c r="I119" s="95"/>
      <c r="J119" s="109" t="s">
        <v>4061</v>
      </c>
      <c r="K119" s="95"/>
      <c r="L119" s="101" t="s">
        <v>4091</v>
      </c>
      <c r="M119" s="95"/>
      <c r="N119" s="95"/>
      <c r="O119" s="95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4"/>
      <c r="AE119" s="94"/>
      <c r="AF119" s="94"/>
      <c r="AG119" s="94"/>
    </row>
    <row r="120" ht="42.75" customHeight="1">
      <c r="A120" s="95"/>
      <c r="B120" s="115" t="str">
        <f>$W$22</f>
        <v>#DIV/0!</v>
      </c>
      <c r="C120" s="116"/>
      <c r="D120" s="113">
        <f>$Y$22</f>
        <v>0</v>
      </c>
      <c r="E120" s="116"/>
      <c r="F120" s="105">
        <f>$AB$22</f>
        <v>0</v>
      </c>
      <c r="G120" s="95"/>
      <c r="H120" s="115" t="str">
        <f>$W$23</f>
        <v>#DIV/0!</v>
      </c>
      <c r="I120" s="116"/>
      <c r="J120" s="113">
        <f>$Y$23</f>
        <v>0</v>
      </c>
      <c r="K120" s="116"/>
      <c r="L120" s="146">
        <f>$AB$23</f>
        <v>0</v>
      </c>
      <c r="M120" s="95"/>
      <c r="N120" s="95"/>
      <c r="O120" s="95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4"/>
      <c r="AE120" s="94"/>
      <c r="AF120" s="94"/>
      <c r="AG120" s="94"/>
    </row>
    <row r="121">
      <c r="A121" s="95"/>
      <c r="B121" s="96"/>
      <c r="C121" s="95"/>
      <c r="D121" s="95"/>
      <c r="E121" s="95"/>
      <c r="F121" s="95"/>
      <c r="G121" s="95"/>
      <c r="H121" s="150"/>
      <c r="I121" s="95"/>
      <c r="J121" s="95"/>
      <c r="K121" s="95"/>
      <c r="L121" s="95"/>
      <c r="M121" s="95"/>
      <c r="N121" s="95"/>
      <c r="O121" s="95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4"/>
      <c r="AE121" s="94"/>
      <c r="AF121" s="94"/>
      <c r="AG121" s="94"/>
    </row>
    <row r="122">
      <c r="A122" s="95"/>
      <c r="B122" s="96"/>
      <c r="C122" s="95"/>
      <c r="D122" s="95"/>
      <c r="E122" s="95"/>
      <c r="F122" s="95"/>
      <c r="G122" s="95"/>
      <c r="H122" s="150"/>
      <c r="I122" s="95"/>
      <c r="J122" s="95"/>
      <c r="K122" s="95"/>
      <c r="L122" s="95"/>
      <c r="M122" s="95"/>
      <c r="N122" s="95"/>
      <c r="O122" s="95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4"/>
      <c r="AE122" s="94"/>
      <c r="AF122" s="94"/>
      <c r="AG122" s="94"/>
    </row>
    <row r="123">
      <c r="A123" s="95"/>
      <c r="B123" s="96"/>
      <c r="C123" s="95"/>
      <c r="D123" s="95"/>
      <c r="E123" s="95"/>
      <c r="F123" s="95"/>
      <c r="G123" s="95"/>
      <c r="H123" s="150"/>
      <c r="I123" s="95"/>
      <c r="J123" s="95"/>
      <c r="K123" s="95"/>
      <c r="L123" s="95"/>
      <c r="M123" s="95"/>
      <c r="N123" s="95"/>
      <c r="O123" s="95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4"/>
      <c r="AE123" s="94"/>
      <c r="AF123" s="94"/>
      <c r="AG123" s="94"/>
    </row>
    <row r="124">
      <c r="A124" s="95"/>
      <c r="B124" s="96" t="s">
        <v>4096</v>
      </c>
      <c r="C124" s="95"/>
      <c r="D124" s="95"/>
      <c r="E124" s="95"/>
      <c r="F124" s="95"/>
      <c r="G124" s="95"/>
      <c r="H124" s="150">
        <v>45870.0</v>
      </c>
      <c r="I124" s="95"/>
      <c r="J124" s="95"/>
      <c r="K124" s="95"/>
      <c r="L124" s="95"/>
      <c r="M124" s="95"/>
      <c r="N124" s="95"/>
      <c r="O124" s="95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4"/>
      <c r="AE124" s="94"/>
      <c r="AF124" s="94"/>
      <c r="AG124" s="94"/>
    </row>
    <row r="125">
      <c r="A125" s="95"/>
      <c r="B125" s="98"/>
      <c r="C125" s="95"/>
      <c r="D125" s="98"/>
      <c r="E125" s="95"/>
      <c r="F125" s="98"/>
      <c r="G125" s="95"/>
      <c r="H125" s="98"/>
      <c r="I125" s="95"/>
      <c r="J125" s="98"/>
      <c r="K125" s="95"/>
      <c r="L125" s="98"/>
      <c r="M125" s="95"/>
      <c r="N125" s="95"/>
      <c r="O125" s="95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4"/>
      <c r="AE125" s="94"/>
      <c r="AF125" s="94"/>
      <c r="AG125" s="94"/>
    </row>
    <row r="126">
      <c r="A126" s="99"/>
      <c r="B126" s="100" t="s">
        <v>4051</v>
      </c>
      <c r="C126" s="99"/>
      <c r="D126" s="100" t="s">
        <v>4052</v>
      </c>
      <c r="E126" s="99"/>
      <c r="F126" s="101" t="s">
        <v>4053</v>
      </c>
      <c r="G126" s="99"/>
      <c r="H126" s="100" t="s">
        <v>4051</v>
      </c>
      <c r="I126" s="99"/>
      <c r="J126" s="100" t="s">
        <v>4052</v>
      </c>
      <c r="K126" s="99"/>
      <c r="L126" s="101" t="s">
        <v>4053</v>
      </c>
      <c r="M126" s="95"/>
      <c r="N126" s="95"/>
      <c r="O126" s="95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4"/>
      <c r="AE126" s="94"/>
      <c r="AF126" s="94"/>
      <c r="AG126" s="94"/>
    </row>
    <row r="127" ht="40.5" customHeight="1">
      <c r="A127" s="102"/>
      <c r="B127" s="103" t="str">
        <f>$U$24</f>
        <v>#DIV/0!</v>
      </c>
      <c r="C127" s="104"/>
      <c r="D127" s="146">
        <f>$S$24</f>
        <v>0</v>
      </c>
      <c r="E127" s="104"/>
      <c r="F127" s="106" t="str">
        <f>$Z$24</f>
        <v>#DIV/0!</v>
      </c>
      <c r="G127" s="102"/>
      <c r="H127" s="103" t="str">
        <f>$U$25</f>
        <v>#DIV/0!</v>
      </c>
      <c r="I127" s="104"/>
      <c r="J127" s="146">
        <f>$S$25</f>
        <v>0</v>
      </c>
      <c r="K127" s="104"/>
      <c r="L127" s="106" t="str">
        <f>$Z$25</f>
        <v>#DIV/0!</v>
      </c>
      <c r="M127" s="107"/>
      <c r="N127" s="107"/>
      <c r="O127" s="107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94"/>
      <c r="AE127" s="94"/>
      <c r="AF127" s="94"/>
      <c r="AG127" s="94"/>
    </row>
    <row r="128" ht="11.25" customHeight="1">
      <c r="A128" s="95"/>
      <c r="B128" s="98"/>
      <c r="C128" s="95"/>
      <c r="D128" s="98"/>
      <c r="E128" s="95"/>
      <c r="F128" s="98"/>
      <c r="G128" s="95"/>
      <c r="H128" s="98"/>
      <c r="I128" s="95"/>
      <c r="J128" s="98"/>
      <c r="K128" s="95"/>
      <c r="L128" s="98"/>
      <c r="M128" s="95"/>
      <c r="N128" s="95"/>
      <c r="O128" s="95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4"/>
      <c r="AE128" s="94"/>
      <c r="AF128" s="94"/>
      <c r="AG128" s="94"/>
    </row>
    <row r="129">
      <c r="A129" s="99"/>
      <c r="B129" s="100" t="s">
        <v>4054</v>
      </c>
      <c r="C129" s="99"/>
      <c r="D129" s="109" t="s">
        <v>4055</v>
      </c>
      <c r="E129" s="95"/>
      <c r="F129" s="101" t="s">
        <v>4056</v>
      </c>
      <c r="G129" s="99"/>
      <c r="H129" s="100" t="s">
        <v>4054</v>
      </c>
      <c r="I129" s="99"/>
      <c r="J129" s="109" t="s">
        <v>4055</v>
      </c>
      <c r="K129" s="95"/>
      <c r="L129" s="101" t="s">
        <v>4056</v>
      </c>
      <c r="M129" s="95"/>
      <c r="N129" s="95"/>
      <c r="O129" s="95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4"/>
      <c r="AE129" s="94"/>
      <c r="AF129" s="94"/>
      <c r="AG129" s="94"/>
    </row>
    <row r="130" ht="37.5" customHeight="1">
      <c r="A130" s="102"/>
      <c r="B130" s="103" t="str">
        <f>$V$24</f>
        <v>#DIV/0!</v>
      </c>
      <c r="C130" s="104"/>
      <c r="D130" s="147">
        <f>$T$24</f>
        <v>0</v>
      </c>
      <c r="E130" s="111"/>
      <c r="F130" s="112">
        <f>$AA$24</f>
        <v>0</v>
      </c>
      <c r="G130" s="102"/>
      <c r="H130" s="103" t="str">
        <f>$V$25</f>
        <v>#DIV/0!</v>
      </c>
      <c r="I130" s="104"/>
      <c r="J130" s="147">
        <f>$T$25</f>
        <v>0</v>
      </c>
      <c r="K130" s="111"/>
      <c r="L130" s="112">
        <f>$AA$25</f>
        <v>0</v>
      </c>
      <c r="M130" s="107"/>
      <c r="N130" s="107"/>
      <c r="O130" s="107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94"/>
      <c r="AE130" s="94"/>
      <c r="AF130" s="94"/>
      <c r="AG130" s="94"/>
    </row>
    <row r="131" ht="11.25" customHeight="1">
      <c r="A131" s="95"/>
      <c r="B131" s="98"/>
      <c r="C131" s="95"/>
      <c r="D131" s="95"/>
      <c r="E131" s="95"/>
      <c r="F131" s="95"/>
      <c r="G131" s="95"/>
      <c r="H131" s="98"/>
      <c r="I131" s="95"/>
      <c r="J131" s="95"/>
      <c r="K131" s="95"/>
      <c r="L131" s="95"/>
      <c r="M131" s="95"/>
      <c r="N131" s="95"/>
      <c r="O131" s="95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4"/>
      <c r="AE131" s="94"/>
      <c r="AF131" s="94"/>
      <c r="AG131" s="94"/>
    </row>
    <row r="132">
      <c r="A132" s="99"/>
      <c r="B132" s="101" t="s">
        <v>4057</v>
      </c>
      <c r="C132" s="95"/>
      <c r="D132" s="109" t="s">
        <v>4058</v>
      </c>
      <c r="E132" s="99"/>
      <c r="F132" s="101" t="s">
        <v>4059</v>
      </c>
      <c r="G132" s="99"/>
      <c r="H132" s="101" t="s">
        <v>4057</v>
      </c>
      <c r="I132" s="95"/>
      <c r="J132" s="109" t="s">
        <v>4058</v>
      </c>
      <c r="K132" s="99"/>
      <c r="L132" s="101" t="s">
        <v>4059</v>
      </c>
      <c r="M132" s="95"/>
      <c r="N132" s="95"/>
      <c r="O132" s="95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4"/>
      <c r="AE132" s="94"/>
      <c r="AF132" s="94"/>
      <c r="AG132" s="94"/>
    </row>
    <row r="133" ht="44.25" customHeight="1">
      <c r="A133" s="102"/>
      <c r="B133" s="103">
        <f>$R$24</f>
        <v>0</v>
      </c>
      <c r="C133" s="111"/>
      <c r="D133" s="113">
        <f>$X$24</f>
        <v>0</v>
      </c>
      <c r="E133" s="104"/>
      <c r="F133" s="112">
        <f>$AC$24</f>
        <v>0</v>
      </c>
      <c r="G133" s="102"/>
      <c r="H133" s="103">
        <f>$R$25</f>
        <v>0</v>
      </c>
      <c r="I133" s="111"/>
      <c r="J133" s="113">
        <f>$X$25</f>
        <v>0</v>
      </c>
      <c r="K133" s="104"/>
      <c r="L133" s="112">
        <f>$AC$25</f>
        <v>0</v>
      </c>
      <c r="M133" s="107"/>
      <c r="N133" s="107"/>
      <c r="O133" s="107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94"/>
      <c r="AE133" s="94"/>
      <c r="AF133" s="94"/>
      <c r="AG133" s="94"/>
    </row>
    <row r="134" ht="11.25" customHeight="1">
      <c r="A134" s="95"/>
      <c r="B134" s="96"/>
      <c r="C134" s="95"/>
      <c r="D134" s="95"/>
      <c r="E134" s="95"/>
      <c r="F134" s="114" t="str">
        <f>$AD$24</f>
        <v>#DIV/0!</v>
      </c>
      <c r="G134" s="95"/>
      <c r="H134" s="96"/>
      <c r="I134" s="95"/>
      <c r="J134" s="95"/>
      <c r="K134" s="95"/>
      <c r="L134" s="114" t="str">
        <f>$AD$25</f>
        <v>#DIV/0!</v>
      </c>
      <c r="M134" s="95"/>
      <c r="N134" s="95"/>
      <c r="O134" s="95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4"/>
      <c r="AE134" s="94"/>
      <c r="AF134" s="94"/>
      <c r="AG134" s="94"/>
    </row>
    <row r="135">
      <c r="A135" s="95"/>
      <c r="B135" s="101" t="s">
        <v>4060</v>
      </c>
      <c r="C135" s="95"/>
      <c r="D135" s="109" t="s">
        <v>4061</v>
      </c>
      <c r="E135" s="95"/>
      <c r="F135" s="101" t="s">
        <v>4091</v>
      </c>
      <c r="G135" s="95"/>
      <c r="H135" s="101" t="s">
        <v>4060</v>
      </c>
      <c r="I135" s="95"/>
      <c r="J135" s="109" t="s">
        <v>4061</v>
      </c>
      <c r="K135" s="95"/>
      <c r="L135" s="101" t="s">
        <v>4091</v>
      </c>
      <c r="M135" s="95"/>
      <c r="N135" s="95"/>
      <c r="O135" s="95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4"/>
      <c r="AE135" s="94"/>
      <c r="AF135" s="94"/>
      <c r="AG135" s="94"/>
    </row>
    <row r="136" ht="42.75" customHeight="1">
      <c r="A136" s="95"/>
      <c r="B136" s="115" t="str">
        <f>$W$24</f>
        <v>#DIV/0!</v>
      </c>
      <c r="C136" s="116"/>
      <c r="D136" s="113">
        <f>$Y$24</f>
        <v>0</v>
      </c>
      <c r="E136" s="116"/>
      <c r="F136" s="105">
        <f>$AB$24</f>
        <v>0</v>
      </c>
      <c r="G136" s="95"/>
      <c r="H136" s="115" t="str">
        <f>$W$25</f>
        <v>#DIV/0!</v>
      </c>
      <c r="I136" s="116"/>
      <c r="J136" s="113">
        <f>$Y$25</f>
        <v>0</v>
      </c>
      <c r="K136" s="116"/>
      <c r="L136" s="105">
        <f>$AB$25</f>
        <v>0</v>
      </c>
      <c r="M136" s="95"/>
      <c r="N136" s="95"/>
      <c r="O136" s="95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4"/>
      <c r="AE136" s="94"/>
      <c r="AF136" s="94"/>
      <c r="AG136" s="94"/>
    </row>
    <row r="137">
      <c r="A137" s="95"/>
      <c r="B137" s="150"/>
      <c r="C137" s="95"/>
      <c r="D137" s="95"/>
      <c r="E137" s="95"/>
      <c r="F137" s="95"/>
      <c r="G137" s="95"/>
      <c r="H137" s="149"/>
      <c r="I137" s="95"/>
      <c r="J137" s="95"/>
      <c r="K137" s="95"/>
      <c r="L137" s="95"/>
      <c r="M137" s="95"/>
      <c r="N137" s="95"/>
      <c r="O137" s="95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4"/>
      <c r="AE137" s="94"/>
      <c r="AF137" s="94"/>
      <c r="AG137" s="94"/>
    </row>
    <row r="138">
      <c r="A138" s="95"/>
      <c r="B138" s="150"/>
      <c r="C138" s="95"/>
      <c r="D138" s="95"/>
      <c r="E138" s="95"/>
      <c r="F138" s="95"/>
      <c r="G138" s="95"/>
      <c r="H138" s="149"/>
      <c r="I138" s="95"/>
      <c r="J138" s="95"/>
      <c r="K138" s="95"/>
      <c r="L138" s="95"/>
      <c r="M138" s="95"/>
      <c r="N138" s="95"/>
      <c r="O138" s="95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4"/>
      <c r="AE138" s="94"/>
      <c r="AF138" s="94"/>
      <c r="AG138" s="94"/>
    </row>
    <row r="139">
      <c r="A139" s="95"/>
      <c r="B139" s="150"/>
      <c r="C139" s="95"/>
      <c r="D139" s="95"/>
      <c r="E139" s="95"/>
      <c r="F139" s="95"/>
      <c r="G139" s="95"/>
      <c r="H139" s="149"/>
      <c r="I139" s="95"/>
      <c r="J139" s="95"/>
      <c r="K139" s="95"/>
      <c r="L139" s="95"/>
      <c r="M139" s="95"/>
      <c r="N139" s="95"/>
      <c r="O139" s="95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4"/>
      <c r="AE139" s="94"/>
      <c r="AF139" s="94"/>
      <c r="AG139" s="94"/>
    </row>
    <row r="140">
      <c r="A140" s="95"/>
      <c r="B140" s="150">
        <v>45901.0</v>
      </c>
      <c r="C140" s="95"/>
      <c r="D140" s="95"/>
      <c r="E140" s="95"/>
      <c r="F140" s="95"/>
      <c r="G140" s="95"/>
      <c r="H140" s="149" t="s">
        <v>4097</v>
      </c>
      <c r="I140" s="95"/>
      <c r="J140" s="95"/>
      <c r="K140" s="95"/>
      <c r="L140" s="95"/>
      <c r="M140" s="95"/>
      <c r="N140" s="95"/>
      <c r="O140" s="95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4"/>
      <c r="AE140" s="94"/>
      <c r="AF140" s="94"/>
      <c r="AG140" s="94"/>
    </row>
    <row r="141">
      <c r="A141" s="95"/>
      <c r="B141" s="98"/>
      <c r="C141" s="95"/>
      <c r="D141" s="98"/>
      <c r="E141" s="95"/>
      <c r="F141" s="98"/>
      <c r="G141" s="95"/>
      <c r="H141" s="98"/>
      <c r="I141" s="95"/>
      <c r="J141" s="98"/>
      <c r="K141" s="95"/>
      <c r="L141" s="98"/>
      <c r="M141" s="95"/>
      <c r="N141" s="95"/>
      <c r="O141" s="95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4"/>
      <c r="AE141" s="94"/>
      <c r="AF141" s="94"/>
      <c r="AG141" s="94"/>
    </row>
    <row r="142">
      <c r="A142" s="99"/>
      <c r="B142" s="100" t="s">
        <v>4051</v>
      </c>
      <c r="C142" s="99"/>
      <c r="D142" s="100" t="s">
        <v>4052</v>
      </c>
      <c r="E142" s="99"/>
      <c r="F142" s="101" t="s">
        <v>4053</v>
      </c>
      <c r="G142" s="99"/>
      <c r="H142" s="100" t="s">
        <v>4051</v>
      </c>
      <c r="I142" s="99"/>
      <c r="J142" s="100" t="s">
        <v>4052</v>
      </c>
      <c r="K142" s="99"/>
      <c r="L142" s="101" t="s">
        <v>4053</v>
      </c>
      <c r="M142" s="95"/>
      <c r="N142" s="95"/>
      <c r="O142" s="95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4"/>
      <c r="AE142" s="94"/>
      <c r="AF142" s="94"/>
      <c r="AG142" s="94"/>
    </row>
    <row r="143" ht="40.5" customHeight="1">
      <c r="A143" s="102"/>
      <c r="B143" s="103" t="str">
        <f>$U$26</f>
        <v>#DIV/0!</v>
      </c>
      <c r="C143" s="104"/>
      <c r="D143" s="146">
        <f>$S$26</f>
        <v>0</v>
      </c>
      <c r="E143" s="104"/>
      <c r="F143" s="106" t="str">
        <f>$Z$26</f>
        <v>#DIV/0!</v>
      </c>
      <c r="G143" s="102"/>
      <c r="H143" s="103" t="str">
        <f>$U$27</f>
        <v>#DIV/0!</v>
      </c>
      <c r="I143" s="104"/>
      <c r="J143" s="146">
        <f>$S$27</f>
        <v>0</v>
      </c>
      <c r="K143" s="104"/>
      <c r="L143" s="106" t="str">
        <f>$Z$27</f>
        <v>#DIV/0!</v>
      </c>
      <c r="M143" s="107"/>
      <c r="N143" s="107"/>
      <c r="O143" s="107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94"/>
      <c r="AE143" s="94"/>
      <c r="AF143" s="94"/>
      <c r="AG143" s="94"/>
    </row>
    <row r="144" ht="11.25" customHeight="1">
      <c r="A144" s="95"/>
      <c r="B144" s="98"/>
      <c r="C144" s="95"/>
      <c r="D144" s="98"/>
      <c r="E144" s="95"/>
      <c r="F144" s="98"/>
      <c r="G144" s="95"/>
      <c r="H144" s="98"/>
      <c r="I144" s="95"/>
      <c r="J144" s="98"/>
      <c r="K144" s="95"/>
      <c r="L144" s="98"/>
      <c r="M144" s="95"/>
      <c r="N144" s="95"/>
      <c r="O144" s="95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4"/>
      <c r="AE144" s="94"/>
      <c r="AF144" s="94"/>
      <c r="AG144" s="94"/>
    </row>
    <row r="145">
      <c r="A145" s="99"/>
      <c r="B145" s="100" t="s">
        <v>4054</v>
      </c>
      <c r="C145" s="99"/>
      <c r="D145" s="109" t="s">
        <v>4055</v>
      </c>
      <c r="E145" s="95"/>
      <c r="F145" s="101" t="s">
        <v>4056</v>
      </c>
      <c r="G145" s="99"/>
      <c r="H145" s="100" t="s">
        <v>4054</v>
      </c>
      <c r="I145" s="99"/>
      <c r="J145" s="109" t="s">
        <v>4055</v>
      </c>
      <c r="K145" s="95"/>
      <c r="L145" s="101" t="s">
        <v>4056</v>
      </c>
      <c r="M145" s="95"/>
      <c r="N145" s="95"/>
      <c r="O145" s="95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4"/>
      <c r="AE145" s="94"/>
      <c r="AF145" s="94"/>
      <c r="AG145" s="94"/>
    </row>
    <row r="146" ht="37.5" customHeight="1">
      <c r="A146" s="102"/>
      <c r="B146" s="103" t="str">
        <f>$V$26</f>
        <v>#DIV/0!</v>
      </c>
      <c r="C146" s="104"/>
      <c r="D146" s="147">
        <f>$T$26</f>
        <v>0</v>
      </c>
      <c r="E146" s="111"/>
      <c r="F146" s="112">
        <f>$AA$26</f>
        <v>0</v>
      </c>
      <c r="G146" s="102"/>
      <c r="H146" s="103" t="str">
        <f>$V$27</f>
        <v>#DIV/0!</v>
      </c>
      <c r="I146" s="104"/>
      <c r="J146" s="147">
        <f>$T$27</f>
        <v>0</v>
      </c>
      <c r="K146" s="111"/>
      <c r="L146" s="112">
        <f>$AA$27</f>
        <v>0</v>
      </c>
      <c r="M146" s="107"/>
      <c r="N146" s="107"/>
      <c r="O146" s="107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94"/>
      <c r="AE146" s="94"/>
      <c r="AF146" s="94"/>
      <c r="AG146" s="94"/>
    </row>
    <row r="147" ht="11.25" customHeight="1">
      <c r="A147" s="95"/>
      <c r="B147" s="98"/>
      <c r="C147" s="95"/>
      <c r="D147" s="95"/>
      <c r="E147" s="95"/>
      <c r="F147" s="95"/>
      <c r="G147" s="95"/>
      <c r="H147" s="98"/>
      <c r="I147" s="95"/>
      <c r="J147" s="95"/>
      <c r="K147" s="95"/>
      <c r="L147" s="95"/>
      <c r="M147" s="95"/>
      <c r="N147" s="95"/>
      <c r="O147" s="95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4"/>
      <c r="AE147" s="94"/>
      <c r="AF147" s="94"/>
      <c r="AG147" s="94"/>
    </row>
    <row r="148">
      <c r="A148" s="99"/>
      <c r="B148" s="101" t="s">
        <v>4057</v>
      </c>
      <c r="C148" s="95"/>
      <c r="D148" s="109" t="s">
        <v>4058</v>
      </c>
      <c r="E148" s="99"/>
      <c r="F148" s="101" t="s">
        <v>4059</v>
      </c>
      <c r="G148" s="99"/>
      <c r="H148" s="101" t="s">
        <v>4057</v>
      </c>
      <c r="I148" s="95"/>
      <c r="J148" s="109" t="s">
        <v>4058</v>
      </c>
      <c r="K148" s="99"/>
      <c r="L148" s="101" t="s">
        <v>4059</v>
      </c>
      <c r="M148" s="95"/>
      <c r="N148" s="95"/>
      <c r="O148" s="95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4"/>
      <c r="AE148" s="94"/>
      <c r="AF148" s="94"/>
      <c r="AG148" s="94"/>
    </row>
    <row r="149" ht="44.25" customHeight="1">
      <c r="A149" s="102"/>
      <c r="B149" s="103">
        <f>$R$26</f>
        <v>0</v>
      </c>
      <c r="C149" s="111"/>
      <c r="D149" s="113">
        <f>$X$26</f>
        <v>0</v>
      </c>
      <c r="E149" s="104"/>
      <c r="F149" s="112">
        <f>$AC$26</f>
        <v>0</v>
      </c>
      <c r="G149" s="102"/>
      <c r="H149" s="103">
        <f>$R$27</f>
        <v>6022</v>
      </c>
      <c r="I149" s="111"/>
      <c r="J149" s="113">
        <f>$X$27</f>
        <v>0</v>
      </c>
      <c r="K149" s="104"/>
      <c r="L149" s="112">
        <f>$AC$27</f>
        <v>0</v>
      </c>
      <c r="M149" s="107"/>
      <c r="N149" s="107"/>
      <c r="O149" s="107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94"/>
      <c r="AE149" s="94"/>
      <c r="AF149" s="94"/>
      <c r="AG149" s="94"/>
    </row>
    <row r="150" ht="11.25" customHeight="1">
      <c r="A150" s="95"/>
      <c r="B150" s="96"/>
      <c r="C150" s="95"/>
      <c r="D150" s="95"/>
      <c r="E150" s="95"/>
      <c r="F150" s="114" t="str">
        <f>$AD$26</f>
        <v>#DIV/0!</v>
      </c>
      <c r="G150" s="95"/>
      <c r="H150" s="96"/>
      <c r="I150" s="95"/>
      <c r="J150" s="95"/>
      <c r="K150" s="95"/>
      <c r="L150" s="114" t="str">
        <f>$AD$27</f>
        <v>#DIV/0!</v>
      </c>
      <c r="M150" s="95"/>
      <c r="N150" s="95"/>
      <c r="O150" s="95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4"/>
      <c r="AE150" s="94"/>
      <c r="AF150" s="94"/>
      <c r="AG150" s="94"/>
    </row>
    <row r="151">
      <c r="A151" s="95"/>
      <c r="B151" s="101" t="s">
        <v>4060</v>
      </c>
      <c r="C151" s="95"/>
      <c r="D151" s="109" t="s">
        <v>4061</v>
      </c>
      <c r="E151" s="95"/>
      <c r="F151" s="101" t="s">
        <v>4091</v>
      </c>
      <c r="G151" s="95"/>
      <c r="H151" s="101" t="s">
        <v>4060</v>
      </c>
      <c r="I151" s="95"/>
      <c r="J151" s="109" t="s">
        <v>4061</v>
      </c>
      <c r="K151" s="95"/>
      <c r="L151" s="101" t="s">
        <v>4091</v>
      </c>
      <c r="M151" s="95"/>
      <c r="N151" s="95"/>
      <c r="O151" s="95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4"/>
      <c r="AE151" s="94"/>
      <c r="AF151" s="94"/>
      <c r="AG151" s="94"/>
    </row>
    <row r="152" ht="42.75" customHeight="1">
      <c r="A152" s="95"/>
      <c r="B152" s="115" t="str">
        <f>$W$26</f>
        <v>#DIV/0!</v>
      </c>
      <c r="C152" s="116"/>
      <c r="D152" s="113">
        <f>$Y$26</f>
        <v>0</v>
      </c>
      <c r="E152" s="116"/>
      <c r="F152" s="105">
        <f>$AB$26</f>
        <v>0</v>
      </c>
      <c r="G152" s="95"/>
      <c r="H152" s="115">
        <f>$W$27</f>
        <v>0</v>
      </c>
      <c r="I152" s="116"/>
      <c r="J152" s="113">
        <f>$Y$27</f>
        <v>0</v>
      </c>
      <c r="K152" s="116"/>
      <c r="L152" s="105">
        <f>$AB$27</f>
        <v>0</v>
      </c>
      <c r="M152" s="95"/>
      <c r="N152" s="95"/>
      <c r="O152" s="95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4"/>
      <c r="AE152" s="94"/>
      <c r="AF152" s="94"/>
      <c r="AG152" s="94"/>
    </row>
    <row r="153">
      <c r="A153" s="95"/>
      <c r="B153" s="150"/>
      <c r="C153" s="95"/>
      <c r="D153" s="95"/>
      <c r="E153" s="95"/>
      <c r="F153" s="95"/>
      <c r="G153" s="95"/>
      <c r="H153" s="149"/>
      <c r="I153" s="95"/>
      <c r="J153" s="95"/>
      <c r="K153" s="95"/>
      <c r="L153" s="95"/>
      <c r="M153" s="95"/>
      <c r="N153" s="95"/>
      <c r="O153" s="95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4"/>
      <c r="AE153" s="94"/>
      <c r="AF153" s="94"/>
      <c r="AG153" s="94"/>
    </row>
    <row r="154">
      <c r="A154" s="95"/>
      <c r="B154" s="150"/>
      <c r="C154" s="95"/>
      <c r="D154" s="95"/>
      <c r="E154" s="95"/>
      <c r="F154" s="95"/>
      <c r="G154" s="95"/>
      <c r="H154" s="149"/>
      <c r="I154" s="95"/>
      <c r="J154" s="95"/>
      <c r="K154" s="95"/>
      <c r="L154" s="95"/>
      <c r="M154" s="95"/>
      <c r="N154" s="95"/>
      <c r="O154" s="95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4"/>
      <c r="AE154" s="94"/>
      <c r="AF154" s="94"/>
      <c r="AG154" s="94"/>
    </row>
    <row r="155">
      <c r="A155" s="95"/>
      <c r="B155" s="150"/>
      <c r="C155" s="95"/>
      <c r="D155" s="95"/>
      <c r="E155" s="95"/>
      <c r="F155" s="95"/>
      <c r="G155" s="95"/>
      <c r="H155" s="149"/>
      <c r="I155" s="95"/>
      <c r="J155" s="95"/>
      <c r="K155" s="95"/>
      <c r="L155" s="95"/>
      <c r="M155" s="95"/>
      <c r="N155" s="95"/>
      <c r="O155" s="95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4"/>
      <c r="AE155" s="94"/>
      <c r="AF155" s="94"/>
      <c r="AG155" s="94"/>
    </row>
    <row r="156">
      <c r="A156" s="95"/>
      <c r="B156" s="150">
        <v>45962.0</v>
      </c>
      <c r="C156" s="95"/>
      <c r="D156" s="95"/>
      <c r="E156" s="95"/>
      <c r="F156" s="95"/>
      <c r="G156" s="95"/>
      <c r="H156" s="150">
        <v>45992.0</v>
      </c>
      <c r="I156" s="95"/>
      <c r="J156" s="95"/>
      <c r="K156" s="95"/>
      <c r="L156" s="95"/>
      <c r="M156" s="95"/>
      <c r="N156" s="95"/>
      <c r="O156" s="95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4"/>
      <c r="AE156" s="94"/>
      <c r="AF156" s="94"/>
      <c r="AG156" s="94"/>
    </row>
    <row r="157">
      <c r="A157" s="95"/>
      <c r="B157" s="98"/>
      <c r="C157" s="95"/>
      <c r="D157" s="98"/>
      <c r="E157" s="95"/>
      <c r="F157" s="98"/>
      <c r="G157" s="95"/>
      <c r="H157" s="98"/>
      <c r="I157" s="95"/>
      <c r="J157" s="98"/>
      <c r="K157" s="95"/>
      <c r="L157" s="98"/>
      <c r="M157" s="95"/>
      <c r="N157" s="95"/>
      <c r="O157" s="95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4"/>
      <c r="AE157" s="94"/>
      <c r="AF157" s="94"/>
      <c r="AG157" s="94"/>
    </row>
    <row r="158">
      <c r="A158" s="99"/>
      <c r="B158" s="100" t="s">
        <v>4051</v>
      </c>
      <c r="C158" s="99"/>
      <c r="D158" s="100" t="s">
        <v>4052</v>
      </c>
      <c r="E158" s="99"/>
      <c r="F158" s="101" t="s">
        <v>4053</v>
      </c>
      <c r="G158" s="99"/>
      <c r="H158" s="100" t="s">
        <v>4051</v>
      </c>
      <c r="I158" s="99"/>
      <c r="J158" s="100" t="s">
        <v>4052</v>
      </c>
      <c r="K158" s="99"/>
      <c r="L158" s="101" t="s">
        <v>4053</v>
      </c>
      <c r="M158" s="95"/>
      <c r="N158" s="95"/>
      <c r="O158" s="95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4"/>
      <c r="AE158" s="94"/>
      <c r="AF158" s="94"/>
      <c r="AG158" s="94"/>
    </row>
    <row r="159" ht="40.5" customHeight="1">
      <c r="A159" s="102"/>
      <c r="B159" s="103" t="str">
        <f>$U$28</f>
        <v>#DIV/0!</v>
      </c>
      <c r="C159" s="104"/>
      <c r="D159" s="146">
        <f>$S$28</f>
        <v>0</v>
      </c>
      <c r="E159" s="104"/>
      <c r="F159" s="106" t="str">
        <f>$Z$28</f>
        <v>#DIV/0!</v>
      </c>
      <c r="G159" s="102"/>
      <c r="H159" s="103" t="str">
        <f>$U$29</f>
        <v>#DIV/0!</v>
      </c>
      <c r="I159" s="104"/>
      <c r="J159" s="146">
        <f>$S$29</f>
        <v>0</v>
      </c>
      <c r="K159" s="104"/>
      <c r="L159" s="106" t="str">
        <f>$Z$29</f>
        <v>#DIV/0!</v>
      </c>
      <c r="M159" s="107"/>
      <c r="N159" s="107"/>
      <c r="O159" s="107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94"/>
      <c r="AE159" s="94"/>
      <c r="AF159" s="94"/>
      <c r="AG159" s="94"/>
    </row>
    <row r="160" ht="11.25" customHeight="1">
      <c r="A160" s="95"/>
      <c r="B160" s="98"/>
      <c r="C160" s="95"/>
      <c r="D160" s="98"/>
      <c r="E160" s="95"/>
      <c r="F160" s="98"/>
      <c r="G160" s="95"/>
      <c r="H160" s="98"/>
      <c r="I160" s="95"/>
      <c r="J160" s="98"/>
      <c r="K160" s="95"/>
      <c r="L160" s="98"/>
      <c r="M160" s="95"/>
      <c r="N160" s="95"/>
      <c r="O160" s="95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4"/>
      <c r="AE160" s="94"/>
      <c r="AF160" s="94"/>
      <c r="AG160" s="94"/>
    </row>
    <row r="161">
      <c r="A161" s="99"/>
      <c r="B161" s="100" t="s">
        <v>4054</v>
      </c>
      <c r="C161" s="99"/>
      <c r="D161" s="109" t="s">
        <v>4055</v>
      </c>
      <c r="E161" s="95"/>
      <c r="F161" s="101" t="s">
        <v>4056</v>
      </c>
      <c r="G161" s="99"/>
      <c r="H161" s="100" t="s">
        <v>4054</v>
      </c>
      <c r="I161" s="99"/>
      <c r="J161" s="109" t="s">
        <v>4055</v>
      </c>
      <c r="K161" s="95"/>
      <c r="L161" s="101" t="s">
        <v>4056</v>
      </c>
      <c r="M161" s="95"/>
      <c r="N161" s="95"/>
      <c r="O161" s="95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4"/>
      <c r="AE161" s="94"/>
      <c r="AF161" s="94"/>
      <c r="AG161" s="94"/>
    </row>
    <row r="162" ht="37.5" customHeight="1">
      <c r="A162" s="102"/>
      <c r="B162" s="103" t="str">
        <f>$V$28</f>
        <v>#DIV/0!</v>
      </c>
      <c r="C162" s="104"/>
      <c r="D162" s="147">
        <f>$T$28</f>
        <v>0</v>
      </c>
      <c r="E162" s="111"/>
      <c r="F162" s="112">
        <f>$AA$28</f>
        <v>0</v>
      </c>
      <c r="G162" s="102"/>
      <c r="H162" s="103" t="str">
        <f>$V$29</f>
        <v>#DIV/0!</v>
      </c>
      <c r="I162" s="104"/>
      <c r="J162" s="147">
        <f>$T$29</f>
        <v>0</v>
      </c>
      <c r="K162" s="111"/>
      <c r="L162" s="112">
        <f>$AA$29</f>
        <v>0</v>
      </c>
      <c r="M162" s="107"/>
      <c r="N162" s="107"/>
      <c r="O162" s="107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94"/>
      <c r="AE162" s="94"/>
      <c r="AF162" s="94"/>
      <c r="AG162" s="94"/>
    </row>
    <row r="163" ht="11.25" customHeight="1">
      <c r="A163" s="95"/>
      <c r="B163" s="98"/>
      <c r="C163" s="95"/>
      <c r="D163" s="95"/>
      <c r="E163" s="95"/>
      <c r="F163" s="95"/>
      <c r="G163" s="95"/>
      <c r="H163" s="98"/>
      <c r="I163" s="95"/>
      <c r="J163" s="95"/>
      <c r="K163" s="95"/>
      <c r="L163" s="95"/>
      <c r="M163" s="95"/>
      <c r="N163" s="95"/>
      <c r="O163" s="95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4"/>
      <c r="AE163" s="94"/>
      <c r="AF163" s="94"/>
      <c r="AG163" s="94"/>
    </row>
    <row r="164">
      <c r="A164" s="99"/>
      <c r="B164" s="101" t="s">
        <v>4057</v>
      </c>
      <c r="C164" s="95"/>
      <c r="D164" s="109" t="s">
        <v>4058</v>
      </c>
      <c r="E164" s="99"/>
      <c r="F164" s="101" t="s">
        <v>4059</v>
      </c>
      <c r="G164" s="99"/>
      <c r="H164" s="101" t="s">
        <v>4057</v>
      </c>
      <c r="I164" s="95"/>
      <c r="J164" s="109" t="s">
        <v>4058</v>
      </c>
      <c r="K164" s="99"/>
      <c r="L164" s="101" t="s">
        <v>4059</v>
      </c>
      <c r="M164" s="95"/>
      <c r="N164" s="95"/>
      <c r="O164" s="95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4"/>
      <c r="AE164" s="94"/>
      <c r="AF164" s="94"/>
      <c r="AG164" s="94"/>
    </row>
    <row r="165" ht="44.25" customHeight="1">
      <c r="A165" s="102"/>
      <c r="B165" s="103">
        <f>$R$28</f>
        <v>0</v>
      </c>
      <c r="C165" s="111"/>
      <c r="D165" s="113">
        <f>$X$28</f>
        <v>0</v>
      </c>
      <c r="E165" s="104"/>
      <c r="F165" s="112">
        <f>$AC$28</f>
        <v>0</v>
      </c>
      <c r="G165" s="102"/>
      <c r="H165" s="103">
        <f>$R$29</f>
        <v>0</v>
      </c>
      <c r="I165" s="111"/>
      <c r="J165" s="113">
        <f>$X$29</f>
        <v>0</v>
      </c>
      <c r="K165" s="104"/>
      <c r="L165" s="112">
        <f>$AC$29</f>
        <v>0</v>
      </c>
      <c r="M165" s="107"/>
      <c r="N165" s="107"/>
      <c r="O165" s="107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94"/>
      <c r="AE165" s="94"/>
      <c r="AF165" s="94"/>
      <c r="AG165" s="94"/>
    </row>
    <row r="166" ht="11.25" customHeight="1">
      <c r="A166" s="95"/>
      <c r="B166" s="96"/>
      <c r="C166" s="95"/>
      <c r="D166" s="95"/>
      <c r="E166" s="95"/>
      <c r="F166" s="114" t="str">
        <f>$AD$28</f>
        <v>#DIV/0!</v>
      </c>
      <c r="G166" s="95"/>
      <c r="H166" s="96"/>
      <c r="I166" s="95"/>
      <c r="J166" s="95"/>
      <c r="K166" s="95"/>
      <c r="L166" s="114" t="str">
        <f>$AD$29</f>
        <v>#DIV/0!</v>
      </c>
      <c r="M166" s="95"/>
      <c r="N166" s="95"/>
      <c r="O166" s="95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4"/>
      <c r="AE166" s="94"/>
      <c r="AF166" s="94"/>
      <c r="AG166" s="94"/>
    </row>
    <row r="167">
      <c r="A167" s="95"/>
      <c r="B167" s="101" t="s">
        <v>4060</v>
      </c>
      <c r="C167" s="95"/>
      <c r="D167" s="109" t="s">
        <v>4061</v>
      </c>
      <c r="E167" s="95"/>
      <c r="F167" s="101" t="s">
        <v>4091</v>
      </c>
      <c r="G167" s="95"/>
      <c r="H167" s="101" t="s">
        <v>4060</v>
      </c>
      <c r="I167" s="95"/>
      <c r="J167" s="109" t="s">
        <v>4061</v>
      </c>
      <c r="K167" s="95"/>
      <c r="L167" s="101" t="s">
        <v>4091</v>
      </c>
      <c r="M167" s="95"/>
      <c r="N167" s="95"/>
      <c r="O167" s="95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4"/>
      <c r="AE167" s="94"/>
      <c r="AF167" s="94"/>
      <c r="AG167" s="94"/>
    </row>
    <row r="168" ht="42.75" customHeight="1">
      <c r="A168" s="95"/>
      <c r="B168" s="115" t="str">
        <f>$W$28</f>
        <v>#DIV/0!</v>
      </c>
      <c r="C168" s="116"/>
      <c r="D168" s="113">
        <f>$Y$28</f>
        <v>0</v>
      </c>
      <c r="E168" s="116"/>
      <c r="F168" s="105">
        <f>$AB$28</f>
        <v>0</v>
      </c>
      <c r="G168" s="95"/>
      <c r="H168" s="115" t="str">
        <f>$W$29</f>
        <v>#DIV/0!</v>
      </c>
      <c r="I168" s="116"/>
      <c r="J168" s="113">
        <f>$Y$29</f>
        <v>0</v>
      </c>
      <c r="K168" s="116"/>
      <c r="L168" s="105">
        <f>$AB$29</f>
        <v>0</v>
      </c>
      <c r="M168" s="95"/>
      <c r="N168" s="95"/>
      <c r="O168" s="95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4"/>
      <c r="AE168" s="94"/>
      <c r="AF168" s="94"/>
      <c r="AG168" s="94"/>
    </row>
    <row r="169"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4"/>
      <c r="AE169" s="94"/>
      <c r="AF169" s="94"/>
      <c r="AG169" s="94"/>
    </row>
    <row r="170"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4"/>
      <c r="AE170" s="94"/>
      <c r="AF170" s="94"/>
      <c r="AG170" s="94"/>
    </row>
    <row r="171"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4"/>
      <c r="AE171" s="94"/>
      <c r="AF171" s="94"/>
      <c r="AG171" s="94"/>
    </row>
    <row r="172" ht="64.5" customHeight="1"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4"/>
      <c r="AE172" s="94"/>
      <c r="AF172" s="94"/>
      <c r="AG172" s="94"/>
    </row>
    <row r="173"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4"/>
      <c r="AE173" s="94"/>
      <c r="AF173" s="94"/>
      <c r="AG173" s="94"/>
    </row>
    <row r="174"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4"/>
      <c r="AE174" s="94"/>
      <c r="AF174" s="94"/>
      <c r="AG174" s="94"/>
    </row>
    <row r="175" ht="64.5" customHeight="1"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4"/>
      <c r="AE175" s="94"/>
      <c r="AF175" s="94"/>
      <c r="AG175" s="94"/>
    </row>
    <row r="176"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4"/>
      <c r="AE176" s="94"/>
      <c r="AF176" s="94"/>
      <c r="AG176" s="94"/>
    </row>
    <row r="177"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4"/>
      <c r="AE177" s="94"/>
      <c r="AF177" s="94"/>
      <c r="AG177" s="94"/>
    </row>
    <row r="178" ht="64.5" customHeight="1"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4"/>
      <c r="AE178" s="94"/>
      <c r="AF178" s="94"/>
      <c r="AG178" s="94"/>
    </row>
    <row r="179"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4"/>
      <c r="AE179" s="94"/>
      <c r="AF179" s="94"/>
      <c r="AG179" s="94"/>
    </row>
    <row r="180"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4"/>
      <c r="AE180" s="94"/>
      <c r="AF180" s="94"/>
      <c r="AG180" s="94"/>
    </row>
    <row r="181"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4"/>
      <c r="AE181" s="94"/>
      <c r="AF181" s="94"/>
      <c r="AG181" s="94"/>
    </row>
    <row r="182"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4"/>
      <c r="AE182" s="94"/>
      <c r="AF182" s="94"/>
      <c r="AG182" s="94"/>
    </row>
    <row r="183"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4"/>
      <c r="AE183" s="94"/>
      <c r="AF183" s="94"/>
      <c r="AG183" s="94"/>
    </row>
    <row r="184"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4"/>
      <c r="AE184" s="94"/>
      <c r="AF184" s="94"/>
      <c r="AG184" s="94"/>
    </row>
    <row r="185"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4"/>
      <c r="AE185" s="94"/>
      <c r="AF185" s="94"/>
      <c r="AG185" s="94"/>
    </row>
    <row r="186"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4"/>
      <c r="AE186" s="94"/>
      <c r="AF186" s="94"/>
      <c r="AG186" s="94"/>
    </row>
    <row r="187"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4"/>
      <c r="AE187" s="94"/>
      <c r="AF187" s="94"/>
      <c r="AG187" s="94"/>
    </row>
    <row r="188"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4"/>
      <c r="AE188" s="94"/>
      <c r="AF188" s="94"/>
      <c r="AG188" s="94"/>
    </row>
    <row r="189"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4"/>
      <c r="AE189" s="94"/>
      <c r="AF189" s="94"/>
      <c r="AG189" s="94"/>
    </row>
    <row r="190"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4"/>
      <c r="AE190" s="94"/>
      <c r="AF190" s="94"/>
      <c r="AG190" s="94"/>
    </row>
    <row r="191"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4"/>
      <c r="AE191" s="94"/>
      <c r="AF191" s="94"/>
      <c r="AG191" s="94"/>
    </row>
    <row r="192"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4"/>
      <c r="AE192" s="94"/>
      <c r="AF192" s="94"/>
      <c r="AG192" s="94"/>
    </row>
    <row r="193"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4"/>
      <c r="AE193" s="94"/>
      <c r="AF193" s="94"/>
      <c r="AG193" s="94"/>
    </row>
    <row r="194"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4"/>
      <c r="AE194" s="94"/>
      <c r="AF194" s="94"/>
      <c r="AG194" s="94"/>
    </row>
    <row r="195"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4"/>
      <c r="AE195" s="94"/>
      <c r="AF195" s="94"/>
      <c r="AG195" s="94"/>
    </row>
    <row r="196"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4"/>
      <c r="AE196" s="94"/>
      <c r="AF196" s="94"/>
      <c r="AG196" s="94"/>
    </row>
    <row r="197"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4"/>
      <c r="AE197" s="94"/>
      <c r="AF197" s="94"/>
      <c r="AG197" s="94"/>
    </row>
    <row r="198"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4"/>
      <c r="AE198" s="94"/>
      <c r="AF198" s="94"/>
      <c r="AG198" s="94"/>
    </row>
    <row r="199"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4"/>
      <c r="AE199" s="94"/>
      <c r="AF199" s="94"/>
      <c r="AG199" s="94"/>
    </row>
    <row r="200"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4"/>
      <c r="AE200" s="94"/>
      <c r="AF200" s="94"/>
      <c r="AG200" s="94"/>
    </row>
    <row r="201"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4"/>
      <c r="AE201" s="94"/>
      <c r="AF201" s="94"/>
      <c r="AG201" s="94"/>
    </row>
    <row r="202"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4"/>
      <c r="AE202" s="94"/>
      <c r="AF202" s="94"/>
      <c r="AG202" s="94"/>
    </row>
    <row r="203"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4"/>
      <c r="AE203" s="94"/>
      <c r="AF203" s="94"/>
      <c r="AG203" s="94"/>
    </row>
    <row r="204"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4"/>
      <c r="AE204" s="94"/>
      <c r="AF204" s="94"/>
      <c r="AG204" s="94"/>
    </row>
    <row r="205"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4"/>
      <c r="AE205" s="94"/>
      <c r="AF205" s="94"/>
      <c r="AG205" s="94"/>
    </row>
    <row r="206"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4"/>
      <c r="AE206" s="94"/>
      <c r="AF206" s="94"/>
      <c r="AG206" s="94"/>
    </row>
    <row r="207"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4"/>
      <c r="AE207" s="94"/>
      <c r="AF207" s="94"/>
      <c r="AG207" s="94"/>
    </row>
    <row r="208"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4"/>
      <c r="AE208" s="94"/>
      <c r="AF208" s="94"/>
      <c r="AG208" s="94"/>
    </row>
    <row r="209"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4"/>
      <c r="AE209" s="94"/>
      <c r="AF209" s="94"/>
      <c r="AG209" s="94"/>
    </row>
    <row r="210"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4"/>
      <c r="AE210" s="94"/>
      <c r="AF210" s="94"/>
      <c r="AG210" s="94"/>
    </row>
    <row r="211"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4"/>
      <c r="AE211" s="94"/>
      <c r="AF211" s="94"/>
      <c r="AG211" s="94"/>
    </row>
    <row r="212"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4"/>
      <c r="AE212" s="94"/>
      <c r="AF212" s="94"/>
      <c r="AG212" s="94"/>
    </row>
    <row r="213"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4"/>
      <c r="AE213" s="94"/>
      <c r="AF213" s="94"/>
      <c r="AG213" s="94"/>
    </row>
    <row r="214"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4"/>
      <c r="AE214" s="94"/>
      <c r="AF214" s="94"/>
      <c r="AG214" s="94"/>
    </row>
    <row r="215"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4"/>
      <c r="AE215" s="94"/>
      <c r="AF215" s="94"/>
      <c r="AG215" s="94"/>
    </row>
    <row r="216"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4"/>
      <c r="AE216" s="94"/>
      <c r="AF216" s="94"/>
      <c r="AG216" s="94"/>
    </row>
    <row r="217"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4"/>
      <c r="AE217" s="94"/>
      <c r="AF217" s="94"/>
      <c r="AG217" s="94"/>
    </row>
    <row r="218"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4"/>
      <c r="AE218" s="94"/>
      <c r="AF218" s="94"/>
      <c r="AG218" s="94"/>
    </row>
    <row r="219"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4"/>
      <c r="AE219" s="94"/>
      <c r="AF219" s="94"/>
      <c r="AG219" s="94"/>
    </row>
    <row r="220"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4"/>
      <c r="AE220" s="94"/>
      <c r="AF220" s="94"/>
      <c r="AG220" s="94"/>
    </row>
    <row r="221"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4"/>
      <c r="AE221" s="94"/>
      <c r="AF221" s="94"/>
      <c r="AG221" s="94"/>
    </row>
    <row r="222"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4"/>
      <c r="AE222" s="94"/>
      <c r="AF222" s="94"/>
      <c r="AG222" s="94"/>
    </row>
    <row r="223"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4"/>
      <c r="AE223" s="94"/>
      <c r="AF223" s="94"/>
      <c r="AG223" s="94"/>
    </row>
    <row r="224"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4"/>
      <c r="AE224" s="94"/>
      <c r="AF224" s="94"/>
      <c r="AG224" s="94"/>
    </row>
    <row r="225"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4"/>
      <c r="AE225" s="94"/>
      <c r="AF225" s="94"/>
      <c r="AG225" s="94"/>
    </row>
    <row r="226"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4"/>
      <c r="AE226" s="94"/>
      <c r="AF226" s="94"/>
      <c r="AG226" s="94"/>
    </row>
    <row r="227"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4"/>
      <c r="AE227" s="94"/>
      <c r="AF227" s="94"/>
      <c r="AG227" s="94"/>
    </row>
    <row r="228"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4"/>
      <c r="AE228" s="94"/>
      <c r="AF228" s="94"/>
      <c r="AG228" s="94"/>
    </row>
    <row r="229"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4"/>
      <c r="AE229" s="94"/>
      <c r="AF229" s="94"/>
      <c r="AG229" s="94"/>
    </row>
    <row r="230"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4"/>
      <c r="AE230" s="94"/>
      <c r="AF230" s="94"/>
      <c r="AG230" s="94"/>
    </row>
    <row r="231"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4"/>
      <c r="AE231" s="94"/>
      <c r="AF231" s="94"/>
      <c r="AG231" s="94"/>
    </row>
    <row r="232"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4"/>
      <c r="AE232" s="94"/>
      <c r="AF232" s="94"/>
      <c r="AG232" s="94"/>
    </row>
    <row r="233"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4"/>
      <c r="AE233" s="94"/>
      <c r="AF233" s="94"/>
      <c r="AG233" s="94"/>
    </row>
    <row r="234"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4"/>
      <c r="AE234" s="94"/>
      <c r="AF234" s="94"/>
      <c r="AG234" s="94"/>
    </row>
    <row r="235"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4"/>
      <c r="AE235" s="94"/>
      <c r="AF235" s="94"/>
      <c r="AG235" s="94"/>
    </row>
    <row r="236"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4"/>
      <c r="AE236" s="94"/>
      <c r="AF236" s="94"/>
      <c r="AG236" s="94"/>
    </row>
    <row r="237"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4"/>
      <c r="AE237" s="94"/>
      <c r="AF237" s="94"/>
      <c r="AG237" s="94"/>
    </row>
    <row r="238"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4"/>
      <c r="AE238" s="94"/>
      <c r="AF238" s="94"/>
      <c r="AG238" s="94"/>
    </row>
    <row r="239"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4"/>
      <c r="AE239" s="94"/>
      <c r="AF239" s="94"/>
      <c r="AG239" s="94"/>
    </row>
    <row r="240"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4"/>
      <c r="AE240" s="94"/>
      <c r="AF240" s="94"/>
      <c r="AG240" s="94"/>
    </row>
    <row r="241"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4"/>
      <c r="AE241" s="94"/>
      <c r="AF241" s="94"/>
      <c r="AG241" s="94"/>
    </row>
    <row r="242"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4"/>
      <c r="AE242" s="94"/>
      <c r="AF242" s="94"/>
      <c r="AG242" s="94"/>
    </row>
    <row r="243"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4"/>
      <c r="AE243" s="94"/>
      <c r="AF243" s="94"/>
      <c r="AG243" s="94"/>
    </row>
    <row r="244"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4"/>
      <c r="AE244" s="94"/>
      <c r="AF244" s="94"/>
      <c r="AG244" s="94"/>
    </row>
    <row r="245"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4"/>
      <c r="AE245" s="94"/>
      <c r="AF245" s="94"/>
      <c r="AG245" s="94"/>
    </row>
    <row r="246"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4"/>
      <c r="AE246" s="94"/>
      <c r="AF246" s="94"/>
      <c r="AG246" s="94"/>
    </row>
    <row r="247"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4"/>
      <c r="AE247" s="94"/>
      <c r="AF247" s="94"/>
      <c r="AG247" s="94"/>
    </row>
    <row r="248"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4"/>
      <c r="AE248" s="94"/>
      <c r="AF248" s="94"/>
      <c r="AG248" s="94"/>
    </row>
    <row r="249"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4"/>
      <c r="AE249" s="94"/>
      <c r="AF249" s="94"/>
      <c r="AG249" s="94"/>
    </row>
    <row r="250"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4"/>
      <c r="AE250" s="94"/>
      <c r="AF250" s="94"/>
      <c r="AG250" s="94"/>
    </row>
    <row r="251"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4"/>
      <c r="AE251" s="94"/>
      <c r="AF251" s="94"/>
      <c r="AG251" s="94"/>
    </row>
    <row r="252"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4"/>
      <c r="AE252" s="94"/>
      <c r="AF252" s="94"/>
      <c r="AG252" s="94"/>
    </row>
    <row r="253"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4"/>
      <c r="AE253" s="94"/>
      <c r="AF253" s="94"/>
      <c r="AG253" s="94"/>
    </row>
    <row r="254"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4"/>
      <c r="AE254" s="94"/>
      <c r="AF254" s="94"/>
      <c r="AG254" s="94"/>
    </row>
    <row r="255"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4"/>
      <c r="AE255" s="94"/>
      <c r="AF255" s="94"/>
      <c r="AG255" s="94"/>
    </row>
    <row r="256"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4"/>
      <c r="AE256" s="94"/>
      <c r="AF256" s="94"/>
      <c r="AG256" s="94"/>
    </row>
    <row r="257"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4"/>
      <c r="AE257" s="94"/>
      <c r="AF257" s="94"/>
      <c r="AG257" s="94"/>
    </row>
    <row r="258"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4"/>
      <c r="AE258" s="94"/>
      <c r="AF258" s="94"/>
      <c r="AG258" s="94"/>
    </row>
    <row r="259"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4"/>
      <c r="AE259" s="94"/>
      <c r="AF259" s="94"/>
      <c r="AG259" s="94"/>
    </row>
    <row r="260"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4"/>
      <c r="AE260" s="94"/>
      <c r="AF260" s="94"/>
      <c r="AG260" s="94"/>
    </row>
    <row r="261"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4"/>
      <c r="AE261" s="94"/>
      <c r="AF261" s="94"/>
      <c r="AG261" s="94"/>
    </row>
    <row r="262"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4"/>
      <c r="AE262" s="94"/>
      <c r="AF262" s="94"/>
      <c r="AG262" s="94"/>
    </row>
    <row r="263"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4"/>
      <c r="AE263" s="94"/>
      <c r="AF263" s="94"/>
      <c r="AG263" s="94"/>
    </row>
    <row r="264"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4"/>
      <c r="AE264" s="94"/>
      <c r="AF264" s="94"/>
      <c r="AG264" s="94"/>
    </row>
    <row r="265"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4"/>
      <c r="AE265" s="94"/>
      <c r="AF265" s="94"/>
      <c r="AG265" s="94"/>
    </row>
    <row r="266"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4"/>
      <c r="AE266" s="94"/>
      <c r="AF266" s="94"/>
      <c r="AG266" s="94"/>
    </row>
    <row r="267"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4"/>
      <c r="AE267" s="94"/>
      <c r="AF267" s="94"/>
      <c r="AG267" s="94"/>
    </row>
    <row r="268"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4"/>
      <c r="AE268" s="94"/>
      <c r="AF268" s="94"/>
      <c r="AG268" s="94"/>
    </row>
    <row r="269"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4"/>
      <c r="AE269" s="94"/>
      <c r="AF269" s="94"/>
      <c r="AG269" s="94"/>
    </row>
    <row r="270"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4"/>
      <c r="AE270" s="94"/>
      <c r="AF270" s="94"/>
      <c r="AG270" s="94"/>
    </row>
    <row r="271"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4"/>
      <c r="AE271" s="94"/>
      <c r="AF271" s="94"/>
      <c r="AG271" s="94"/>
    </row>
    <row r="272"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4"/>
      <c r="AE272" s="94"/>
      <c r="AF272" s="94"/>
      <c r="AG272" s="94"/>
    </row>
    <row r="273"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4"/>
      <c r="AE273" s="94"/>
      <c r="AF273" s="94"/>
      <c r="AG273" s="94"/>
    </row>
    <row r="274"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4"/>
      <c r="AE274" s="94"/>
      <c r="AF274" s="94"/>
      <c r="AG274" s="94"/>
    </row>
    <row r="275"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4"/>
      <c r="AE275" s="94"/>
      <c r="AF275" s="94"/>
      <c r="AG275" s="94"/>
    </row>
    <row r="276"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4"/>
      <c r="AE276" s="94"/>
      <c r="AF276" s="94"/>
      <c r="AG276" s="94"/>
    </row>
    <row r="277"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4"/>
      <c r="AE277" s="94"/>
      <c r="AF277" s="94"/>
      <c r="AG277" s="94"/>
    </row>
    <row r="278"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4"/>
      <c r="AE278" s="94"/>
      <c r="AF278" s="94"/>
      <c r="AG278" s="94"/>
    </row>
    <row r="279"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4"/>
      <c r="AE279" s="94"/>
      <c r="AF279" s="94"/>
      <c r="AG279" s="94"/>
    </row>
    <row r="280"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4"/>
      <c r="AE280" s="94"/>
      <c r="AF280" s="94"/>
      <c r="AG280" s="94"/>
    </row>
    <row r="281"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4"/>
      <c r="AE281" s="94"/>
      <c r="AF281" s="94"/>
      <c r="AG281" s="94"/>
    </row>
    <row r="282"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4"/>
      <c r="AE282" s="94"/>
      <c r="AF282" s="94"/>
      <c r="AG282" s="94"/>
    </row>
    <row r="283"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4"/>
      <c r="AE283" s="94"/>
      <c r="AF283" s="94"/>
      <c r="AG283" s="94"/>
    </row>
    <row r="284"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4"/>
      <c r="AE284" s="94"/>
      <c r="AF284" s="94"/>
      <c r="AG284" s="94"/>
    </row>
    <row r="285"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4"/>
      <c r="AE285" s="94"/>
      <c r="AF285" s="94"/>
      <c r="AG285" s="94"/>
    </row>
    <row r="286"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4"/>
      <c r="AE286" s="94"/>
      <c r="AF286" s="94"/>
      <c r="AG286" s="94"/>
    </row>
    <row r="287"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4"/>
      <c r="AE287" s="94"/>
      <c r="AF287" s="94"/>
      <c r="AG287" s="94"/>
    </row>
    <row r="288"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4"/>
      <c r="AE288" s="94"/>
      <c r="AF288" s="94"/>
      <c r="AG288" s="94"/>
    </row>
    <row r="289"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4"/>
      <c r="AE289" s="94"/>
      <c r="AF289" s="94"/>
      <c r="AG289" s="94"/>
    </row>
    <row r="290"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4"/>
      <c r="AE290" s="94"/>
      <c r="AF290" s="94"/>
      <c r="AG290" s="94"/>
    </row>
    <row r="291"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4"/>
      <c r="AE291" s="94"/>
      <c r="AF291" s="94"/>
      <c r="AG291" s="94"/>
    </row>
    <row r="292"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4"/>
      <c r="AE292" s="94"/>
      <c r="AF292" s="94"/>
      <c r="AG292" s="94"/>
    </row>
    <row r="293"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4"/>
      <c r="AE293" s="94"/>
      <c r="AF293" s="94"/>
      <c r="AG293" s="94"/>
    </row>
    <row r="294"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4"/>
      <c r="AE294" s="94"/>
      <c r="AF294" s="94"/>
      <c r="AG294" s="94"/>
    </row>
    <row r="295"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4"/>
      <c r="AE295" s="94"/>
      <c r="AF295" s="94"/>
      <c r="AG295" s="94"/>
    </row>
    <row r="296"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4"/>
      <c r="AE296" s="94"/>
      <c r="AF296" s="94"/>
      <c r="AG296" s="94"/>
    </row>
    <row r="297"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4"/>
      <c r="AE297" s="94"/>
      <c r="AF297" s="94"/>
      <c r="AG297" s="94"/>
    </row>
    <row r="298"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4"/>
      <c r="AE298" s="94"/>
      <c r="AF298" s="94"/>
      <c r="AG298" s="94"/>
    </row>
    <row r="299"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4"/>
      <c r="AE299" s="94"/>
      <c r="AF299" s="94"/>
      <c r="AG299" s="94"/>
    </row>
    <row r="300"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4"/>
      <c r="AE300" s="94"/>
      <c r="AF300" s="94"/>
      <c r="AG300" s="94"/>
    </row>
    <row r="301"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4"/>
      <c r="AE301" s="94"/>
      <c r="AF301" s="94"/>
      <c r="AG301" s="94"/>
    </row>
    <row r="302"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4"/>
      <c r="AE302" s="94"/>
      <c r="AF302" s="94"/>
      <c r="AG302" s="94"/>
    </row>
    <row r="303"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4"/>
      <c r="AE303" s="94"/>
      <c r="AF303" s="94"/>
      <c r="AG303" s="94"/>
    </row>
    <row r="304"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4"/>
      <c r="AE304" s="94"/>
      <c r="AF304" s="94"/>
      <c r="AG304" s="94"/>
    </row>
    <row r="305"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4"/>
      <c r="AE305" s="94"/>
      <c r="AF305" s="94"/>
      <c r="AG305" s="94"/>
    </row>
    <row r="306"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4"/>
      <c r="AE306" s="94"/>
      <c r="AF306" s="94"/>
      <c r="AG306" s="94"/>
    </row>
    <row r="307"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4"/>
      <c r="AE307" s="94"/>
      <c r="AF307" s="94"/>
      <c r="AG307" s="94"/>
    </row>
    <row r="308"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4"/>
      <c r="AE308" s="94"/>
      <c r="AF308" s="94"/>
      <c r="AG308" s="94"/>
    </row>
    <row r="309"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4"/>
      <c r="AE309" s="94"/>
      <c r="AF309" s="94"/>
      <c r="AG309" s="94"/>
    </row>
    <row r="310"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4"/>
      <c r="AE310" s="94"/>
      <c r="AF310" s="94"/>
      <c r="AG310" s="94"/>
    </row>
    <row r="311"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4"/>
      <c r="AE311" s="94"/>
      <c r="AF311" s="94"/>
      <c r="AG311" s="94"/>
    </row>
    <row r="312"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4"/>
      <c r="AE312" s="94"/>
      <c r="AF312" s="94"/>
      <c r="AG312" s="94"/>
    </row>
    <row r="313"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4"/>
      <c r="AE313" s="94"/>
      <c r="AF313" s="94"/>
      <c r="AG313" s="94"/>
    </row>
    <row r="314"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4"/>
      <c r="AE314" s="94"/>
      <c r="AF314" s="94"/>
      <c r="AG314" s="94"/>
    </row>
    <row r="315"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4"/>
      <c r="AE315" s="94"/>
      <c r="AF315" s="94"/>
      <c r="AG315" s="94"/>
    </row>
    <row r="316"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4"/>
      <c r="AE316" s="94"/>
      <c r="AF316" s="94"/>
      <c r="AG316" s="94"/>
    </row>
    <row r="317"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4"/>
      <c r="AE317" s="94"/>
      <c r="AF317" s="94"/>
      <c r="AG317" s="94"/>
    </row>
    <row r="318"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4"/>
      <c r="AE318" s="94"/>
      <c r="AF318" s="94"/>
      <c r="AG318" s="94"/>
    </row>
    <row r="319"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4"/>
      <c r="AE319" s="94"/>
      <c r="AF319" s="94"/>
      <c r="AG319" s="94"/>
    </row>
    <row r="320"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4"/>
      <c r="AE320" s="94"/>
      <c r="AF320" s="94"/>
      <c r="AG320" s="94"/>
    </row>
    <row r="321"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4"/>
      <c r="AE321" s="94"/>
      <c r="AF321" s="94"/>
      <c r="AG321" s="94"/>
    </row>
    <row r="322"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4"/>
      <c r="AE322" s="94"/>
      <c r="AF322" s="94"/>
      <c r="AG322" s="94"/>
    </row>
    <row r="323"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4"/>
      <c r="AE323" s="94"/>
      <c r="AF323" s="94"/>
      <c r="AG323" s="94"/>
    </row>
    <row r="324"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4"/>
      <c r="AE324" s="94"/>
      <c r="AF324" s="94"/>
      <c r="AG324" s="94"/>
    </row>
    <row r="325"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4"/>
      <c r="AE325" s="94"/>
      <c r="AF325" s="94"/>
      <c r="AG325" s="94"/>
    </row>
    <row r="326"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4"/>
      <c r="AE326" s="94"/>
      <c r="AF326" s="94"/>
      <c r="AG326" s="94"/>
    </row>
    <row r="327"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4"/>
      <c r="AE327" s="94"/>
      <c r="AF327" s="94"/>
      <c r="AG327" s="94"/>
    </row>
    <row r="328"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4"/>
      <c r="AE328" s="94"/>
      <c r="AF328" s="94"/>
      <c r="AG328" s="94"/>
    </row>
    <row r="329"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4"/>
      <c r="AE329" s="94"/>
      <c r="AF329" s="94"/>
      <c r="AG329" s="94"/>
    </row>
    <row r="330"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4"/>
      <c r="AE330" s="94"/>
      <c r="AF330" s="94"/>
      <c r="AG330" s="94"/>
    </row>
    <row r="331"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4"/>
      <c r="AE331" s="94"/>
      <c r="AF331" s="94"/>
      <c r="AG331" s="94"/>
    </row>
    <row r="332"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4"/>
      <c r="AE332" s="94"/>
      <c r="AF332" s="94"/>
      <c r="AG332" s="94"/>
    </row>
    <row r="333"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4"/>
      <c r="AE333" s="94"/>
      <c r="AF333" s="94"/>
      <c r="AG333" s="94"/>
    </row>
    <row r="334"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4"/>
      <c r="AE334" s="94"/>
      <c r="AF334" s="94"/>
      <c r="AG334" s="94"/>
    </row>
    <row r="335"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4"/>
      <c r="AE335" s="94"/>
      <c r="AF335" s="94"/>
      <c r="AG335" s="94"/>
    </row>
    <row r="336"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4"/>
      <c r="AE336" s="94"/>
      <c r="AF336" s="94"/>
      <c r="AG336" s="94"/>
    </row>
    <row r="337"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4"/>
      <c r="AE337" s="94"/>
      <c r="AF337" s="94"/>
      <c r="AG337" s="94"/>
    </row>
    <row r="338"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4"/>
      <c r="AE338" s="94"/>
      <c r="AF338" s="94"/>
      <c r="AG338" s="94"/>
    </row>
    <row r="339"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4"/>
      <c r="AE339" s="94"/>
      <c r="AF339" s="94"/>
      <c r="AG339" s="94"/>
    </row>
    <row r="340"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4"/>
      <c r="AE340" s="94"/>
      <c r="AF340" s="94"/>
      <c r="AG340" s="94"/>
    </row>
    <row r="341"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4"/>
      <c r="AE341" s="94"/>
      <c r="AF341" s="94"/>
      <c r="AG341" s="94"/>
    </row>
    <row r="342"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4"/>
      <c r="AE342" s="94"/>
      <c r="AF342" s="94"/>
      <c r="AG342" s="94"/>
    </row>
    <row r="343"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4"/>
      <c r="AE343" s="94"/>
      <c r="AF343" s="94"/>
      <c r="AG343" s="94"/>
    </row>
    <row r="344"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4"/>
      <c r="AE344" s="94"/>
      <c r="AF344" s="94"/>
      <c r="AG344" s="94"/>
    </row>
    <row r="345"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4"/>
      <c r="AE345" s="94"/>
      <c r="AF345" s="94"/>
      <c r="AG345" s="94"/>
    </row>
    <row r="346"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4"/>
      <c r="AE346" s="94"/>
      <c r="AF346" s="94"/>
      <c r="AG346" s="94"/>
    </row>
    <row r="347"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4"/>
      <c r="AE347" s="94"/>
      <c r="AF347" s="94"/>
      <c r="AG347" s="94"/>
    </row>
    <row r="348"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4"/>
      <c r="AE348" s="94"/>
      <c r="AF348" s="94"/>
      <c r="AG348" s="94"/>
    </row>
    <row r="349"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4"/>
      <c r="AE349" s="94"/>
      <c r="AF349" s="94"/>
      <c r="AG349" s="94"/>
    </row>
    <row r="350"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4"/>
      <c r="AE350" s="94"/>
      <c r="AF350" s="94"/>
      <c r="AG350" s="94"/>
    </row>
    <row r="351"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4"/>
      <c r="AE351" s="94"/>
      <c r="AF351" s="94"/>
      <c r="AG351" s="94"/>
    </row>
    <row r="352"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4"/>
      <c r="AE352" s="94"/>
      <c r="AF352" s="94"/>
      <c r="AG352" s="94"/>
    </row>
    <row r="353"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4"/>
      <c r="AE353" s="94"/>
      <c r="AF353" s="94"/>
      <c r="AG353" s="94"/>
    </row>
    <row r="354"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4"/>
      <c r="AE354" s="94"/>
      <c r="AF354" s="94"/>
      <c r="AG354" s="94"/>
    </row>
    <row r="355"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4"/>
      <c r="AE355" s="94"/>
      <c r="AF355" s="94"/>
      <c r="AG355" s="94"/>
    </row>
    <row r="356"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4"/>
      <c r="AE356" s="94"/>
      <c r="AF356" s="94"/>
      <c r="AG356" s="94"/>
    </row>
    <row r="357"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4"/>
      <c r="AE357" s="94"/>
      <c r="AF357" s="94"/>
      <c r="AG357" s="94"/>
    </row>
    <row r="358"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4"/>
      <c r="AE358" s="94"/>
      <c r="AF358" s="94"/>
      <c r="AG358" s="94"/>
    </row>
    <row r="359"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4"/>
      <c r="AE359" s="94"/>
      <c r="AF359" s="94"/>
      <c r="AG359" s="94"/>
    </row>
    <row r="360"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4"/>
      <c r="AE360" s="94"/>
      <c r="AF360" s="94"/>
      <c r="AG360" s="94"/>
    </row>
    <row r="361"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4"/>
      <c r="AE361" s="94"/>
      <c r="AF361" s="94"/>
      <c r="AG361" s="94"/>
    </row>
    <row r="362"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4"/>
      <c r="AE362" s="94"/>
      <c r="AF362" s="94"/>
      <c r="AG362" s="94"/>
    </row>
    <row r="363"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4"/>
      <c r="AE363" s="94"/>
      <c r="AF363" s="94"/>
      <c r="AG363" s="94"/>
    </row>
    <row r="364"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4"/>
      <c r="AE364" s="94"/>
      <c r="AF364" s="94"/>
      <c r="AG364" s="94"/>
    </row>
    <row r="365"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4"/>
      <c r="AE365" s="94"/>
      <c r="AF365" s="94"/>
      <c r="AG365" s="94"/>
    </row>
    <row r="366"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4"/>
      <c r="AE366" s="94"/>
      <c r="AF366" s="94"/>
      <c r="AG366" s="94"/>
    </row>
    <row r="367"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4"/>
      <c r="AE367" s="94"/>
      <c r="AF367" s="94"/>
      <c r="AG367" s="94"/>
    </row>
    <row r="368"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4"/>
      <c r="AE368" s="94"/>
      <c r="AF368" s="94"/>
      <c r="AG368" s="94"/>
    </row>
    <row r="369"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4"/>
      <c r="AE369" s="94"/>
      <c r="AF369" s="94"/>
      <c r="AG369" s="94"/>
    </row>
    <row r="370"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4"/>
      <c r="AE370" s="94"/>
      <c r="AF370" s="94"/>
      <c r="AG370" s="94"/>
    </row>
    <row r="371"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4"/>
      <c r="AE371" s="94"/>
      <c r="AF371" s="94"/>
      <c r="AG371" s="94"/>
    </row>
    <row r="372"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4"/>
      <c r="AE372" s="94"/>
      <c r="AF372" s="94"/>
      <c r="AG372" s="94"/>
    </row>
    <row r="373"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4"/>
      <c r="AE373" s="94"/>
      <c r="AF373" s="94"/>
      <c r="AG373" s="94"/>
    </row>
    <row r="374"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4"/>
      <c r="AE374" s="94"/>
      <c r="AF374" s="94"/>
      <c r="AG374" s="94"/>
    </row>
    <row r="375"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4"/>
      <c r="AE375" s="94"/>
      <c r="AF375" s="94"/>
      <c r="AG375" s="94"/>
    </row>
    <row r="376"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4"/>
      <c r="AE376" s="94"/>
      <c r="AF376" s="94"/>
      <c r="AG376" s="94"/>
    </row>
    <row r="377"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4"/>
      <c r="AE377" s="94"/>
      <c r="AF377" s="94"/>
      <c r="AG377" s="94"/>
    </row>
    <row r="378"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4"/>
      <c r="AE378" s="94"/>
      <c r="AF378" s="94"/>
      <c r="AG378" s="94"/>
    </row>
    <row r="379"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4"/>
      <c r="AE379" s="94"/>
      <c r="AF379" s="94"/>
      <c r="AG379" s="94"/>
    </row>
    <row r="380"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4"/>
      <c r="AE380" s="94"/>
      <c r="AF380" s="94"/>
      <c r="AG380" s="94"/>
    </row>
    <row r="381"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4"/>
      <c r="AE381" s="94"/>
      <c r="AF381" s="94"/>
      <c r="AG381" s="94"/>
    </row>
    <row r="382"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4"/>
      <c r="AE382" s="94"/>
      <c r="AF382" s="94"/>
      <c r="AG382" s="94"/>
    </row>
    <row r="383"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4"/>
      <c r="AE383" s="94"/>
      <c r="AF383" s="94"/>
      <c r="AG383" s="94"/>
    </row>
    <row r="384"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4"/>
      <c r="AE384" s="94"/>
      <c r="AF384" s="94"/>
      <c r="AG384" s="94"/>
    </row>
    <row r="385"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4"/>
      <c r="AE385" s="94"/>
      <c r="AF385" s="94"/>
      <c r="AG385" s="94"/>
    </row>
    <row r="386"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4"/>
      <c r="AE386" s="94"/>
      <c r="AF386" s="94"/>
      <c r="AG386" s="94"/>
    </row>
    <row r="387"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4"/>
      <c r="AE387" s="94"/>
      <c r="AF387" s="94"/>
      <c r="AG387" s="94"/>
    </row>
    <row r="388"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4"/>
      <c r="AE388" s="94"/>
      <c r="AF388" s="94"/>
      <c r="AG388" s="94"/>
    </row>
    <row r="389"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4"/>
      <c r="AE389" s="94"/>
      <c r="AF389" s="94"/>
      <c r="AG389" s="94"/>
    </row>
    <row r="390"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4"/>
      <c r="AE390" s="94"/>
      <c r="AF390" s="94"/>
      <c r="AG390" s="94"/>
    </row>
    <row r="391"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4"/>
      <c r="AE391" s="94"/>
      <c r="AF391" s="94"/>
      <c r="AG391" s="94"/>
    </row>
    <row r="392"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4"/>
      <c r="AE392" s="94"/>
      <c r="AF392" s="94"/>
      <c r="AG392" s="94"/>
    </row>
    <row r="393"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4"/>
      <c r="AE393" s="94"/>
      <c r="AF393" s="94"/>
      <c r="AG393" s="94"/>
    </row>
    <row r="394"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4"/>
      <c r="AE394" s="94"/>
      <c r="AF394" s="94"/>
      <c r="AG394" s="94"/>
    </row>
    <row r="395"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4"/>
      <c r="AE395" s="94"/>
      <c r="AF395" s="94"/>
      <c r="AG395" s="94"/>
    </row>
    <row r="396"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4"/>
      <c r="AE396" s="94"/>
      <c r="AF396" s="94"/>
      <c r="AG396" s="94"/>
    </row>
    <row r="397"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4"/>
      <c r="AE397" s="94"/>
      <c r="AF397" s="94"/>
      <c r="AG397" s="94"/>
    </row>
    <row r="398"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4"/>
      <c r="AE398" s="94"/>
      <c r="AF398" s="94"/>
      <c r="AG398" s="94"/>
    </row>
    <row r="399"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4"/>
      <c r="AE399" s="94"/>
      <c r="AF399" s="94"/>
      <c r="AG399" s="94"/>
    </row>
    <row r="400"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4"/>
      <c r="AE400" s="94"/>
      <c r="AF400" s="94"/>
      <c r="AG400" s="94"/>
    </row>
    <row r="401"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4"/>
      <c r="AE401" s="94"/>
      <c r="AF401" s="94"/>
      <c r="AG401" s="94"/>
    </row>
    <row r="402"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4"/>
      <c r="AE402" s="94"/>
      <c r="AF402" s="94"/>
      <c r="AG402" s="94"/>
    </row>
    <row r="403"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4"/>
      <c r="AE403" s="94"/>
      <c r="AF403" s="94"/>
      <c r="AG403" s="94"/>
    </row>
    <row r="404"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4"/>
      <c r="AE404" s="94"/>
      <c r="AF404" s="94"/>
      <c r="AG404" s="94"/>
    </row>
    <row r="405"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4"/>
      <c r="AE405" s="94"/>
      <c r="AF405" s="94"/>
      <c r="AG405" s="94"/>
    </row>
    <row r="406"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4"/>
      <c r="AE406" s="94"/>
      <c r="AF406" s="94"/>
      <c r="AG406" s="94"/>
    </row>
    <row r="407"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4"/>
      <c r="AE407" s="94"/>
      <c r="AF407" s="94"/>
      <c r="AG407" s="94"/>
    </row>
    <row r="408"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4"/>
      <c r="AE408" s="94"/>
      <c r="AF408" s="94"/>
      <c r="AG408" s="94"/>
    </row>
    <row r="409"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4"/>
      <c r="AE409" s="94"/>
      <c r="AF409" s="94"/>
      <c r="AG409" s="94"/>
    </row>
    <row r="410"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4"/>
      <c r="AE410" s="94"/>
      <c r="AF410" s="94"/>
      <c r="AG410" s="94"/>
    </row>
    <row r="411"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4"/>
      <c r="AE411" s="94"/>
      <c r="AF411" s="94"/>
      <c r="AG411" s="94"/>
    </row>
    <row r="412"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4"/>
      <c r="AE412" s="94"/>
      <c r="AF412" s="94"/>
      <c r="AG412" s="94"/>
    </row>
    <row r="413"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4"/>
      <c r="AE413" s="94"/>
      <c r="AF413" s="94"/>
      <c r="AG413" s="94"/>
    </row>
    <row r="414"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4"/>
      <c r="AE414" s="94"/>
      <c r="AF414" s="94"/>
      <c r="AG414" s="94"/>
    </row>
    <row r="415"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4"/>
      <c r="AE415" s="94"/>
      <c r="AF415" s="94"/>
      <c r="AG415" s="94"/>
    </row>
    <row r="416"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4"/>
      <c r="AE416" s="94"/>
      <c r="AF416" s="94"/>
      <c r="AG416" s="94"/>
    </row>
    <row r="417"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4"/>
      <c r="AE417" s="94"/>
      <c r="AF417" s="94"/>
      <c r="AG417" s="94"/>
    </row>
    <row r="418"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4"/>
      <c r="AE418" s="94"/>
      <c r="AF418" s="94"/>
      <c r="AG418" s="94"/>
    </row>
    <row r="419"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4"/>
      <c r="AE419" s="94"/>
      <c r="AF419" s="94"/>
      <c r="AG419" s="94"/>
    </row>
    <row r="420"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4"/>
      <c r="AE420" s="94"/>
      <c r="AF420" s="94"/>
      <c r="AG420" s="94"/>
    </row>
    <row r="421"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4"/>
      <c r="AE421" s="94"/>
      <c r="AF421" s="94"/>
      <c r="AG421" s="94"/>
    </row>
    <row r="422"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4"/>
      <c r="AE422" s="94"/>
      <c r="AF422" s="94"/>
      <c r="AG422" s="94"/>
    </row>
    <row r="423"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4"/>
      <c r="AE423" s="94"/>
      <c r="AF423" s="94"/>
      <c r="AG423" s="94"/>
    </row>
    <row r="424"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4"/>
      <c r="AE424" s="94"/>
      <c r="AF424" s="94"/>
      <c r="AG424" s="94"/>
    </row>
    <row r="425"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4"/>
      <c r="AE425" s="94"/>
      <c r="AF425" s="94"/>
      <c r="AG425" s="94"/>
    </row>
    <row r="426"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4"/>
      <c r="AE426" s="94"/>
      <c r="AF426" s="94"/>
      <c r="AG426" s="94"/>
    </row>
    <row r="427"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4"/>
      <c r="AE427" s="94"/>
      <c r="AF427" s="94"/>
      <c r="AG427" s="94"/>
    </row>
    <row r="428"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4"/>
      <c r="AE428" s="94"/>
      <c r="AF428" s="94"/>
      <c r="AG428" s="94"/>
    </row>
    <row r="429"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4"/>
      <c r="AE429" s="94"/>
      <c r="AF429" s="94"/>
      <c r="AG429" s="94"/>
    </row>
    <row r="430"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4"/>
      <c r="AE430" s="94"/>
      <c r="AF430" s="94"/>
      <c r="AG430" s="94"/>
    </row>
    <row r="431"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4"/>
      <c r="AE431" s="94"/>
      <c r="AF431" s="94"/>
      <c r="AG431" s="94"/>
    </row>
    <row r="432"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4"/>
      <c r="AE432" s="94"/>
      <c r="AF432" s="94"/>
      <c r="AG432" s="94"/>
    </row>
    <row r="433"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4"/>
      <c r="AE433" s="94"/>
      <c r="AF433" s="94"/>
      <c r="AG433" s="94"/>
    </row>
    <row r="434"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4"/>
      <c r="AE434" s="94"/>
      <c r="AF434" s="94"/>
      <c r="AG434" s="94"/>
    </row>
    <row r="435"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4"/>
      <c r="AE435" s="94"/>
      <c r="AF435" s="94"/>
      <c r="AG435" s="94"/>
    </row>
    <row r="436"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4"/>
      <c r="AE436" s="94"/>
      <c r="AF436" s="94"/>
      <c r="AG436" s="94"/>
    </row>
    <row r="437"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4"/>
      <c r="AE437" s="94"/>
      <c r="AF437" s="94"/>
      <c r="AG437" s="94"/>
    </row>
    <row r="438"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4"/>
      <c r="AE438" s="94"/>
      <c r="AF438" s="94"/>
      <c r="AG438" s="94"/>
    </row>
    <row r="439"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4"/>
      <c r="AE439" s="94"/>
      <c r="AF439" s="94"/>
      <c r="AG439" s="94"/>
    </row>
    <row r="440"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4"/>
      <c r="AE440" s="94"/>
      <c r="AF440" s="94"/>
      <c r="AG440" s="94"/>
    </row>
    <row r="441"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4"/>
      <c r="AE441" s="94"/>
      <c r="AF441" s="94"/>
      <c r="AG441" s="94"/>
    </row>
    <row r="442"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4"/>
      <c r="AE442" s="94"/>
      <c r="AF442" s="94"/>
      <c r="AG442" s="94"/>
    </row>
    <row r="443"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4"/>
      <c r="AE443" s="94"/>
      <c r="AF443" s="94"/>
      <c r="AG443" s="94"/>
    </row>
    <row r="444"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4"/>
      <c r="AE444" s="94"/>
      <c r="AF444" s="94"/>
      <c r="AG444" s="94"/>
    </row>
    <row r="445"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4"/>
      <c r="AE445" s="94"/>
      <c r="AF445" s="94"/>
      <c r="AG445" s="94"/>
    </row>
    <row r="446"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4"/>
      <c r="AE446" s="94"/>
      <c r="AF446" s="94"/>
      <c r="AG446" s="94"/>
    </row>
    <row r="447"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4"/>
      <c r="AE447" s="94"/>
      <c r="AF447" s="94"/>
      <c r="AG447" s="94"/>
    </row>
    <row r="448"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4"/>
      <c r="AE448" s="94"/>
      <c r="AF448" s="94"/>
      <c r="AG448" s="94"/>
    </row>
    <row r="449"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4"/>
      <c r="AE449" s="94"/>
      <c r="AF449" s="94"/>
      <c r="AG449" s="94"/>
    </row>
    <row r="450"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4"/>
      <c r="AE450" s="94"/>
      <c r="AF450" s="94"/>
      <c r="AG450" s="94"/>
    </row>
    <row r="451"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4"/>
      <c r="AE451" s="94"/>
      <c r="AF451" s="94"/>
      <c r="AG451" s="94"/>
    </row>
    <row r="452"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4"/>
      <c r="AE452" s="94"/>
      <c r="AF452" s="94"/>
      <c r="AG452" s="94"/>
    </row>
    <row r="453"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4"/>
      <c r="AE453" s="94"/>
      <c r="AF453" s="94"/>
      <c r="AG453" s="94"/>
    </row>
    <row r="454"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4"/>
      <c r="AE454" s="94"/>
      <c r="AF454" s="94"/>
      <c r="AG454" s="94"/>
    </row>
    <row r="455"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4"/>
      <c r="AE455" s="94"/>
      <c r="AF455" s="94"/>
      <c r="AG455" s="94"/>
    </row>
    <row r="456"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4"/>
      <c r="AE456" s="94"/>
      <c r="AF456" s="94"/>
      <c r="AG456" s="94"/>
    </row>
    <row r="457"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4"/>
      <c r="AE457" s="94"/>
      <c r="AF457" s="94"/>
      <c r="AG457" s="94"/>
    </row>
    <row r="458"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4"/>
      <c r="AE458" s="94"/>
      <c r="AF458" s="94"/>
      <c r="AG458" s="94"/>
    </row>
    <row r="459"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4"/>
      <c r="AE459" s="94"/>
      <c r="AF459" s="94"/>
      <c r="AG459" s="94"/>
    </row>
    <row r="460"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4"/>
      <c r="AE460" s="94"/>
      <c r="AF460" s="94"/>
      <c r="AG460" s="94"/>
    </row>
    <row r="461"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4"/>
      <c r="AE461" s="94"/>
      <c r="AF461" s="94"/>
      <c r="AG461" s="94"/>
    </row>
    <row r="462"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4"/>
      <c r="AE462" s="94"/>
      <c r="AF462" s="94"/>
      <c r="AG462" s="94"/>
    </row>
    <row r="463"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4"/>
      <c r="AE463" s="94"/>
      <c r="AF463" s="94"/>
      <c r="AG463" s="94"/>
    </row>
    <row r="464"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4"/>
      <c r="AE464" s="94"/>
      <c r="AF464" s="94"/>
      <c r="AG464" s="94"/>
    </row>
    <row r="465"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4"/>
      <c r="AE465" s="94"/>
      <c r="AF465" s="94"/>
      <c r="AG465" s="94"/>
    </row>
    <row r="466"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4"/>
      <c r="AE466" s="94"/>
      <c r="AF466" s="94"/>
      <c r="AG466" s="94"/>
    </row>
    <row r="467"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4"/>
      <c r="AE467" s="94"/>
      <c r="AF467" s="94"/>
      <c r="AG467" s="94"/>
    </row>
    <row r="468"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4"/>
      <c r="AE468" s="94"/>
      <c r="AF468" s="94"/>
      <c r="AG468" s="94"/>
    </row>
    <row r="469"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4"/>
      <c r="AE469" s="94"/>
      <c r="AF469" s="94"/>
      <c r="AG469" s="94"/>
    </row>
    <row r="470"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4"/>
      <c r="AE470" s="94"/>
      <c r="AF470" s="94"/>
      <c r="AG470" s="94"/>
    </row>
    <row r="471"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4"/>
      <c r="AE471" s="94"/>
      <c r="AF471" s="94"/>
      <c r="AG471" s="94"/>
    </row>
    <row r="472"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4"/>
      <c r="AE472" s="94"/>
      <c r="AF472" s="94"/>
      <c r="AG472" s="94"/>
    </row>
    <row r="473"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4"/>
      <c r="AE473" s="94"/>
      <c r="AF473" s="94"/>
      <c r="AG473" s="94"/>
    </row>
    <row r="474"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4"/>
      <c r="AE474" s="94"/>
      <c r="AF474" s="94"/>
      <c r="AG474" s="94"/>
    </row>
    <row r="475"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4"/>
      <c r="AE475" s="94"/>
      <c r="AF475" s="94"/>
      <c r="AG475" s="94"/>
    </row>
    <row r="476"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4"/>
      <c r="AE476" s="94"/>
      <c r="AF476" s="94"/>
      <c r="AG476" s="94"/>
    </row>
    <row r="477"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4"/>
      <c r="AE477" s="94"/>
      <c r="AF477" s="94"/>
      <c r="AG477" s="94"/>
    </row>
    <row r="478"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4"/>
      <c r="AE478" s="94"/>
      <c r="AF478" s="94"/>
      <c r="AG478" s="94"/>
    </row>
    <row r="479"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4"/>
      <c r="AE479" s="94"/>
      <c r="AF479" s="94"/>
      <c r="AG479" s="94"/>
    </row>
    <row r="480"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4"/>
      <c r="AE480" s="94"/>
      <c r="AF480" s="94"/>
      <c r="AG480" s="94"/>
    </row>
    <row r="481"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4"/>
      <c r="AE481" s="94"/>
      <c r="AF481" s="94"/>
      <c r="AG481" s="94"/>
    </row>
    <row r="482"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4"/>
      <c r="AE482" s="94"/>
      <c r="AF482" s="94"/>
      <c r="AG482" s="94"/>
    </row>
    <row r="483"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4"/>
      <c r="AE483" s="94"/>
      <c r="AF483" s="94"/>
      <c r="AG483" s="94"/>
    </row>
    <row r="484"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4"/>
      <c r="AE484" s="94"/>
      <c r="AF484" s="94"/>
      <c r="AG484" s="94"/>
    </row>
    <row r="485"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4"/>
      <c r="AE485" s="94"/>
      <c r="AF485" s="94"/>
      <c r="AG485" s="94"/>
    </row>
    <row r="486"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4"/>
      <c r="AE486" s="94"/>
      <c r="AF486" s="94"/>
      <c r="AG486" s="94"/>
    </row>
    <row r="487"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4"/>
      <c r="AE487" s="94"/>
      <c r="AF487" s="94"/>
      <c r="AG487" s="94"/>
    </row>
    <row r="488"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4"/>
      <c r="AE488" s="94"/>
      <c r="AF488" s="94"/>
      <c r="AG488" s="94"/>
    </row>
    <row r="489"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4"/>
      <c r="AE489" s="94"/>
      <c r="AF489" s="94"/>
      <c r="AG489" s="94"/>
    </row>
    <row r="490"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4"/>
      <c r="AE490" s="94"/>
      <c r="AF490" s="94"/>
      <c r="AG490" s="94"/>
    </row>
    <row r="491"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4"/>
      <c r="AE491" s="94"/>
      <c r="AF491" s="94"/>
      <c r="AG491" s="94"/>
    </row>
    <row r="492"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4"/>
      <c r="AE492" s="94"/>
      <c r="AF492" s="94"/>
      <c r="AG492" s="94"/>
    </row>
    <row r="493"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4"/>
      <c r="AE493" s="94"/>
      <c r="AF493" s="94"/>
      <c r="AG493" s="94"/>
    </row>
    <row r="494"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4"/>
      <c r="AE494" s="94"/>
      <c r="AF494" s="94"/>
      <c r="AG494" s="94"/>
    </row>
    <row r="495"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4"/>
      <c r="AE495" s="94"/>
      <c r="AF495" s="94"/>
      <c r="AG495" s="94"/>
    </row>
    <row r="496"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4"/>
      <c r="AE496" s="94"/>
      <c r="AF496" s="94"/>
      <c r="AG496" s="94"/>
    </row>
    <row r="497"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4"/>
      <c r="AE497" s="94"/>
      <c r="AF497" s="94"/>
      <c r="AG497" s="94"/>
    </row>
    <row r="498"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4"/>
      <c r="AE498" s="94"/>
      <c r="AF498" s="94"/>
      <c r="AG498" s="94"/>
    </row>
    <row r="499"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4"/>
      <c r="AE499" s="94"/>
      <c r="AF499" s="94"/>
      <c r="AG499" s="94"/>
    </row>
    <row r="500"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4"/>
      <c r="AE500" s="94"/>
      <c r="AF500" s="94"/>
      <c r="AG500" s="94"/>
    </row>
    <row r="501"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4"/>
      <c r="AE501" s="94"/>
      <c r="AF501" s="94"/>
      <c r="AG501" s="94"/>
    </row>
    <row r="502"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4"/>
      <c r="AE502" s="94"/>
      <c r="AF502" s="94"/>
      <c r="AG502" s="94"/>
    </row>
    <row r="503"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4"/>
      <c r="AE503" s="94"/>
      <c r="AF503" s="94"/>
      <c r="AG503" s="94"/>
    </row>
    <row r="504"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4"/>
      <c r="AE504" s="94"/>
      <c r="AF504" s="94"/>
      <c r="AG504" s="94"/>
    </row>
    <row r="505"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4"/>
      <c r="AE505" s="94"/>
      <c r="AF505" s="94"/>
      <c r="AG505" s="94"/>
    </row>
    <row r="506"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4"/>
      <c r="AE506" s="94"/>
      <c r="AF506" s="94"/>
      <c r="AG506" s="94"/>
    </row>
    <row r="507"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4"/>
      <c r="AE507" s="94"/>
      <c r="AF507" s="94"/>
      <c r="AG507" s="94"/>
    </row>
    <row r="508"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4"/>
      <c r="AE508" s="94"/>
      <c r="AF508" s="94"/>
      <c r="AG508" s="94"/>
    </row>
    <row r="509"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4"/>
      <c r="AE509" s="94"/>
      <c r="AF509" s="94"/>
      <c r="AG509" s="94"/>
    </row>
    <row r="510"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4"/>
      <c r="AE510" s="94"/>
      <c r="AF510" s="94"/>
      <c r="AG510" s="94"/>
    </row>
    <row r="511"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4"/>
      <c r="AE511" s="94"/>
      <c r="AF511" s="94"/>
      <c r="AG511" s="94"/>
    </row>
    <row r="512"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4"/>
      <c r="AE512" s="94"/>
      <c r="AF512" s="94"/>
      <c r="AG512" s="94"/>
    </row>
    <row r="513"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4"/>
      <c r="AE513" s="94"/>
      <c r="AF513" s="94"/>
      <c r="AG513" s="94"/>
    </row>
    <row r="514"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4"/>
      <c r="AE514" s="94"/>
      <c r="AF514" s="94"/>
      <c r="AG514" s="94"/>
    </row>
    <row r="515"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4"/>
      <c r="AE515" s="94"/>
      <c r="AF515" s="94"/>
      <c r="AG515" s="94"/>
    </row>
    <row r="516"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4"/>
      <c r="AE516" s="94"/>
      <c r="AF516" s="94"/>
      <c r="AG516" s="94"/>
    </row>
    <row r="517"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4"/>
      <c r="AE517" s="94"/>
      <c r="AF517" s="94"/>
      <c r="AG517" s="94"/>
    </row>
    <row r="518"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4"/>
      <c r="AE518" s="94"/>
      <c r="AF518" s="94"/>
      <c r="AG518" s="94"/>
    </row>
    <row r="519"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4"/>
      <c r="AE519" s="94"/>
      <c r="AF519" s="94"/>
      <c r="AG519" s="94"/>
    </row>
    <row r="520"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4"/>
      <c r="AE520" s="94"/>
      <c r="AF520" s="94"/>
      <c r="AG520" s="94"/>
    </row>
    <row r="521"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4"/>
      <c r="AE521" s="94"/>
      <c r="AF521" s="94"/>
      <c r="AG521" s="94"/>
    </row>
    <row r="522"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4"/>
      <c r="AE522" s="94"/>
      <c r="AF522" s="94"/>
      <c r="AG522" s="94"/>
    </row>
    <row r="523"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4"/>
      <c r="AE523" s="94"/>
      <c r="AF523" s="94"/>
      <c r="AG523" s="94"/>
    </row>
    <row r="524"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4"/>
      <c r="AE524" s="94"/>
      <c r="AF524" s="94"/>
      <c r="AG524" s="94"/>
    </row>
    <row r="525"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4"/>
      <c r="AE525" s="94"/>
      <c r="AF525" s="94"/>
      <c r="AG525" s="94"/>
    </row>
    <row r="526"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4"/>
      <c r="AE526" s="94"/>
      <c r="AF526" s="94"/>
      <c r="AG526" s="94"/>
    </row>
    <row r="527"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4"/>
      <c r="AE527" s="94"/>
      <c r="AF527" s="94"/>
      <c r="AG527" s="94"/>
    </row>
    <row r="528"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4"/>
      <c r="AE528" s="94"/>
      <c r="AF528" s="94"/>
      <c r="AG528" s="94"/>
    </row>
    <row r="529"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4"/>
      <c r="AE529" s="94"/>
      <c r="AF529" s="94"/>
      <c r="AG529" s="94"/>
    </row>
    <row r="530"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4"/>
      <c r="AE530" s="94"/>
      <c r="AF530" s="94"/>
      <c r="AG530" s="94"/>
    </row>
    <row r="531"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4"/>
      <c r="AE531" s="94"/>
      <c r="AF531" s="94"/>
      <c r="AG531" s="94"/>
    </row>
    <row r="532"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4"/>
      <c r="AE532" s="94"/>
      <c r="AF532" s="94"/>
      <c r="AG532" s="94"/>
    </row>
    <row r="533"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4"/>
      <c r="AE533" s="94"/>
      <c r="AF533" s="94"/>
      <c r="AG533" s="94"/>
    </row>
    <row r="534"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4"/>
      <c r="AE534" s="94"/>
      <c r="AF534" s="94"/>
      <c r="AG534" s="94"/>
    </row>
    <row r="535"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4"/>
      <c r="AE535" s="94"/>
      <c r="AF535" s="94"/>
      <c r="AG535" s="94"/>
    </row>
    <row r="536"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4"/>
      <c r="AE536" s="94"/>
      <c r="AF536" s="94"/>
      <c r="AG536" s="94"/>
    </row>
    <row r="537"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4"/>
      <c r="AE537" s="94"/>
      <c r="AF537" s="94"/>
      <c r="AG537" s="94"/>
    </row>
    <row r="538"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4"/>
      <c r="AE538" s="94"/>
      <c r="AF538" s="94"/>
      <c r="AG538" s="94"/>
    </row>
    <row r="539"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4"/>
      <c r="AE539" s="94"/>
      <c r="AF539" s="94"/>
      <c r="AG539" s="94"/>
    </row>
    <row r="540"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4"/>
      <c r="AE540" s="94"/>
      <c r="AF540" s="94"/>
      <c r="AG540" s="94"/>
    </row>
    <row r="541"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4"/>
      <c r="AE541" s="94"/>
      <c r="AF541" s="94"/>
      <c r="AG541" s="94"/>
    </row>
    <row r="542"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4"/>
      <c r="AE542" s="94"/>
      <c r="AF542" s="94"/>
      <c r="AG542" s="94"/>
    </row>
    <row r="543"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4"/>
      <c r="AE543" s="94"/>
      <c r="AF543" s="94"/>
      <c r="AG543" s="94"/>
    </row>
    <row r="544"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4"/>
      <c r="AE544" s="94"/>
      <c r="AF544" s="94"/>
      <c r="AG544" s="94"/>
    </row>
    <row r="545"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4"/>
      <c r="AE545" s="94"/>
      <c r="AF545" s="94"/>
      <c r="AG545" s="94"/>
    </row>
    <row r="546"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4"/>
      <c r="AE546" s="94"/>
      <c r="AF546" s="94"/>
      <c r="AG546" s="94"/>
    </row>
    <row r="547"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4"/>
      <c r="AE547" s="94"/>
      <c r="AF547" s="94"/>
      <c r="AG547" s="94"/>
    </row>
    <row r="548"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4"/>
      <c r="AE548" s="94"/>
      <c r="AF548" s="94"/>
      <c r="AG548" s="94"/>
    </row>
    <row r="549"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4"/>
      <c r="AE549" s="94"/>
      <c r="AF549" s="94"/>
      <c r="AG549" s="94"/>
    </row>
    <row r="550"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4"/>
      <c r="AE550" s="94"/>
      <c r="AF550" s="94"/>
      <c r="AG550" s="94"/>
    </row>
    <row r="551"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4"/>
      <c r="AE551" s="94"/>
      <c r="AF551" s="94"/>
      <c r="AG551" s="94"/>
    </row>
    <row r="552"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4"/>
      <c r="AE552" s="94"/>
      <c r="AF552" s="94"/>
      <c r="AG552" s="94"/>
    </row>
    <row r="553"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4"/>
      <c r="AE553" s="94"/>
      <c r="AF553" s="94"/>
      <c r="AG553" s="94"/>
    </row>
    <row r="554"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4"/>
      <c r="AE554" s="94"/>
      <c r="AF554" s="94"/>
      <c r="AG554" s="94"/>
    </row>
    <row r="555"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4"/>
      <c r="AE555" s="94"/>
      <c r="AF555" s="94"/>
      <c r="AG555" s="94"/>
    </row>
    <row r="556"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4"/>
      <c r="AE556" s="94"/>
      <c r="AF556" s="94"/>
      <c r="AG556" s="94"/>
    </row>
    <row r="557"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4"/>
      <c r="AE557" s="94"/>
      <c r="AF557" s="94"/>
      <c r="AG557" s="94"/>
    </row>
    <row r="558"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4"/>
      <c r="AE558" s="94"/>
      <c r="AF558" s="94"/>
      <c r="AG558" s="94"/>
    </row>
    <row r="559"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4"/>
      <c r="AE559" s="94"/>
      <c r="AF559" s="94"/>
      <c r="AG559" s="94"/>
    </row>
    <row r="560"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4"/>
      <c r="AE560" s="94"/>
      <c r="AF560" s="94"/>
      <c r="AG560" s="94"/>
    </row>
    <row r="561"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4"/>
      <c r="AE561" s="94"/>
      <c r="AF561" s="94"/>
      <c r="AG561" s="94"/>
    </row>
    <row r="562"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4"/>
      <c r="AE562" s="94"/>
      <c r="AF562" s="94"/>
      <c r="AG562" s="94"/>
    </row>
    <row r="563"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4"/>
      <c r="AE563" s="94"/>
      <c r="AF563" s="94"/>
      <c r="AG563" s="94"/>
    </row>
    <row r="564"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4"/>
      <c r="AE564" s="94"/>
      <c r="AF564" s="94"/>
      <c r="AG564" s="94"/>
    </row>
    <row r="565"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4"/>
      <c r="AE565" s="94"/>
      <c r="AF565" s="94"/>
      <c r="AG565" s="94"/>
    </row>
    <row r="566"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4"/>
      <c r="AE566" s="94"/>
      <c r="AF566" s="94"/>
      <c r="AG566" s="94"/>
    </row>
    <row r="567"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4"/>
      <c r="AE567" s="94"/>
      <c r="AF567" s="94"/>
      <c r="AG567" s="94"/>
    </row>
    <row r="568"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4"/>
      <c r="AE568" s="94"/>
      <c r="AF568" s="94"/>
      <c r="AG568" s="94"/>
    </row>
    <row r="569"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4"/>
      <c r="AE569" s="94"/>
      <c r="AF569" s="94"/>
      <c r="AG569" s="94"/>
    </row>
    <row r="570"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4"/>
      <c r="AE570" s="94"/>
      <c r="AF570" s="94"/>
      <c r="AG570" s="94"/>
    </row>
    <row r="571"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4"/>
      <c r="AE571" s="94"/>
      <c r="AF571" s="94"/>
      <c r="AG571" s="94"/>
    </row>
    <row r="572"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4"/>
      <c r="AE572" s="94"/>
      <c r="AF572" s="94"/>
      <c r="AG572" s="94"/>
    </row>
    <row r="573"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4"/>
      <c r="AE573" s="94"/>
      <c r="AF573" s="94"/>
      <c r="AG573" s="94"/>
    </row>
    <row r="574"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4"/>
      <c r="AE574" s="94"/>
      <c r="AF574" s="94"/>
      <c r="AG574" s="94"/>
    </row>
    <row r="575"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4"/>
      <c r="AE575" s="94"/>
      <c r="AF575" s="94"/>
      <c r="AG575" s="94"/>
    </row>
    <row r="576"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4"/>
      <c r="AE576" s="94"/>
      <c r="AF576" s="94"/>
      <c r="AG576" s="94"/>
    </row>
    <row r="577"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4"/>
      <c r="AE577" s="94"/>
      <c r="AF577" s="94"/>
      <c r="AG577" s="94"/>
    </row>
    <row r="578"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4"/>
      <c r="AE578" s="94"/>
      <c r="AF578" s="94"/>
      <c r="AG578" s="94"/>
    </row>
    <row r="579"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4"/>
      <c r="AE579" s="94"/>
      <c r="AF579" s="94"/>
      <c r="AG579" s="94"/>
    </row>
    <row r="580"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4"/>
      <c r="AE580" s="94"/>
      <c r="AF580" s="94"/>
      <c r="AG580" s="94"/>
    </row>
    <row r="581"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4"/>
      <c r="AE581" s="94"/>
      <c r="AF581" s="94"/>
      <c r="AG581" s="94"/>
    </row>
    <row r="582"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4"/>
      <c r="AE582" s="94"/>
      <c r="AF582" s="94"/>
      <c r="AG582" s="94"/>
    </row>
    <row r="583"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4"/>
      <c r="AE583" s="94"/>
      <c r="AF583" s="94"/>
      <c r="AG583" s="94"/>
    </row>
    <row r="584"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4"/>
      <c r="AE584" s="94"/>
      <c r="AF584" s="94"/>
      <c r="AG584" s="94"/>
    </row>
    <row r="585"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4"/>
      <c r="AE585" s="94"/>
      <c r="AF585" s="94"/>
      <c r="AG585" s="94"/>
    </row>
    <row r="586"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4"/>
      <c r="AE586" s="94"/>
      <c r="AF586" s="94"/>
      <c r="AG586" s="94"/>
    </row>
    <row r="587"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4"/>
      <c r="AE587" s="94"/>
      <c r="AF587" s="94"/>
      <c r="AG587" s="94"/>
    </row>
    <row r="588"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4"/>
      <c r="AE588" s="94"/>
      <c r="AF588" s="94"/>
      <c r="AG588" s="94"/>
    </row>
    <row r="589"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4"/>
      <c r="AE589" s="94"/>
      <c r="AF589" s="94"/>
      <c r="AG589" s="94"/>
    </row>
    <row r="590"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4"/>
      <c r="AE590" s="94"/>
      <c r="AF590" s="94"/>
      <c r="AG590" s="94"/>
    </row>
    <row r="591"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4"/>
      <c r="AE591" s="94"/>
      <c r="AF591" s="94"/>
      <c r="AG591" s="94"/>
    </row>
    <row r="592"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4"/>
      <c r="AE592" s="94"/>
      <c r="AF592" s="94"/>
      <c r="AG592" s="94"/>
    </row>
    <row r="593"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4"/>
      <c r="AE593" s="94"/>
      <c r="AF593" s="94"/>
      <c r="AG593" s="94"/>
    </row>
    <row r="594"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4"/>
      <c r="AE594" s="94"/>
      <c r="AF594" s="94"/>
      <c r="AG594" s="94"/>
    </row>
    <row r="595"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4"/>
      <c r="AE595" s="94"/>
      <c r="AF595" s="94"/>
      <c r="AG595" s="94"/>
    </row>
    <row r="596"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4"/>
      <c r="AE596" s="94"/>
      <c r="AF596" s="94"/>
      <c r="AG596" s="94"/>
    </row>
    <row r="597"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4"/>
      <c r="AE597" s="94"/>
      <c r="AF597" s="94"/>
      <c r="AG597" s="94"/>
    </row>
    <row r="598"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4"/>
      <c r="AE598" s="94"/>
      <c r="AF598" s="94"/>
      <c r="AG598" s="94"/>
    </row>
    <row r="599"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4"/>
      <c r="AE599" s="94"/>
      <c r="AF599" s="94"/>
      <c r="AG599" s="94"/>
    </row>
    <row r="600"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4"/>
      <c r="AE600" s="94"/>
      <c r="AF600" s="94"/>
      <c r="AG600" s="94"/>
    </row>
    <row r="601"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4"/>
      <c r="AE601" s="94"/>
      <c r="AF601" s="94"/>
      <c r="AG601" s="94"/>
    </row>
    <row r="602"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4"/>
      <c r="AE602" s="94"/>
      <c r="AF602" s="94"/>
      <c r="AG602" s="94"/>
    </row>
    <row r="603"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4"/>
      <c r="AE603" s="94"/>
      <c r="AF603" s="94"/>
      <c r="AG603" s="94"/>
    </row>
    <row r="604"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4"/>
      <c r="AE604" s="94"/>
      <c r="AF604" s="94"/>
      <c r="AG604" s="94"/>
    </row>
    <row r="605"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4"/>
      <c r="AE605" s="94"/>
      <c r="AF605" s="94"/>
      <c r="AG605" s="94"/>
    </row>
    <row r="606"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4"/>
      <c r="AE606" s="94"/>
      <c r="AF606" s="94"/>
      <c r="AG606" s="94"/>
    </row>
    <row r="607"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4"/>
      <c r="AE607" s="94"/>
      <c r="AF607" s="94"/>
      <c r="AG607" s="94"/>
    </row>
    <row r="608"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4"/>
      <c r="AE608" s="94"/>
      <c r="AF608" s="94"/>
      <c r="AG608" s="94"/>
    </row>
    <row r="609"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4"/>
      <c r="AE609" s="94"/>
      <c r="AF609" s="94"/>
      <c r="AG609" s="94"/>
    </row>
    <row r="610"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4"/>
      <c r="AE610" s="94"/>
      <c r="AF610" s="94"/>
      <c r="AG610" s="94"/>
    </row>
    <row r="611"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4"/>
      <c r="AE611" s="94"/>
      <c r="AF611" s="94"/>
      <c r="AG611" s="94"/>
    </row>
    <row r="612"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4"/>
      <c r="AE612" s="94"/>
      <c r="AF612" s="94"/>
      <c r="AG612" s="94"/>
    </row>
    <row r="613"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4"/>
      <c r="AE613" s="94"/>
      <c r="AF613" s="94"/>
      <c r="AG613" s="94"/>
    </row>
    <row r="614"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4"/>
      <c r="AE614" s="94"/>
      <c r="AF614" s="94"/>
      <c r="AG614" s="94"/>
    </row>
    <row r="615"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4"/>
      <c r="AE615" s="94"/>
      <c r="AF615" s="94"/>
      <c r="AG615" s="94"/>
    </row>
    <row r="616"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4"/>
      <c r="AE616" s="94"/>
      <c r="AF616" s="94"/>
      <c r="AG616" s="94"/>
    </row>
    <row r="617"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4"/>
      <c r="AE617" s="94"/>
      <c r="AF617" s="94"/>
      <c r="AG617" s="94"/>
    </row>
    <row r="618"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4"/>
      <c r="AE618" s="94"/>
      <c r="AF618" s="94"/>
      <c r="AG618" s="94"/>
    </row>
    <row r="619"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4"/>
      <c r="AE619" s="94"/>
      <c r="AF619" s="94"/>
      <c r="AG619" s="94"/>
    </row>
    <row r="620"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4"/>
      <c r="AE620" s="94"/>
      <c r="AF620" s="94"/>
      <c r="AG620" s="94"/>
    </row>
    <row r="621"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4"/>
      <c r="AE621" s="94"/>
      <c r="AF621" s="94"/>
      <c r="AG621" s="94"/>
    </row>
    <row r="622"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4"/>
      <c r="AE622" s="94"/>
      <c r="AF622" s="94"/>
      <c r="AG622" s="94"/>
    </row>
    <row r="623"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4"/>
      <c r="AE623" s="94"/>
      <c r="AF623" s="94"/>
      <c r="AG623" s="94"/>
    </row>
    <row r="624"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4"/>
      <c r="AE624" s="94"/>
      <c r="AF624" s="94"/>
      <c r="AG624" s="94"/>
    </row>
    <row r="625"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4"/>
      <c r="AE625" s="94"/>
      <c r="AF625" s="94"/>
      <c r="AG625" s="94"/>
    </row>
    <row r="626"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4"/>
      <c r="AE626" s="94"/>
      <c r="AF626" s="94"/>
      <c r="AG626" s="94"/>
    </row>
    <row r="627"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4"/>
      <c r="AE627" s="94"/>
      <c r="AF627" s="94"/>
      <c r="AG627" s="94"/>
    </row>
    <row r="628"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4"/>
      <c r="AE628" s="94"/>
      <c r="AF628" s="94"/>
      <c r="AG628" s="94"/>
    </row>
    <row r="629"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4"/>
      <c r="AE629" s="94"/>
      <c r="AF629" s="94"/>
      <c r="AG629" s="94"/>
    </row>
    <row r="630"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4"/>
      <c r="AE630" s="94"/>
      <c r="AF630" s="94"/>
      <c r="AG630" s="94"/>
    </row>
    <row r="631"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4"/>
      <c r="AE631" s="94"/>
      <c r="AF631" s="94"/>
      <c r="AG631" s="94"/>
    </row>
    <row r="632"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4"/>
      <c r="AE632" s="94"/>
      <c r="AF632" s="94"/>
      <c r="AG632" s="94"/>
    </row>
    <row r="633"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4"/>
      <c r="AE633" s="94"/>
      <c r="AF633" s="94"/>
      <c r="AG633" s="94"/>
    </row>
    <row r="634"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4"/>
      <c r="AE634" s="94"/>
      <c r="AF634" s="94"/>
      <c r="AG634" s="94"/>
    </row>
    <row r="635"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4"/>
      <c r="AE635" s="94"/>
      <c r="AF635" s="94"/>
      <c r="AG635" s="94"/>
    </row>
    <row r="636"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4"/>
      <c r="AE636" s="94"/>
      <c r="AF636" s="94"/>
      <c r="AG636" s="94"/>
    </row>
    <row r="637"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4"/>
      <c r="AE637" s="94"/>
      <c r="AF637" s="94"/>
      <c r="AG637" s="94"/>
    </row>
    <row r="638"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4"/>
      <c r="AE638" s="94"/>
      <c r="AF638" s="94"/>
      <c r="AG638" s="94"/>
    </row>
    <row r="639"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4"/>
      <c r="AE639" s="94"/>
      <c r="AF639" s="94"/>
      <c r="AG639" s="94"/>
    </row>
    <row r="640"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4"/>
      <c r="AE640" s="94"/>
      <c r="AF640" s="94"/>
      <c r="AG640" s="94"/>
    </row>
    <row r="641"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4"/>
      <c r="AE641" s="94"/>
      <c r="AF641" s="94"/>
      <c r="AG641" s="94"/>
    </row>
    <row r="642"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4"/>
      <c r="AE642" s="94"/>
      <c r="AF642" s="94"/>
      <c r="AG642" s="94"/>
    </row>
    <row r="643"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4"/>
      <c r="AE643" s="94"/>
      <c r="AF643" s="94"/>
      <c r="AG643" s="94"/>
    </row>
    <row r="644"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4"/>
      <c r="AE644" s="94"/>
      <c r="AF644" s="94"/>
      <c r="AG644" s="94"/>
    </row>
    <row r="645"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4"/>
      <c r="AE645" s="94"/>
      <c r="AF645" s="94"/>
      <c r="AG645" s="94"/>
    </row>
    <row r="646"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4"/>
      <c r="AE646" s="94"/>
      <c r="AF646" s="94"/>
      <c r="AG646" s="94"/>
    </row>
    <row r="647"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4"/>
      <c r="AE647" s="94"/>
      <c r="AF647" s="94"/>
      <c r="AG647" s="94"/>
    </row>
    <row r="648"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4"/>
      <c r="AE648" s="94"/>
      <c r="AF648" s="94"/>
      <c r="AG648" s="94"/>
    </row>
    <row r="649"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4"/>
      <c r="AE649" s="94"/>
      <c r="AF649" s="94"/>
      <c r="AG649" s="94"/>
    </row>
    <row r="650"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4"/>
      <c r="AE650" s="94"/>
      <c r="AF650" s="94"/>
      <c r="AG650" s="94"/>
    </row>
    <row r="651"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4"/>
      <c r="AE651" s="94"/>
      <c r="AF651" s="94"/>
      <c r="AG651" s="94"/>
    </row>
    <row r="652"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4"/>
      <c r="AE652" s="94"/>
      <c r="AF652" s="94"/>
      <c r="AG652" s="94"/>
    </row>
    <row r="653"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4"/>
      <c r="AE653" s="94"/>
      <c r="AF653" s="94"/>
      <c r="AG653" s="94"/>
    </row>
    <row r="654"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4"/>
      <c r="AE654" s="94"/>
      <c r="AF654" s="94"/>
      <c r="AG654" s="94"/>
    </row>
    <row r="655"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4"/>
      <c r="AE655" s="94"/>
      <c r="AF655" s="94"/>
      <c r="AG655" s="94"/>
    </row>
    <row r="656"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4"/>
      <c r="AE656" s="94"/>
      <c r="AF656" s="94"/>
      <c r="AG656" s="94"/>
    </row>
    <row r="657"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4"/>
      <c r="AE657" s="94"/>
      <c r="AF657" s="94"/>
      <c r="AG657" s="94"/>
    </row>
    <row r="658"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4"/>
      <c r="AE658" s="94"/>
      <c r="AF658" s="94"/>
      <c r="AG658" s="94"/>
    </row>
    <row r="659"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4"/>
      <c r="AE659" s="94"/>
      <c r="AF659" s="94"/>
      <c r="AG659" s="94"/>
    </row>
    <row r="660"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4"/>
      <c r="AE660" s="94"/>
      <c r="AF660" s="94"/>
      <c r="AG660" s="94"/>
    </row>
    <row r="661"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4"/>
      <c r="AE661" s="94"/>
      <c r="AF661" s="94"/>
      <c r="AG661" s="94"/>
    </row>
    <row r="662"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4"/>
      <c r="AE662" s="94"/>
      <c r="AF662" s="94"/>
      <c r="AG662" s="94"/>
    </row>
    <row r="663"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4"/>
      <c r="AE663" s="94"/>
      <c r="AF663" s="94"/>
      <c r="AG663" s="94"/>
    </row>
    <row r="664"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4"/>
      <c r="AE664" s="94"/>
      <c r="AF664" s="94"/>
      <c r="AG664" s="94"/>
    </row>
    <row r="665"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4"/>
      <c r="AE665" s="94"/>
      <c r="AF665" s="94"/>
      <c r="AG665" s="94"/>
    </row>
    <row r="666"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4"/>
      <c r="AE666" s="94"/>
      <c r="AF666" s="94"/>
      <c r="AG666" s="94"/>
    </row>
    <row r="667"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4"/>
      <c r="AE667" s="94"/>
      <c r="AF667" s="94"/>
      <c r="AG667" s="94"/>
    </row>
    <row r="668"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4"/>
      <c r="AE668" s="94"/>
      <c r="AF668" s="94"/>
      <c r="AG668" s="94"/>
    </row>
    <row r="669"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4"/>
      <c r="AE669" s="94"/>
      <c r="AF669" s="94"/>
      <c r="AG669" s="94"/>
    </row>
    <row r="670"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4"/>
      <c r="AE670" s="94"/>
      <c r="AF670" s="94"/>
      <c r="AG670" s="94"/>
    </row>
    <row r="671"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4"/>
      <c r="AE671" s="94"/>
      <c r="AF671" s="94"/>
      <c r="AG671" s="94"/>
    </row>
    <row r="672"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4"/>
      <c r="AE672" s="94"/>
      <c r="AF672" s="94"/>
      <c r="AG672" s="94"/>
    </row>
    <row r="673"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4"/>
      <c r="AE673" s="94"/>
      <c r="AF673" s="94"/>
      <c r="AG673" s="94"/>
    </row>
    <row r="674"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4"/>
      <c r="AE674" s="94"/>
      <c r="AF674" s="94"/>
      <c r="AG674" s="94"/>
    </row>
    <row r="675"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4"/>
      <c r="AE675" s="94"/>
      <c r="AF675" s="94"/>
      <c r="AG675" s="94"/>
    </row>
    <row r="676"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4"/>
      <c r="AE676" s="94"/>
      <c r="AF676" s="94"/>
      <c r="AG676" s="94"/>
    </row>
    <row r="677"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4"/>
      <c r="AE677" s="94"/>
      <c r="AF677" s="94"/>
      <c r="AG677" s="94"/>
    </row>
    <row r="678"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4"/>
      <c r="AE678" s="94"/>
      <c r="AF678" s="94"/>
      <c r="AG678" s="94"/>
    </row>
    <row r="679"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4"/>
      <c r="AE679" s="94"/>
      <c r="AF679" s="94"/>
      <c r="AG679" s="94"/>
    </row>
    <row r="680"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4"/>
      <c r="AE680" s="94"/>
      <c r="AF680" s="94"/>
      <c r="AG680" s="94"/>
    </row>
    <row r="681"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4"/>
      <c r="AE681" s="94"/>
      <c r="AF681" s="94"/>
      <c r="AG681" s="94"/>
    </row>
    <row r="682"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4"/>
      <c r="AE682" s="94"/>
      <c r="AF682" s="94"/>
      <c r="AG682" s="94"/>
    </row>
    <row r="683"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4"/>
      <c r="AE683" s="94"/>
      <c r="AF683" s="94"/>
      <c r="AG683" s="94"/>
    </row>
    <row r="684"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4"/>
      <c r="AE684" s="94"/>
      <c r="AF684" s="94"/>
      <c r="AG684" s="94"/>
    </row>
    <row r="685"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4"/>
      <c r="AE685" s="94"/>
      <c r="AF685" s="94"/>
      <c r="AG685" s="94"/>
    </row>
    <row r="686"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4"/>
      <c r="AE686" s="94"/>
      <c r="AF686" s="94"/>
      <c r="AG686" s="94"/>
    </row>
    <row r="687"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4"/>
      <c r="AE687" s="94"/>
      <c r="AF687" s="94"/>
      <c r="AG687" s="94"/>
    </row>
    <row r="688"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4"/>
      <c r="AE688" s="94"/>
      <c r="AF688" s="94"/>
      <c r="AG688" s="94"/>
    </row>
    <row r="689"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4"/>
      <c r="AE689" s="94"/>
      <c r="AF689" s="94"/>
      <c r="AG689" s="94"/>
    </row>
    <row r="690"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4"/>
      <c r="AE690" s="94"/>
      <c r="AF690" s="94"/>
      <c r="AG690" s="94"/>
    </row>
    <row r="691"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4"/>
      <c r="AE691" s="94"/>
      <c r="AF691" s="94"/>
      <c r="AG691" s="94"/>
    </row>
    <row r="692"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4"/>
      <c r="AE692" s="94"/>
      <c r="AF692" s="94"/>
      <c r="AG692" s="94"/>
    </row>
    <row r="693"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4"/>
      <c r="AE693" s="94"/>
      <c r="AF693" s="94"/>
      <c r="AG693" s="94"/>
    </row>
    <row r="694"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4"/>
      <c r="AE694" s="94"/>
      <c r="AF694" s="94"/>
      <c r="AG694" s="94"/>
    </row>
    <row r="695"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4"/>
      <c r="AE695" s="94"/>
      <c r="AF695" s="94"/>
      <c r="AG695" s="94"/>
    </row>
    <row r="696"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4"/>
      <c r="AE696" s="94"/>
      <c r="AF696" s="94"/>
      <c r="AG696" s="94"/>
    </row>
    <row r="697"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4"/>
      <c r="AE697" s="94"/>
      <c r="AF697" s="94"/>
      <c r="AG697" s="94"/>
    </row>
    <row r="698"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4"/>
      <c r="AE698" s="94"/>
      <c r="AF698" s="94"/>
      <c r="AG698" s="94"/>
    </row>
    <row r="699"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4"/>
      <c r="AE699" s="94"/>
      <c r="AF699" s="94"/>
      <c r="AG699" s="94"/>
    </row>
    <row r="700"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4"/>
      <c r="AE700" s="94"/>
      <c r="AF700" s="94"/>
      <c r="AG700" s="94"/>
    </row>
    <row r="701"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4"/>
      <c r="AE701" s="94"/>
      <c r="AF701" s="94"/>
      <c r="AG701" s="94"/>
    </row>
    <row r="702"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4"/>
      <c r="AE702" s="94"/>
      <c r="AF702" s="94"/>
      <c r="AG702" s="94"/>
    </row>
    <row r="703"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4"/>
      <c r="AE703" s="94"/>
      <c r="AF703" s="94"/>
      <c r="AG703" s="94"/>
    </row>
    <row r="704"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4"/>
      <c r="AE704" s="94"/>
      <c r="AF704" s="94"/>
      <c r="AG704" s="94"/>
    </row>
    <row r="705"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4"/>
      <c r="AE705" s="94"/>
      <c r="AF705" s="94"/>
      <c r="AG705" s="94"/>
    </row>
    <row r="706"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4"/>
      <c r="AE706" s="94"/>
      <c r="AF706" s="94"/>
      <c r="AG706" s="94"/>
    </row>
    <row r="707"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4"/>
      <c r="AE707" s="94"/>
      <c r="AF707" s="94"/>
      <c r="AG707" s="94"/>
    </row>
    <row r="708"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4"/>
      <c r="AE708" s="94"/>
      <c r="AF708" s="94"/>
      <c r="AG708" s="94"/>
    </row>
    <row r="709"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4"/>
      <c r="AE709" s="94"/>
      <c r="AF709" s="94"/>
      <c r="AG709" s="94"/>
    </row>
    <row r="710"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4"/>
      <c r="AE710" s="94"/>
      <c r="AF710" s="94"/>
      <c r="AG710" s="94"/>
    </row>
    <row r="711"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4"/>
      <c r="AE711" s="94"/>
      <c r="AF711" s="94"/>
      <c r="AG711" s="94"/>
    </row>
    <row r="712"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4"/>
      <c r="AE712" s="94"/>
      <c r="AF712" s="94"/>
      <c r="AG712" s="94"/>
    </row>
    <row r="713"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4"/>
      <c r="AE713" s="94"/>
      <c r="AF713" s="94"/>
      <c r="AG713" s="94"/>
    </row>
    <row r="714"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4"/>
      <c r="AE714" s="94"/>
      <c r="AF714" s="94"/>
      <c r="AG714" s="94"/>
    </row>
    <row r="715"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4"/>
      <c r="AE715" s="94"/>
      <c r="AF715" s="94"/>
      <c r="AG715" s="94"/>
    </row>
    <row r="716"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4"/>
      <c r="AE716" s="94"/>
      <c r="AF716" s="94"/>
      <c r="AG716" s="94"/>
    </row>
    <row r="717"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4"/>
      <c r="AE717" s="94"/>
      <c r="AF717" s="94"/>
      <c r="AG717" s="94"/>
    </row>
    <row r="718"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4"/>
      <c r="AE718" s="94"/>
      <c r="AF718" s="94"/>
      <c r="AG718" s="94"/>
    </row>
    <row r="719"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4"/>
      <c r="AE719" s="94"/>
      <c r="AF719" s="94"/>
      <c r="AG719" s="94"/>
    </row>
    <row r="720"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4"/>
      <c r="AE720" s="94"/>
      <c r="AF720" s="94"/>
      <c r="AG720" s="94"/>
    </row>
    <row r="721"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4"/>
      <c r="AE721" s="94"/>
      <c r="AF721" s="94"/>
      <c r="AG721" s="94"/>
    </row>
    <row r="722"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4"/>
      <c r="AE722" s="94"/>
      <c r="AF722" s="94"/>
      <c r="AG722" s="94"/>
    </row>
    <row r="723"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4"/>
      <c r="AE723" s="94"/>
      <c r="AF723" s="94"/>
      <c r="AG723" s="94"/>
    </row>
    <row r="724"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4"/>
      <c r="AE724" s="94"/>
      <c r="AF724" s="94"/>
      <c r="AG724" s="94"/>
    </row>
    <row r="725"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4"/>
      <c r="AE725" s="94"/>
      <c r="AF725" s="94"/>
      <c r="AG725" s="94"/>
    </row>
    <row r="726"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4"/>
      <c r="AE726" s="94"/>
      <c r="AF726" s="94"/>
      <c r="AG726" s="94"/>
    </row>
    <row r="727"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4"/>
      <c r="AE727" s="94"/>
      <c r="AF727" s="94"/>
      <c r="AG727" s="94"/>
    </row>
    <row r="728"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4"/>
      <c r="AE728" s="94"/>
      <c r="AF728" s="94"/>
      <c r="AG728" s="94"/>
    </row>
    <row r="729"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4"/>
      <c r="AE729" s="94"/>
      <c r="AF729" s="94"/>
      <c r="AG729" s="94"/>
    </row>
    <row r="730"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4"/>
      <c r="AE730" s="94"/>
      <c r="AF730" s="94"/>
      <c r="AG730" s="94"/>
    </row>
    <row r="731"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4"/>
      <c r="AE731" s="94"/>
      <c r="AF731" s="94"/>
      <c r="AG731" s="94"/>
    </row>
    <row r="732"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4"/>
      <c r="AE732" s="94"/>
      <c r="AF732" s="94"/>
      <c r="AG732" s="94"/>
    </row>
    <row r="733"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4"/>
      <c r="AE733" s="94"/>
      <c r="AF733" s="94"/>
      <c r="AG733" s="94"/>
    </row>
    <row r="734"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4"/>
      <c r="AE734" s="94"/>
      <c r="AF734" s="94"/>
      <c r="AG734" s="94"/>
    </row>
    <row r="735"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4"/>
      <c r="AE735" s="94"/>
      <c r="AF735" s="94"/>
      <c r="AG735" s="94"/>
    </row>
    <row r="736"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4"/>
      <c r="AE736" s="94"/>
      <c r="AF736" s="94"/>
      <c r="AG736" s="94"/>
    </row>
    <row r="737"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4"/>
      <c r="AE737" s="94"/>
      <c r="AF737" s="94"/>
      <c r="AG737" s="94"/>
    </row>
    <row r="738"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4"/>
      <c r="AE738" s="94"/>
      <c r="AF738" s="94"/>
      <c r="AG738" s="94"/>
    </row>
    <row r="739"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4"/>
      <c r="AE739" s="94"/>
      <c r="AF739" s="94"/>
      <c r="AG739" s="94"/>
    </row>
    <row r="740"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4"/>
      <c r="AE740" s="94"/>
      <c r="AF740" s="94"/>
      <c r="AG740" s="94"/>
    </row>
    <row r="741"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4"/>
      <c r="AE741" s="94"/>
      <c r="AF741" s="94"/>
      <c r="AG741" s="94"/>
    </row>
    <row r="742"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4"/>
      <c r="AE742" s="94"/>
      <c r="AF742" s="94"/>
      <c r="AG742" s="94"/>
    </row>
    <row r="743"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4"/>
      <c r="AE743" s="94"/>
      <c r="AF743" s="94"/>
      <c r="AG743" s="94"/>
    </row>
    <row r="744"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4"/>
      <c r="AE744" s="94"/>
      <c r="AF744" s="94"/>
      <c r="AG744" s="94"/>
    </row>
    <row r="745"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4"/>
      <c r="AE745" s="94"/>
      <c r="AF745" s="94"/>
      <c r="AG745" s="94"/>
    </row>
    <row r="746"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4"/>
      <c r="AE746" s="94"/>
      <c r="AF746" s="94"/>
      <c r="AG746" s="94"/>
    </row>
    <row r="747"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4"/>
      <c r="AE747" s="94"/>
      <c r="AF747" s="94"/>
      <c r="AG747" s="94"/>
    </row>
    <row r="748"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4"/>
      <c r="AE748" s="94"/>
      <c r="AF748" s="94"/>
      <c r="AG748" s="94"/>
    </row>
    <row r="749"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4"/>
      <c r="AE749" s="94"/>
      <c r="AF749" s="94"/>
      <c r="AG749" s="94"/>
    </row>
    <row r="750"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4"/>
      <c r="AE750" s="94"/>
      <c r="AF750" s="94"/>
      <c r="AG750" s="94"/>
    </row>
    <row r="751"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4"/>
      <c r="AE751" s="94"/>
      <c r="AF751" s="94"/>
      <c r="AG751" s="94"/>
    </row>
    <row r="752"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4"/>
      <c r="AE752" s="94"/>
      <c r="AF752" s="94"/>
      <c r="AG752" s="94"/>
    </row>
    <row r="753"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4"/>
      <c r="AE753" s="94"/>
      <c r="AF753" s="94"/>
      <c r="AG753" s="94"/>
    </row>
    <row r="754"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4"/>
      <c r="AE754" s="94"/>
      <c r="AF754" s="94"/>
      <c r="AG754" s="94"/>
    </row>
    <row r="755"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4"/>
      <c r="AE755" s="94"/>
      <c r="AF755" s="94"/>
      <c r="AG755" s="94"/>
    </row>
    <row r="756"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4"/>
      <c r="AE756" s="94"/>
      <c r="AF756" s="94"/>
      <c r="AG756" s="94"/>
    </row>
    <row r="757"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4"/>
      <c r="AE757" s="94"/>
      <c r="AF757" s="94"/>
      <c r="AG757" s="94"/>
    </row>
    <row r="758"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4"/>
      <c r="AE758" s="94"/>
      <c r="AF758" s="94"/>
      <c r="AG758" s="94"/>
    </row>
    <row r="759"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4"/>
      <c r="AE759" s="94"/>
      <c r="AF759" s="94"/>
      <c r="AG759" s="94"/>
    </row>
    <row r="760"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4"/>
      <c r="AE760" s="94"/>
      <c r="AF760" s="94"/>
      <c r="AG760" s="94"/>
    </row>
    <row r="761"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4"/>
      <c r="AE761" s="94"/>
      <c r="AF761" s="94"/>
      <c r="AG761" s="94"/>
    </row>
    <row r="762"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4"/>
      <c r="AE762" s="94"/>
      <c r="AF762" s="94"/>
      <c r="AG762" s="94"/>
    </row>
    <row r="763"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4"/>
      <c r="AE763" s="94"/>
      <c r="AF763" s="94"/>
      <c r="AG763" s="94"/>
    </row>
    <row r="764"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4"/>
      <c r="AE764" s="94"/>
      <c r="AF764" s="94"/>
      <c r="AG764" s="94"/>
    </row>
    <row r="765"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4"/>
      <c r="AE765" s="94"/>
      <c r="AF765" s="94"/>
      <c r="AG765" s="94"/>
    </row>
    <row r="766"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4"/>
      <c r="AE766" s="94"/>
      <c r="AF766" s="94"/>
      <c r="AG766" s="94"/>
    </row>
    <row r="767"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4"/>
      <c r="AE767" s="94"/>
      <c r="AF767" s="94"/>
      <c r="AG767" s="94"/>
    </row>
    <row r="768"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4"/>
      <c r="AE768" s="94"/>
      <c r="AF768" s="94"/>
      <c r="AG768" s="94"/>
    </row>
    <row r="769"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4"/>
      <c r="AE769" s="94"/>
      <c r="AF769" s="94"/>
      <c r="AG769" s="94"/>
    </row>
    <row r="770"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4"/>
      <c r="AE770" s="94"/>
      <c r="AF770" s="94"/>
      <c r="AG770" s="94"/>
    </row>
    <row r="771"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4"/>
      <c r="AE771" s="94"/>
      <c r="AF771" s="94"/>
      <c r="AG771" s="94"/>
    </row>
    <row r="772"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4"/>
      <c r="AE772" s="94"/>
      <c r="AF772" s="94"/>
      <c r="AG772" s="94"/>
    </row>
    <row r="773"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4"/>
      <c r="AE773" s="94"/>
      <c r="AF773" s="94"/>
      <c r="AG773" s="94"/>
    </row>
    <row r="774"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4"/>
      <c r="AE774" s="94"/>
      <c r="AF774" s="94"/>
      <c r="AG774" s="94"/>
    </row>
    <row r="775"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4"/>
      <c r="AE775" s="94"/>
      <c r="AF775" s="94"/>
      <c r="AG775" s="94"/>
    </row>
    <row r="776"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4"/>
      <c r="AE776" s="94"/>
      <c r="AF776" s="94"/>
      <c r="AG776" s="94"/>
    </row>
    <row r="777"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4"/>
      <c r="AE777" s="94"/>
      <c r="AF777" s="94"/>
      <c r="AG777" s="94"/>
    </row>
    <row r="778"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4"/>
      <c r="AE778" s="94"/>
      <c r="AF778" s="94"/>
      <c r="AG778" s="94"/>
    </row>
    <row r="779"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4"/>
      <c r="AE779" s="94"/>
      <c r="AF779" s="94"/>
      <c r="AG779" s="94"/>
    </row>
    <row r="780"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4"/>
      <c r="AE780" s="94"/>
      <c r="AF780" s="94"/>
      <c r="AG780" s="94"/>
    </row>
    <row r="781"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4"/>
      <c r="AE781" s="94"/>
      <c r="AF781" s="94"/>
      <c r="AG781" s="94"/>
    </row>
    <row r="782"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4"/>
      <c r="AE782" s="94"/>
      <c r="AF782" s="94"/>
      <c r="AG782" s="94"/>
    </row>
    <row r="783"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4"/>
      <c r="AE783" s="94"/>
      <c r="AF783" s="94"/>
      <c r="AG783" s="94"/>
    </row>
    <row r="784"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4"/>
      <c r="AE784" s="94"/>
      <c r="AF784" s="94"/>
      <c r="AG784" s="94"/>
    </row>
    <row r="785"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4"/>
      <c r="AE785" s="94"/>
      <c r="AF785" s="94"/>
      <c r="AG785" s="94"/>
    </row>
    <row r="786"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4"/>
      <c r="AE786" s="94"/>
      <c r="AF786" s="94"/>
      <c r="AG786" s="94"/>
    </row>
    <row r="787"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4"/>
      <c r="AE787" s="94"/>
      <c r="AF787" s="94"/>
      <c r="AG787" s="94"/>
    </row>
    <row r="788"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4"/>
      <c r="AE788" s="94"/>
      <c r="AF788" s="94"/>
      <c r="AG788" s="94"/>
    </row>
    <row r="789"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4"/>
      <c r="AE789" s="94"/>
      <c r="AF789" s="94"/>
      <c r="AG789" s="94"/>
    </row>
    <row r="790"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4"/>
      <c r="AE790" s="94"/>
      <c r="AF790" s="94"/>
      <c r="AG790" s="94"/>
    </row>
    <row r="791"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4"/>
      <c r="AE791" s="94"/>
      <c r="AF791" s="94"/>
      <c r="AG791" s="94"/>
    </row>
    <row r="792"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4"/>
      <c r="AE792" s="94"/>
      <c r="AF792" s="94"/>
      <c r="AG792" s="94"/>
    </row>
    <row r="793"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4"/>
      <c r="AE793" s="94"/>
      <c r="AF793" s="94"/>
      <c r="AG793" s="94"/>
    </row>
    <row r="794"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4"/>
      <c r="AE794" s="94"/>
      <c r="AF794" s="94"/>
      <c r="AG794" s="94"/>
    </row>
    <row r="795"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4"/>
      <c r="AE795" s="94"/>
      <c r="AF795" s="94"/>
      <c r="AG795" s="94"/>
    </row>
    <row r="796"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4"/>
      <c r="AE796" s="94"/>
      <c r="AF796" s="94"/>
      <c r="AG796" s="94"/>
    </row>
    <row r="797"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4"/>
      <c r="AE797" s="94"/>
      <c r="AF797" s="94"/>
      <c r="AG797" s="94"/>
    </row>
    <row r="798"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4"/>
      <c r="AE798" s="94"/>
      <c r="AF798" s="94"/>
      <c r="AG798" s="94"/>
    </row>
    <row r="799"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4"/>
      <c r="AE799" s="94"/>
      <c r="AF799" s="94"/>
      <c r="AG799" s="94"/>
    </row>
    <row r="800"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4"/>
      <c r="AE800" s="94"/>
      <c r="AF800" s="94"/>
      <c r="AG800" s="94"/>
    </row>
    <row r="801"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4"/>
      <c r="AE801" s="94"/>
      <c r="AF801" s="94"/>
      <c r="AG801" s="94"/>
    </row>
    <row r="802"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4"/>
      <c r="AE802" s="94"/>
      <c r="AF802" s="94"/>
      <c r="AG802" s="94"/>
    </row>
    <row r="803"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4"/>
      <c r="AE803" s="94"/>
      <c r="AF803" s="94"/>
      <c r="AG803" s="94"/>
    </row>
    <row r="804"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4"/>
      <c r="AE804" s="94"/>
      <c r="AF804" s="94"/>
      <c r="AG804" s="94"/>
    </row>
    <row r="805"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4"/>
      <c r="AE805" s="94"/>
      <c r="AF805" s="94"/>
      <c r="AG805" s="94"/>
    </row>
    <row r="806"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4"/>
      <c r="AE806" s="94"/>
      <c r="AF806" s="94"/>
      <c r="AG806" s="94"/>
    </row>
    <row r="807"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4"/>
      <c r="AE807" s="94"/>
      <c r="AF807" s="94"/>
      <c r="AG807" s="94"/>
    </row>
    <row r="808"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4"/>
      <c r="AE808" s="94"/>
      <c r="AF808" s="94"/>
      <c r="AG808" s="94"/>
    </row>
    <row r="809"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4"/>
      <c r="AE809" s="94"/>
      <c r="AF809" s="94"/>
      <c r="AG809" s="94"/>
    </row>
    <row r="810"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4"/>
      <c r="AE810" s="94"/>
      <c r="AF810" s="94"/>
      <c r="AG810" s="94"/>
    </row>
    <row r="811"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4"/>
      <c r="AE811" s="94"/>
      <c r="AF811" s="94"/>
      <c r="AG811" s="94"/>
    </row>
    <row r="812"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4"/>
      <c r="AE812" s="94"/>
      <c r="AF812" s="94"/>
      <c r="AG812" s="94"/>
    </row>
    <row r="813"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4"/>
      <c r="AE813" s="94"/>
      <c r="AF813" s="94"/>
      <c r="AG813" s="94"/>
    </row>
    <row r="814"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4"/>
      <c r="AE814" s="94"/>
      <c r="AF814" s="94"/>
      <c r="AG814" s="94"/>
    </row>
    <row r="815"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4"/>
      <c r="AE815" s="94"/>
      <c r="AF815" s="94"/>
      <c r="AG815" s="94"/>
    </row>
    <row r="816"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4"/>
      <c r="AE816" s="94"/>
      <c r="AF816" s="94"/>
      <c r="AG816" s="94"/>
    </row>
    <row r="817"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4"/>
      <c r="AE817" s="94"/>
      <c r="AF817" s="94"/>
      <c r="AG817" s="94"/>
    </row>
    <row r="818"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4"/>
      <c r="AE818" s="94"/>
      <c r="AF818" s="94"/>
      <c r="AG818" s="94"/>
    </row>
    <row r="819"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4"/>
      <c r="AE819" s="94"/>
      <c r="AF819" s="94"/>
      <c r="AG819" s="94"/>
    </row>
    <row r="820"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4"/>
      <c r="AE820" s="94"/>
      <c r="AF820" s="94"/>
      <c r="AG820" s="94"/>
    </row>
    <row r="821"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4"/>
      <c r="AE821" s="94"/>
      <c r="AF821" s="94"/>
      <c r="AG821" s="94"/>
    </row>
    <row r="822"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4"/>
      <c r="AE822" s="94"/>
      <c r="AF822" s="94"/>
      <c r="AG822" s="94"/>
    </row>
    <row r="823"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4"/>
      <c r="AE823" s="94"/>
      <c r="AF823" s="94"/>
      <c r="AG823" s="94"/>
    </row>
    <row r="824"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4"/>
      <c r="AE824" s="94"/>
      <c r="AF824" s="94"/>
      <c r="AG824" s="94"/>
    </row>
    <row r="825"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4"/>
      <c r="AE825" s="94"/>
      <c r="AF825" s="94"/>
      <c r="AG825" s="94"/>
    </row>
    <row r="826"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4"/>
      <c r="AE826" s="94"/>
      <c r="AF826" s="94"/>
      <c r="AG826" s="94"/>
    </row>
    <row r="827"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4"/>
      <c r="AE827" s="94"/>
      <c r="AF827" s="94"/>
      <c r="AG827" s="94"/>
    </row>
    <row r="828"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4"/>
      <c r="AE828" s="94"/>
      <c r="AF828" s="94"/>
      <c r="AG828" s="94"/>
    </row>
    <row r="829"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4"/>
      <c r="AE829" s="94"/>
      <c r="AF829" s="94"/>
      <c r="AG829" s="94"/>
    </row>
    <row r="830"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4"/>
      <c r="AE830" s="94"/>
      <c r="AF830" s="94"/>
      <c r="AG830" s="94"/>
    </row>
    <row r="831"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4"/>
      <c r="AE831" s="94"/>
      <c r="AF831" s="94"/>
      <c r="AG831" s="94"/>
    </row>
    <row r="832"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4"/>
      <c r="AE832" s="94"/>
      <c r="AF832" s="94"/>
      <c r="AG832" s="94"/>
    </row>
    <row r="833"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4"/>
      <c r="AE833" s="94"/>
      <c r="AF833" s="94"/>
      <c r="AG833" s="94"/>
    </row>
    <row r="834"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4"/>
      <c r="AE834" s="94"/>
      <c r="AF834" s="94"/>
      <c r="AG834" s="94"/>
    </row>
    <row r="835"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4"/>
      <c r="AE835" s="94"/>
      <c r="AF835" s="94"/>
      <c r="AG835" s="94"/>
    </row>
    <row r="836"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4"/>
      <c r="AE836" s="94"/>
      <c r="AF836" s="94"/>
      <c r="AG836" s="94"/>
    </row>
    <row r="837"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4"/>
      <c r="AE837" s="94"/>
      <c r="AF837" s="94"/>
      <c r="AG837" s="94"/>
    </row>
    <row r="838"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4"/>
      <c r="AE838" s="94"/>
      <c r="AF838" s="94"/>
      <c r="AG838" s="94"/>
    </row>
    <row r="839"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4"/>
      <c r="AE839" s="94"/>
      <c r="AF839" s="94"/>
      <c r="AG839" s="94"/>
    </row>
    <row r="840"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4"/>
      <c r="AE840" s="94"/>
      <c r="AF840" s="94"/>
      <c r="AG840" s="94"/>
    </row>
    <row r="841"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4"/>
      <c r="AE841" s="94"/>
      <c r="AF841" s="94"/>
      <c r="AG841" s="94"/>
    </row>
    <row r="842"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4"/>
      <c r="AE842" s="94"/>
      <c r="AF842" s="94"/>
      <c r="AG842" s="94"/>
    </row>
    <row r="843"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4"/>
      <c r="AE843" s="94"/>
      <c r="AF843" s="94"/>
      <c r="AG843" s="94"/>
    </row>
    <row r="844"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4"/>
      <c r="AE844" s="94"/>
      <c r="AF844" s="94"/>
      <c r="AG844" s="94"/>
    </row>
    <row r="845"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4"/>
      <c r="AE845" s="94"/>
      <c r="AF845" s="94"/>
      <c r="AG845" s="94"/>
    </row>
    <row r="846"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4"/>
      <c r="AE846" s="94"/>
      <c r="AF846" s="94"/>
      <c r="AG846" s="94"/>
    </row>
    <row r="847"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4"/>
      <c r="AE847" s="94"/>
      <c r="AF847" s="94"/>
      <c r="AG847" s="94"/>
    </row>
    <row r="848"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4"/>
      <c r="AE848" s="94"/>
      <c r="AF848" s="94"/>
      <c r="AG848" s="94"/>
    </row>
    <row r="849"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4"/>
      <c r="AE849" s="94"/>
      <c r="AF849" s="94"/>
      <c r="AG849" s="94"/>
    </row>
    <row r="850"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4"/>
      <c r="AE850" s="94"/>
      <c r="AF850" s="94"/>
      <c r="AG850" s="94"/>
    </row>
    <row r="851"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4"/>
      <c r="AE851" s="94"/>
      <c r="AF851" s="94"/>
      <c r="AG851" s="94"/>
    </row>
    <row r="852"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4"/>
      <c r="AE852" s="94"/>
      <c r="AF852" s="94"/>
      <c r="AG852" s="94"/>
    </row>
    <row r="853"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4"/>
      <c r="AE853" s="94"/>
      <c r="AF853" s="94"/>
      <c r="AG853" s="94"/>
    </row>
    <row r="854"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4"/>
      <c r="AE854" s="94"/>
      <c r="AF854" s="94"/>
      <c r="AG854" s="94"/>
    </row>
    <row r="855"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4"/>
      <c r="AE855" s="94"/>
      <c r="AF855" s="94"/>
      <c r="AG855" s="94"/>
    </row>
    <row r="856"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4"/>
      <c r="AE856" s="94"/>
      <c r="AF856" s="94"/>
      <c r="AG856" s="94"/>
    </row>
    <row r="857"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4"/>
      <c r="AE857" s="94"/>
      <c r="AF857" s="94"/>
      <c r="AG857" s="94"/>
    </row>
    <row r="858"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4"/>
      <c r="AE858" s="94"/>
      <c r="AF858" s="94"/>
      <c r="AG858" s="94"/>
    </row>
    <row r="859"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4"/>
      <c r="AE859" s="94"/>
      <c r="AF859" s="94"/>
      <c r="AG859" s="94"/>
    </row>
    <row r="860"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4"/>
      <c r="AE860" s="94"/>
      <c r="AF860" s="94"/>
      <c r="AG860" s="94"/>
    </row>
    <row r="861"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4"/>
      <c r="AE861" s="94"/>
      <c r="AF861" s="94"/>
      <c r="AG861" s="94"/>
    </row>
    <row r="862"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4"/>
      <c r="AE862" s="94"/>
      <c r="AF862" s="94"/>
      <c r="AG862" s="94"/>
    </row>
    <row r="863"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4"/>
      <c r="AE863" s="94"/>
      <c r="AF863" s="94"/>
      <c r="AG863" s="94"/>
    </row>
    <row r="864"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4"/>
      <c r="AE864" s="94"/>
      <c r="AF864" s="94"/>
      <c r="AG864" s="94"/>
    </row>
    <row r="865"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4"/>
      <c r="AE865" s="94"/>
      <c r="AF865" s="94"/>
      <c r="AG865" s="94"/>
    </row>
    <row r="866"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4"/>
      <c r="AE866" s="94"/>
      <c r="AF866" s="94"/>
      <c r="AG866" s="94"/>
    </row>
    <row r="867"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4"/>
      <c r="AE867" s="94"/>
      <c r="AF867" s="94"/>
      <c r="AG867" s="94"/>
    </row>
    <row r="868"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4"/>
      <c r="AE868" s="94"/>
      <c r="AF868" s="94"/>
      <c r="AG868" s="94"/>
    </row>
    <row r="869"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4"/>
      <c r="AE869" s="94"/>
      <c r="AF869" s="94"/>
      <c r="AG869" s="94"/>
    </row>
    <row r="870"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4"/>
      <c r="AE870" s="94"/>
      <c r="AF870" s="94"/>
      <c r="AG870" s="94"/>
    </row>
    <row r="871"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4"/>
      <c r="AE871" s="94"/>
      <c r="AF871" s="94"/>
      <c r="AG871" s="94"/>
    </row>
    <row r="872"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4"/>
      <c r="AE872" s="94"/>
      <c r="AF872" s="94"/>
      <c r="AG872" s="94"/>
    </row>
    <row r="873"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4"/>
      <c r="AE873" s="94"/>
      <c r="AF873" s="94"/>
      <c r="AG873" s="94"/>
    </row>
    <row r="874"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4"/>
      <c r="AE874" s="94"/>
      <c r="AF874" s="94"/>
      <c r="AG874" s="94"/>
    </row>
    <row r="875"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4"/>
      <c r="AE875" s="94"/>
      <c r="AF875" s="94"/>
      <c r="AG875" s="94"/>
    </row>
    <row r="876"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4"/>
      <c r="AE876" s="94"/>
      <c r="AF876" s="94"/>
      <c r="AG876" s="94"/>
    </row>
    <row r="877"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4"/>
      <c r="AE877" s="94"/>
      <c r="AF877" s="94"/>
      <c r="AG877" s="94"/>
    </row>
    <row r="878"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4"/>
      <c r="AE878" s="94"/>
      <c r="AF878" s="94"/>
      <c r="AG878" s="94"/>
    </row>
    <row r="879"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4"/>
      <c r="AE879" s="94"/>
      <c r="AF879" s="94"/>
      <c r="AG879" s="94"/>
    </row>
    <row r="880"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4"/>
      <c r="AE880" s="94"/>
      <c r="AF880" s="94"/>
      <c r="AG880" s="94"/>
    </row>
    <row r="881"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4"/>
      <c r="AE881" s="94"/>
      <c r="AF881" s="94"/>
      <c r="AG881" s="94"/>
    </row>
    <row r="882"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4"/>
      <c r="AE882" s="94"/>
      <c r="AF882" s="94"/>
      <c r="AG882" s="94"/>
    </row>
    <row r="883"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4"/>
      <c r="AE883" s="94"/>
      <c r="AF883" s="94"/>
      <c r="AG883" s="94"/>
    </row>
    <row r="884"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4"/>
      <c r="AE884" s="94"/>
      <c r="AF884" s="94"/>
      <c r="AG884" s="94"/>
    </row>
    <row r="885"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4"/>
      <c r="AE885" s="94"/>
      <c r="AF885" s="94"/>
      <c r="AG885" s="94"/>
    </row>
    <row r="886"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4"/>
      <c r="AE886" s="94"/>
      <c r="AF886" s="94"/>
      <c r="AG886" s="94"/>
    </row>
    <row r="887"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4"/>
      <c r="AE887" s="94"/>
      <c r="AF887" s="94"/>
      <c r="AG887" s="94"/>
    </row>
    <row r="888"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4"/>
      <c r="AE888" s="94"/>
      <c r="AF888" s="94"/>
      <c r="AG888" s="94"/>
    </row>
    <row r="889"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4"/>
      <c r="AE889" s="94"/>
      <c r="AF889" s="94"/>
      <c r="AG889" s="94"/>
    </row>
    <row r="890"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4"/>
      <c r="AE890" s="94"/>
      <c r="AF890" s="94"/>
      <c r="AG890" s="94"/>
    </row>
    <row r="891"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4"/>
      <c r="AE891" s="94"/>
      <c r="AF891" s="94"/>
      <c r="AG891" s="94"/>
    </row>
    <row r="892"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4"/>
      <c r="AE892" s="94"/>
      <c r="AF892" s="94"/>
      <c r="AG892" s="94"/>
    </row>
    <row r="893"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4"/>
      <c r="AE893" s="94"/>
      <c r="AF893" s="94"/>
      <c r="AG893" s="94"/>
    </row>
    <row r="894"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4"/>
      <c r="AE894" s="94"/>
      <c r="AF894" s="94"/>
      <c r="AG894" s="94"/>
    </row>
    <row r="895"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4"/>
      <c r="AE895" s="94"/>
      <c r="AF895" s="94"/>
      <c r="AG895" s="94"/>
    </row>
    <row r="896"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4"/>
      <c r="AE896" s="94"/>
      <c r="AF896" s="94"/>
      <c r="AG896" s="94"/>
    </row>
    <row r="897"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4"/>
      <c r="AE897" s="94"/>
      <c r="AF897" s="94"/>
      <c r="AG897" s="94"/>
    </row>
    <row r="898"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4"/>
      <c r="AE898" s="94"/>
      <c r="AF898" s="94"/>
      <c r="AG898" s="94"/>
    </row>
    <row r="899"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4"/>
      <c r="AE899" s="94"/>
      <c r="AF899" s="94"/>
      <c r="AG899" s="94"/>
    </row>
    <row r="900"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4"/>
      <c r="AE900" s="94"/>
      <c r="AF900" s="94"/>
      <c r="AG900" s="94"/>
    </row>
    <row r="901"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4"/>
      <c r="AE901" s="94"/>
      <c r="AF901" s="94"/>
      <c r="AG901" s="94"/>
    </row>
    <row r="902"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4"/>
      <c r="AE902" s="94"/>
      <c r="AF902" s="94"/>
      <c r="AG902" s="94"/>
    </row>
    <row r="903"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4"/>
      <c r="AE903" s="94"/>
      <c r="AF903" s="94"/>
      <c r="AG903" s="94"/>
    </row>
    <row r="904"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4"/>
      <c r="AE904" s="94"/>
      <c r="AF904" s="94"/>
      <c r="AG904" s="94"/>
    </row>
    <row r="905"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4"/>
      <c r="AE905" s="94"/>
      <c r="AF905" s="94"/>
      <c r="AG905" s="94"/>
    </row>
    <row r="906"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4"/>
      <c r="AE906" s="94"/>
      <c r="AF906" s="94"/>
      <c r="AG906" s="94"/>
    </row>
    <row r="907"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4"/>
      <c r="AE907" s="94"/>
      <c r="AF907" s="94"/>
      <c r="AG907" s="94"/>
    </row>
    <row r="908"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4"/>
      <c r="AE908" s="94"/>
      <c r="AF908" s="94"/>
      <c r="AG908" s="94"/>
    </row>
    <row r="909"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4"/>
      <c r="AE909" s="94"/>
      <c r="AF909" s="94"/>
      <c r="AG909" s="94"/>
    </row>
    <row r="910"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4"/>
      <c r="AE910" s="94"/>
      <c r="AF910" s="94"/>
      <c r="AG910" s="94"/>
    </row>
    <row r="911"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4"/>
      <c r="AE911" s="94"/>
      <c r="AF911" s="94"/>
      <c r="AG911" s="94"/>
    </row>
    <row r="912"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4"/>
      <c r="AE912" s="94"/>
      <c r="AF912" s="94"/>
      <c r="AG912" s="94"/>
    </row>
    <row r="913"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4"/>
      <c r="AE913" s="94"/>
      <c r="AF913" s="94"/>
      <c r="AG913" s="94"/>
    </row>
    <row r="914"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4"/>
      <c r="AE914" s="94"/>
      <c r="AF914" s="94"/>
      <c r="AG914" s="94"/>
    </row>
    <row r="915"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4"/>
      <c r="AE915" s="94"/>
      <c r="AF915" s="94"/>
      <c r="AG915" s="94"/>
    </row>
    <row r="916"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4"/>
      <c r="AE916" s="94"/>
      <c r="AF916" s="94"/>
      <c r="AG916" s="94"/>
    </row>
    <row r="917"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4"/>
      <c r="AE917" s="94"/>
      <c r="AF917" s="94"/>
      <c r="AG917" s="94"/>
    </row>
    <row r="918"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4"/>
      <c r="AE918" s="94"/>
      <c r="AF918" s="94"/>
      <c r="AG918" s="94"/>
    </row>
    <row r="919"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4"/>
      <c r="AE919" s="94"/>
      <c r="AF919" s="94"/>
      <c r="AG919" s="94"/>
    </row>
    <row r="920"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4"/>
      <c r="AE920" s="94"/>
      <c r="AF920" s="94"/>
      <c r="AG920" s="94"/>
    </row>
    <row r="921"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4"/>
      <c r="AE921" s="94"/>
      <c r="AF921" s="94"/>
      <c r="AG921" s="94"/>
    </row>
    <row r="922"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4"/>
      <c r="AE922" s="94"/>
      <c r="AF922" s="94"/>
      <c r="AG922" s="94"/>
    </row>
    <row r="923"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4"/>
      <c r="AE923" s="94"/>
      <c r="AF923" s="94"/>
      <c r="AG923" s="94"/>
    </row>
    <row r="924"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4"/>
      <c r="AE924" s="94"/>
      <c r="AF924" s="94"/>
      <c r="AG924" s="94"/>
    </row>
    <row r="925"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4"/>
      <c r="AE925" s="94"/>
      <c r="AF925" s="94"/>
      <c r="AG925" s="94"/>
    </row>
    <row r="926"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4"/>
      <c r="AE926" s="94"/>
      <c r="AF926" s="94"/>
      <c r="AG926" s="94"/>
    </row>
    <row r="927"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4"/>
      <c r="AE927" s="94"/>
      <c r="AF927" s="94"/>
      <c r="AG927" s="94"/>
    </row>
    <row r="928"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4"/>
      <c r="AE928" s="94"/>
      <c r="AF928" s="94"/>
      <c r="AG928" s="94"/>
    </row>
    <row r="929"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4"/>
      <c r="AE929" s="94"/>
      <c r="AF929" s="94"/>
      <c r="AG929" s="94"/>
    </row>
    <row r="930"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4"/>
      <c r="AE930" s="94"/>
      <c r="AF930" s="94"/>
      <c r="AG930" s="94"/>
    </row>
    <row r="931"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4"/>
      <c r="AE931" s="94"/>
      <c r="AF931" s="94"/>
      <c r="AG931" s="94"/>
    </row>
    <row r="932"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4"/>
      <c r="AE932" s="94"/>
      <c r="AF932" s="94"/>
      <c r="AG932" s="94"/>
    </row>
    <row r="933"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4"/>
      <c r="AE933" s="94"/>
      <c r="AF933" s="94"/>
      <c r="AG933" s="94"/>
    </row>
    <row r="934"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4"/>
      <c r="AE934" s="94"/>
      <c r="AF934" s="94"/>
      <c r="AG934" s="94"/>
    </row>
    <row r="935"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4"/>
      <c r="AE935" s="94"/>
      <c r="AF935" s="94"/>
      <c r="AG935" s="94"/>
    </row>
    <row r="936"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4"/>
      <c r="AE936" s="94"/>
      <c r="AF936" s="94"/>
      <c r="AG936" s="94"/>
    </row>
    <row r="937"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4"/>
      <c r="AE937" s="94"/>
      <c r="AF937" s="94"/>
      <c r="AG937" s="94"/>
    </row>
    <row r="938"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4"/>
      <c r="AE938" s="94"/>
      <c r="AF938" s="94"/>
      <c r="AG938" s="94"/>
    </row>
    <row r="939"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4"/>
      <c r="AE939" s="94"/>
      <c r="AF939" s="94"/>
      <c r="AG939" s="94"/>
    </row>
    <row r="940"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4"/>
      <c r="AE940" s="94"/>
      <c r="AF940" s="94"/>
      <c r="AG940" s="94"/>
    </row>
    <row r="941"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4"/>
      <c r="AE941" s="94"/>
      <c r="AF941" s="94"/>
      <c r="AG941" s="94"/>
    </row>
    <row r="942"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4"/>
      <c r="AE942" s="94"/>
      <c r="AF942" s="94"/>
      <c r="AG942" s="94"/>
    </row>
    <row r="943"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4"/>
      <c r="AE943" s="94"/>
      <c r="AF943" s="94"/>
      <c r="AG943" s="94"/>
    </row>
    <row r="944"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4"/>
      <c r="AE944" s="94"/>
      <c r="AF944" s="94"/>
      <c r="AG944" s="94"/>
    </row>
    <row r="945"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4"/>
      <c r="AE945" s="94"/>
      <c r="AF945" s="94"/>
      <c r="AG945" s="94"/>
    </row>
    <row r="946"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4"/>
      <c r="AE946" s="94"/>
      <c r="AF946" s="94"/>
      <c r="AG946" s="94"/>
    </row>
    <row r="947"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4"/>
      <c r="AE947" s="94"/>
      <c r="AF947" s="94"/>
      <c r="AG947" s="94"/>
    </row>
    <row r="948"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4"/>
      <c r="AE948" s="94"/>
      <c r="AF948" s="94"/>
      <c r="AG948" s="94"/>
    </row>
    <row r="949"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4"/>
      <c r="AE949" s="94"/>
      <c r="AF949" s="94"/>
      <c r="AG949" s="94"/>
    </row>
    <row r="950"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4"/>
      <c r="AE950" s="94"/>
      <c r="AF950" s="94"/>
      <c r="AG950" s="94"/>
    </row>
    <row r="951"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4"/>
      <c r="AE951" s="94"/>
      <c r="AF951" s="94"/>
      <c r="AG951" s="94"/>
    </row>
    <row r="952"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4"/>
      <c r="AE952" s="94"/>
      <c r="AF952" s="94"/>
      <c r="AG952" s="94"/>
    </row>
    <row r="953"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4"/>
      <c r="AE953" s="94"/>
      <c r="AF953" s="94"/>
      <c r="AG953" s="94"/>
    </row>
    <row r="954"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4"/>
      <c r="AE954" s="94"/>
      <c r="AF954" s="94"/>
      <c r="AG954" s="94"/>
    </row>
    <row r="955"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4"/>
      <c r="AE955" s="94"/>
      <c r="AF955" s="94"/>
      <c r="AG955" s="94"/>
    </row>
    <row r="956"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4"/>
      <c r="AE956" s="94"/>
      <c r="AF956" s="94"/>
      <c r="AG956" s="94"/>
    </row>
    <row r="957"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4"/>
      <c r="AE957" s="94"/>
      <c r="AF957" s="94"/>
      <c r="AG957" s="94"/>
    </row>
    <row r="958"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4"/>
      <c r="AE958" s="94"/>
      <c r="AF958" s="94"/>
      <c r="AG958" s="94"/>
    </row>
    <row r="959"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4"/>
      <c r="AE959" s="94"/>
      <c r="AF959" s="94"/>
      <c r="AG959" s="94"/>
    </row>
    <row r="960"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4"/>
      <c r="AE960" s="94"/>
      <c r="AF960" s="94"/>
      <c r="AG960" s="94"/>
    </row>
    <row r="961"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4"/>
      <c r="AE961" s="94"/>
      <c r="AF961" s="94"/>
      <c r="AG961" s="94"/>
    </row>
    <row r="962"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4"/>
      <c r="AE962" s="94"/>
      <c r="AF962" s="94"/>
      <c r="AG962" s="94"/>
    </row>
    <row r="963"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4"/>
      <c r="AE963" s="94"/>
      <c r="AF963" s="94"/>
      <c r="AG963" s="94"/>
    </row>
    <row r="964"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4"/>
      <c r="AE964" s="94"/>
      <c r="AF964" s="94"/>
      <c r="AG964" s="94"/>
    </row>
    <row r="965"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4"/>
      <c r="AE965" s="94"/>
      <c r="AF965" s="94"/>
      <c r="AG965" s="94"/>
    </row>
    <row r="966"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4"/>
      <c r="AE966" s="94"/>
      <c r="AF966" s="94"/>
      <c r="AG966" s="94"/>
    </row>
    <row r="967"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4"/>
      <c r="AE967" s="94"/>
      <c r="AF967" s="94"/>
      <c r="AG967" s="94"/>
    </row>
    <row r="968"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4"/>
      <c r="AE968" s="94"/>
      <c r="AF968" s="94"/>
      <c r="AG968" s="94"/>
    </row>
    <row r="969"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4"/>
      <c r="AE969" s="94"/>
      <c r="AF969" s="94"/>
      <c r="AG969" s="94"/>
    </row>
    <row r="970"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4"/>
      <c r="AE970" s="94"/>
      <c r="AF970" s="94"/>
      <c r="AG970" s="94"/>
    </row>
    <row r="971"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4"/>
      <c r="AE971" s="94"/>
      <c r="AF971" s="94"/>
      <c r="AG971" s="94"/>
    </row>
    <row r="972"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4"/>
      <c r="AE972" s="94"/>
      <c r="AF972" s="94"/>
      <c r="AG972" s="94"/>
    </row>
    <row r="973"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4"/>
      <c r="AE973" s="94"/>
      <c r="AF973" s="94"/>
      <c r="AG973" s="94"/>
    </row>
    <row r="974"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4"/>
      <c r="AE974" s="94"/>
      <c r="AF974" s="94"/>
      <c r="AG974" s="94"/>
    </row>
    <row r="975"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4"/>
      <c r="AE975" s="94"/>
      <c r="AF975" s="94"/>
      <c r="AG975" s="94"/>
    </row>
    <row r="976"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4"/>
      <c r="AE976" s="94"/>
      <c r="AF976" s="94"/>
      <c r="AG976" s="94"/>
    </row>
    <row r="977"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4"/>
      <c r="AE977" s="94"/>
      <c r="AF977" s="94"/>
      <c r="AG977" s="94"/>
    </row>
    <row r="978"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4"/>
      <c r="AE978" s="94"/>
      <c r="AF978" s="94"/>
      <c r="AG978" s="94"/>
    </row>
    <row r="979"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4"/>
      <c r="AE979" s="94"/>
      <c r="AF979" s="94"/>
      <c r="AG979" s="94"/>
    </row>
    <row r="980"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4"/>
      <c r="AE980" s="94"/>
      <c r="AF980" s="94"/>
      <c r="AG980" s="94"/>
    </row>
    <row r="981"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4"/>
      <c r="AE981" s="94"/>
      <c r="AF981" s="94"/>
      <c r="AG981" s="94"/>
    </row>
    <row r="982"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4"/>
      <c r="AE982" s="94"/>
      <c r="AF982" s="94"/>
      <c r="AG982" s="94"/>
    </row>
    <row r="983"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4"/>
      <c r="AE983" s="94"/>
      <c r="AF983" s="94"/>
      <c r="AG983" s="94"/>
    </row>
    <row r="984"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4"/>
      <c r="AE984" s="94"/>
      <c r="AF984" s="94"/>
      <c r="AG984" s="94"/>
    </row>
    <row r="985"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4"/>
      <c r="AE985" s="94"/>
      <c r="AF985" s="94"/>
      <c r="AG985" s="94"/>
    </row>
    <row r="986"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4"/>
      <c r="AE986" s="94"/>
      <c r="AF986" s="94"/>
      <c r="AG986" s="94"/>
    </row>
    <row r="987"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4"/>
      <c r="AE987" s="94"/>
      <c r="AF987" s="94"/>
      <c r="AG987" s="94"/>
    </row>
    <row r="988"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4"/>
      <c r="AE988" s="94"/>
      <c r="AF988" s="94"/>
      <c r="AG988" s="94"/>
    </row>
    <row r="989"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4"/>
      <c r="AE989" s="94"/>
      <c r="AF989" s="94"/>
      <c r="AG989" s="94"/>
    </row>
    <row r="990"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4"/>
      <c r="AE990" s="94"/>
      <c r="AF990" s="94"/>
      <c r="AG990" s="94"/>
    </row>
    <row r="991"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4"/>
      <c r="AE991" s="94"/>
      <c r="AF991" s="94"/>
      <c r="AG991" s="94"/>
    </row>
    <row r="992"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4"/>
      <c r="AE992" s="94"/>
      <c r="AF992" s="94"/>
      <c r="AG992" s="94"/>
    </row>
    <row r="993"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4"/>
      <c r="AE993" s="94"/>
      <c r="AF993" s="94"/>
      <c r="AG993" s="94"/>
    </row>
    <row r="994"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4"/>
      <c r="AE994" s="94"/>
      <c r="AF994" s="94"/>
      <c r="AG994" s="94"/>
    </row>
    <row r="995"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4"/>
      <c r="AE995" s="94"/>
      <c r="AF995" s="94"/>
      <c r="AG995" s="94"/>
    </row>
    <row r="996"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4"/>
      <c r="AE996" s="94"/>
      <c r="AF996" s="94"/>
      <c r="AG996" s="94"/>
    </row>
    <row r="997"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4"/>
      <c r="AE997" s="94"/>
      <c r="AF997" s="94"/>
      <c r="AG997" s="94"/>
    </row>
    <row r="998"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4"/>
      <c r="AE998" s="94"/>
      <c r="AF998" s="94"/>
      <c r="AG998" s="94"/>
    </row>
    <row r="999"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4"/>
      <c r="AE999" s="94"/>
      <c r="AF999" s="94"/>
      <c r="AG999" s="94"/>
    </row>
    <row r="1000"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4"/>
      <c r="AE1000" s="94"/>
      <c r="AF1000" s="94"/>
      <c r="AG1000" s="94"/>
    </row>
    <row r="1001"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4"/>
      <c r="AE1001" s="94"/>
      <c r="AF1001" s="94"/>
      <c r="AG1001" s="94"/>
    </row>
    <row r="1002"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4"/>
      <c r="AE1002" s="94"/>
      <c r="AF1002" s="94"/>
      <c r="AG1002" s="94"/>
    </row>
    <row r="1003"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4"/>
      <c r="AE1003" s="94"/>
      <c r="AF1003" s="94"/>
      <c r="AG1003" s="94"/>
    </row>
    <row r="1004"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4"/>
      <c r="AE1004" s="94"/>
      <c r="AF1004" s="94"/>
      <c r="AG1004" s="94"/>
    </row>
    <row r="1005"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4"/>
      <c r="AE1005" s="94"/>
      <c r="AF1005" s="94"/>
      <c r="AG1005" s="94"/>
    </row>
    <row r="1006"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4"/>
      <c r="AE1006" s="94"/>
      <c r="AF1006" s="94"/>
      <c r="AG1006" s="94"/>
    </row>
    <row r="1007">
      <c r="P1007" s="93"/>
      <c r="Q1007" s="93"/>
      <c r="R1007" s="93"/>
      <c r="S1007" s="93"/>
      <c r="T1007" s="93"/>
      <c r="U1007" s="93"/>
      <c r="V1007" s="93"/>
      <c r="W1007" s="93"/>
      <c r="X1007" s="93"/>
      <c r="Y1007" s="93"/>
      <c r="Z1007" s="93"/>
      <c r="AA1007" s="93"/>
      <c r="AB1007" s="93"/>
      <c r="AC1007" s="93"/>
      <c r="AD1007" s="94"/>
      <c r="AE1007" s="94"/>
      <c r="AF1007" s="94"/>
      <c r="AG1007" s="94"/>
    </row>
    <row r="1008">
      <c r="P1008" s="93"/>
      <c r="Q1008" s="93"/>
      <c r="R1008" s="93"/>
      <c r="S1008" s="93"/>
      <c r="T1008" s="93"/>
      <c r="U1008" s="93"/>
      <c r="V1008" s="93"/>
      <c r="W1008" s="93"/>
      <c r="X1008" s="93"/>
      <c r="Y1008" s="93"/>
      <c r="Z1008" s="93"/>
      <c r="AA1008" s="93"/>
      <c r="AB1008" s="93"/>
      <c r="AC1008" s="93"/>
      <c r="AD1008" s="94"/>
      <c r="AE1008" s="94"/>
      <c r="AF1008" s="94"/>
      <c r="AG1008" s="94"/>
    </row>
    <row r="1009">
      <c r="P1009" s="93"/>
      <c r="Q1009" s="93"/>
      <c r="R1009" s="93"/>
      <c r="S1009" s="93"/>
      <c r="T1009" s="93"/>
      <c r="U1009" s="93"/>
      <c r="V1009" s="93"/>
      <c r="W1009" s="93"/>
      <c r="X1009" s="93"/>
      <c r="Y1009" s="93"/>
      <c r="Z1009" s="93"/>
      <c r="AA1009" s="93"/>
      <c r="AB1009" s="93"/>
      <c r="AC1009" s="93"/>
      <c r="AD1009" s="94"/>
      <c r="AE1009" s="94"/>
      <c r="AF1009" s="94"/>
      <c r="AG1009" s="94"/>
    </row>
    <row r="1010">
      <c r="P1010" s="93"/>
      <c r="Q1010" s="93"/>
      <c r="R1010" s="93"/>
      <c r="S1010" s="93"/>
      <c r="T1010" s="93"/>
      <c r="U1010" s="93"/>
      <c r="V1010" s="93"/>
      <c r="W1010" s="93"/>
      <c r="X1010" s="93"/>
      <c r="Y1010" s="93"/>
      <c r="Z1010" s="93"/>
      <c r="AA1010" s="93"/>
      <c r="AB1010" s="93"/>
      <c r="AC1010" s="93"/>
      <c r="AD1010" s="94"/>
      <c r="AE1010" s="94"/>
      <c r="AF1010" s="94"/>
      <c r="AG1010" s="94"/>
    </row>
    <row r="1011">
      <c r="P1011" s="93"/>
      <c r="Q1011" s="93"/>
      <c r="R1011" s="93"/>
      <c r="S1011" s="93"/>
      <c r="T1011" s="93"/>
      <c r="U1011" s="93"/>
      <c r="V1011" s="93"/>
      <c r="W1011" s="93"/>
      <c r="X1011" s="93"/>
      <c r="Y1011" s="93"/>
      <c r="Z1011" s="93"/>
      <c r="AA1011" s="93"/>
      <c r="AB1011" s="93"/>
      <c r="AC1011" s="93"/>
      <c r="AD1011" s="94"/>
      <c r="AE1011" s="94"/>
      <c r="AF1011" s="94"/>
      <c r="AG1011" s="94"/>
    </row>
    <row r="1012">
      <c r="P1012" s="93"/>
      <c r="Q1012" s="93"/>
      <c r="R1012" s="93"/>
      <c r="S1012" s="93"/>
      <c r="T1012" s="93"/>
      <c r="U1012" s="93"/>
      <c r="V1012" s="93"/>
      <c r="W1012" s="93"/>
      <c r="X1012" s="93"/>
      <c r="Y1012" s="93"/>
      <c r="Z1012" s="93"/>
      <c r="AA1012" s="93"/>
      <c r="AB1012" s="93"/>
      <c r="AC1012" s="93"/>
      <c r="AD1012" s="94"/>
      <c r="AE1012" s="94"/>
      <c r="AF1012" s="94"/>
      <c r="AG1012" s="94"/>
    </row>
    <row r="1013">
      <c r="P1013" s="93"/>
      <c r="Q1013" s="93"/>
      <c r="R1013" s="93"/>
      <c r="S1013" s="93"/>
      <c r="T1013" s="93"/>
      <c r="U1013" s="93"/>
      <c r="V1013" s="93"/>
      <c r="W1013" s="93"/>
      <c r="X1013" s="93"/>
      <c r="Y1013" s="93"/>
      <c r="Z1013" s="93"/>
      <c r="AA1013" s="93"/>
      <c r="AB1013" s="93"/>
      <c r="AC1013" s="93"/>
      <c r="AD1013" s="94"/>
      <c r="AE1013" s="94"/>
      <c r="AF1013" s="94"/>
      <c r="AG1013" s="94"/>
    </row>
    <row r="1014">
      <c r="P1014" s="93"/>
      <c r="Q1014" s="93"/>
      <c r="R1014" s="93"/>
      <c r="S1014" s="93"/>
      <c r="T1014" s="93"/>
      <c r="U1014" s="93"/>
      <c r="V1014" s="93"/>
      <c r="W1014" s="93"/>
      <c r="X1014" s="93"/>
      <c r="Y1014" s="93"/>
      <c r="Z1014" s="93"/>
      <c r="AA1014" s="93"/>
      <c r="AB1014" s="93"/>
      <c r="AC1014" s="93"/>
      <c r="AD1014" s="94"/>
      <c r="AE1014" s="94"/>
      <c r="AF1014" s="94"/>
      <c r="AG1014" s="94"/>
    </row>
    <row r="1015">
      <c r="P1015" s="93"/>
      <c r="Q1015" s="93"/>
      <c r="R1015" s="93"/>
      <c r="S1015" s="93"/>
      <c r="T1015" s="93"/>
      <c r="U1015" s="93"/>
      <c r="V1015" s="93"/>
      <c r="W1015" s="93"/>
      <c r="X1015" s="93"/>
      <c r="Y1015" s="93"/>
      <c r="Z1015" s="93"/>
      <c r="AA1015" s="93"/>
      <c r="AB1015" s="93"/>
      <c r="AC1015" s="93"/>
      <c r="AD1015" s="94"/>
      <c r="AE1015" s="94"/>
      <c r="AF1015" s="94"/>
      <c r="AG1015" s="94"/>
    </row>
    <row r="1016">
      <c r="P1016" s="93"/>
      <c r="Q1016" s="93"/>
      <c r="R1016" s="93"/>
      <c r="S1016" s="93"/>
      <c r="T1016" s="93"/>
      <c r="U1016" s="93"/>
      <c r="V1016" s="93"/>
      <c r="W1016" s="93"/>
      <c r="X1016" s="93"/>
      <c r="Y1016" s="93"/>
      <c r="Z1016" s="93"/>
      <c r="AA1016" s="93"/>
      <c r="AB1016" s="93"/>
      <c r="AC1016" s="93"/>
      <c r="AD1016" s="94"/>
      <c r="AE1016" s="94"/>
      <c r="AF1016" s="94"/>
      <c r="AG1016" s="94"/>
    </row>
    <row r="1017">
      <c r="P1017" s="93"/>
      <c r="Q1017" s="93"/>
      <c r="R1017" s="93"/>
      <c r="S1017" s="93"/>
      <c r="T1017" s="93"/>
      <c r="U1017" s="93"/>
      <c r="V1017" s="93"/>
      <c r="W1017" s="93"/>
      <c r="X1017" s="93"/>
      <c r="Y1017" s="93"/>
      <c r="Z1017" s="93"/>
      <c r="AA1017" s="93"/>
      <c r="AB1017" s="93"/>
      <c r="AC1017" s="93"/>
      <c r="AD1017" s="94"/>
      <c r="AE1017" s="94"/>
      <c r="AF1017" s="94"/>
      <c r="AG1017" s="94"/>
    </row>
    <row r="1018">
      <c r="P1018" s="93"/>
      <c r="Q1018" s="93"/>
      <c r="R1018" s="93"/>
      <c r="S1018" s="93"/>
      <c r="T1018" s="93"/>
      <c r="U1018" s="93"/>
      <c r="V1018" s="93"/>
      <c r="W1018" s="93"/>
      <c r="X1018" s="93"/>
      <c r="Y1018" s="93"/>
      <c r="Z1018" s="93"/>
      <c r="AA1018" s="93"/>
      <c r="AB1018" s="93"/>
      <c r="AC1018" s="93"/>
      <c r="AD1018" s="94"/>
      <c r="AE1018" s="94"/>
      <c r="AF1018" s="94"/>
      <c r="AG1018" s="94"/>
    </row>
    <row r="1019">
      <c r="P1019" s="93"/>
      <c r="Q1019" s="93"/>
      <c r="R1019" s="93"/>
      <c r="S1019" s="93"/>
      <c r="T1019" s="93"/>
      <c r="U1019" s="93"/>
      <c r="V1019" s="93"/>
      <c r="W1019" s="93"/>
      <c r="X1019" s="93"/>
      <c r="Y1019" s="93"/>
      <c r="Z1019" s="93"/>
      <c r="AA1019" s="93"/>
      <c r="AB1019" s="93"/>
      <c r="AC1019" s="93"/>
      <c r="AD1019" s="94"/>
      <c r="AE1019" s="94"/>
      <c r="AF1019" s="94"/>
      <c r="AG1019" s="94"/>
    </row>
    <row r="1020">
      <c r="P1020" s="93"/>
      <c r="Q1020" s="93"/>
      <c r="R1020" s="93"/>
      <c r="S1020" s="93"/>
      <c r="T1020" s="93"/>
      <c r="U1020" s="93"/>
      <c r="V1020" s="93"/>
      <c r="W1020" s="93"/>
      <c r="X1020" s="93"/>
      <c r="Y1020" s="93"/>
      <c r="Z1020" s="93"/>
      <c r="AA1020" s="93"/>
      <c r="AB1020" s="93"/>
      <c r="AC1020" s="93"/>
      <c r="AD1020" s="94"/>
      <c r="AE1020" s="94"/>
      <c r="AF1020" s="94"/>
      <c r="AG1020" s="94"/>
    </row>
    <row r="1021">
      <c r="P1021" s="93"/>
      <c r="Q1021" s="93"/>
      <c r="R1021" s="93"/>
      <c r="S1021" s="93"/>
      <c r="T1021" s="93"/>
      <c r="U1021" s="93"/>
      <c r="V1021" s="93"/>
      <c r="W1021" s="93"/>
      <c r="X1021" s="93"/>
      <c r="Y1021" s="93"/>
      <c r="Z1021" s="93"/>
      <c r="AA1021" s="93"/>
      <c r="AB1021" s="93"/>
      <c r="AC1021" s="93"/>
      <c r="AD1021" s="94"/>
      <c r="AE1021" s="94"/>
      <c r="AF1021" s="94"/>
      <c r="AG1021" s="94"/>
    </row>
    <row r="1022">
      <c r="P1022" s="93"/>
      <c r="Q1022" s="93"/>
      <c r="R1022" s="93"/>
      <c r="S1022" s="93"/>
      <c r="T1022" s="93"/>
      <c r="U1022" s="93"/>
      <c r="V1022" s="93"/>
      <c r="W1022" s="93"/>
      <c r="X1022" s="93"/>
      <c r="Y1022" s="93"/>
      <c r="Z1022" s="93"/>
      <c r="AA1022" s="93"/>
      <c r="AB1022" s="93"/>
      <c r="AC1022" s="93"/>
      <c r="AD1022" s="94"/>
      <c r="AE1022" s="94"/>
      <c r="AF1022" s="94"/>
      <c r="AG1022" s="94"/>
    </row>
    <row r="1023">
      <c r="P1023" s="93"/>
      <c r="Q1023" s="93"/>
      <c r="R1023" s="93"/>
      <c r="S1023" s="93"/>
      <c r="T1023" s="93"/>
      <c r="U1023" s="93"/>
      <c r="V1023" s="93"/>
      <c r="W1023" s="93"/>
      <c r="X1023" s="93"/>
      <c r="Y1023" s="93"/>
      <c r="Z1023" s="93"/>
      <c r="AA1023" s="93"/>
      <c r="AB1023" s="93"/>
      <c r="AC1023" s="93"/>
      <c r="AD1023" s="94"/>
      <c r="AE1023" s="94"/>
      <c r="AF1023" s="94"/>
      <c r="AG1023" s="94"/>
    </row>
    <row r="1024">
      <c r="P1024" s="93"/>
      <c r="Q1024" s="93"/>
      <c r="R1024" s="93"/>
      <c r="S1024" s="93"/>
      <c r="T1024" s="93"/>
      <c r="U1024" s="93"/>
      <c r="V1024" s="93"/>
      <c r="W1024" s="93"/>
      <c r="X1024" s="93"/>
      <c r="Y1024" s="93"/>
      <c r="Z1024" s="93"/>
      <c r="AA1024" s="93"/>
      <c r="AB1024" s="93"/>
      <c r="AC1024" s="93"/>
      <c r="AD1024" s="94"/>
      <c r="AE1024" s="94"/>
      <c r="AF1024" s="94"/>
      <c r="AG1024" s="94"/>
    </row>
    <row r="1025">
      <c r="P1025" s="93"/>
      <c r="Q1025" s="93"/>
      <c r="R1025" s="93"/>
      <c r="S1025" s="93"/>
      <c r="T1025" s="93"/>
      <c r="U1025" s="93"/>
      <c r="V1025" s="93"/>
      <c r="W1025" s="93"/>
      <c r="X1025" s="93"/>
      <c r="Y1025" s="93"/>
      <c r="Z1025" s="93"/>
      <c r="AA1025" s="93"/>
      <c r="AB1025" s="93"/>
      <c r="AC1025" s="93"/>
      <c r="AD1025" s="94"/>
      <c r="AE1025" s="94"/>
      <c r="AF1025" s="94"/>
      <c r="AG1025" s="94"/>
    </row>
    <row r="1026">
      <c r="P1026" s="93"/>
      <c r="Q1026" s="93"/>
      <c r="R1026" s="93"/>
      <c r="S1026" s="93"/>
      <c r="T1026" s="93"/>
      <c r="U1026" s="93"/>
      <c r="V1026" s="93"/>
      <c r="W1026" s="93"/>
      <c r="X1026" s="93"/>
      <c r="Y1026" s="93"/>
      <c r="Z1026" s="93"/>
      <c r="AA1026" s="93"/>
      <c r="AB1026" s="93"/>
      <c r="AC1026" s="93"/>
      <c r="AD1026" s="94"/>
      <c r="AE1026" s="94"/>
      <c r="AF1026" s="94"/>
      <c r="AG1026" s="94"/>
    </row>
    <row r="1027">
      <c r="P1027" s="93"/>
      <c r="Q1027" s="93"/>
      <c r="R1027" s="93"/>
      <c r="S1027" s="93"/>
      <c r="T1027" s="93"/>
      <c r="U1027" s="93"/>
      <c r="V1027" s="93"/>
      <c r="W1027" s="93"/>
      <c r="X1027" s="93"/>
      <c r="Y1027" s="93"/>
      <c r="Z1027" s="93"/>
      <c r="AA1027" s="93"/>
      <c r="AB1027" s="93"/>
      <c r="AC1027" s="93"/>
      <c r="AD1027" s="94"/>
      <c r="AE1027" s="94"/>
      <c r="AF1027" s="94"/>
      <c r="AG1027" s="94"/>
    </row>
    <row r="1028">
      <c r="P1028" s="93"/>
      <c r="Q1028" s="93"/>
      <c r="R1028" s="93"/>
      <c r="S1028" s="93"/>
      <c r="T1028" s="93"/>
      <c r="U1028" s="93"/>
      <c r="V1028" s="93"/>
      <c r="W1028" s="93"/>
      <c r="X1028" s="93"/>
      <c r="Y1028" s="93"/>
      <c r="Z1028" s="93"/>
      <c r="AA1028" s="93"/>
      <c r="AB1028" s="93"/>
      <c r="AC1028" s="93"/>
      <c r="AD1028" s="94"/>
      <c r="AE1028" s="94"/>
      <c r="AF1028" s="94"/>
      <c r="AG1028" s="94"/>
    </row>
    <row r="1029">
      <c r="P1029" s="93"/>
      <c r="Q1029" s="93"/>
      <c r="R1029" s="93"/>
      <c r="S1029" s="93"/>
      <c r="T1029" s="93"/>
      <c r="U1029" s="93"/>
      <c r="V1029" s="93"/>
      <c r="W1029" s="93"/>
      <c r="X1029" s="93"/>
      <c r="Y1029" s="93"/>
      <c r="Z1029" s="93"/>
      <c r="AA1029" s="93"/>
      <c r="AB1029" s="93"/>
      <c r="AC1029" s="93"/>
      <c r="AD1029" s="94"/>
      <c r="AE1029" s="94"/>
      <c r="AF1029" s="94"/>
      <c r="AG1029" s="94"/>
    </row>
    <row r="1030">
      <c r="P1030" s="93"/>
      <c r="Q1030" s="93"/>
      <c r="R1030" s="93"/>
      <c r="S1030" s="93"/>
      <c r="T1030" s="93"/>
      <c r="U1030" s="93"/>
      <c r="V1030" s="93"/>
      <c r="W1030" s="93"/>
      <c r="X1030" s="93"/>
      <c r="Y1030" s="93"/>
      <c r="Z1030" s="93"/>
      <c r="AA1030" s="93"/>
      <c r="AB1030" s="93"/>
      <c r="AC1030" s="93"/>
      <c r="AD1030" s="94"/>
      <c r="AE1030" s="94"/>
      <c r="AF1030" s="94"/>
      <c r="AG1030" s="94"/>
    </row>
    <row r="1031">
      <c r="P1031" s="93"/>
      <c r="Q1031" s="93"/>
      <c r="R1031" s="93"/>
      <c r="S1031" s="93"/>
      <c r="T1031" s="93"/>
      <c r="U1031" s="93"/>
      <c r="V1031" s="93"/>
      <c r="W1031" s="93"/>
      <c r="X1031" s="93"/>
      <c r="Y1031" s="93"/>
      <c r="Z1031" s="93"/>
      <c r="AA1031" s="93"/>
      <c r="AB1031" s="93"/>
      <c r="AC1031" s="93"/>
      <c r="AD1031" s="94"/>
      <c r="AE1031" s="94"/>
      <c r="AF1031" s="94"/>
      <c r="AG1031" s="94"/>
    </row>
    <row r="1032">
      <c r="P1032" s="93"/>
      <c r="Q1032" s="93"/>
      <c r="R1032" s="93"/>
      <c r="S1032" s="93"/>
      <c r="T1032" s="93"/>
      <c r="U1032" s="93"/>
      <c r="V1032" s="93"/>
      <c r="W1032" s="93"/>
      <c r="X1032" s="93"/>
      <c r="Y1032" s="93"/>
      <c r="Z1032" s="93"/>
      <c r="AA1032" s="93"/>
      <c r="AB1032" s="93"/>
      <c r="AC1032" s="93"/>
      <c r="AD1032" s="94"/>
      <c r="AE1032" s="94"/>
      <c r="AF1032" s="94"/>
      <c r="AG1032" s="94"/>
    </row>
    <row r="1033">
      <c r="P1033" s="93"/>
      <c r="Q1033" s="93"/>
      <c r="R1033" s="93"/>
      <c r="S1033" s="93"/>
      <c r="T1033" s="93"/>
      <c r="U1033" s="93"/>
      <c r="V1033" s="93"/>
      <c r="W1033" s="93"/>
      <c r="X1033" s="93"/>
      <c r="Y1033" s="93"/>
      <c r="Z1033" s="93"/>
      <c r="AA1033" s="93"/>
      <c r="AB1033" s="93"/>
      <c r="AC1033" s="93"/>
      <c r="AD1033" s="94"/>
      <c r="AE1033" s="94"/>
      <c r="AF1033" s="94"/>
      <c r="AG1033" s="94"/>
    </row>
    <row r="1034">
      <c r="P1034" s="93"/>
      <c r="Q1034" s="93"/>
      <c r="R1034" s="93"/>
      <c r="S1034" s="93"/>
      <c r="T1034" s="93"/>
      <c r="U1034" s="93"/>
      <c r="V1034" s="93"/>
      <c r="W1034" s="93"/>
      <c r="X1034" s="93"/>
      <c r="Y1034" s="93"/>
      <c r="Z1034" s="93"/>
      <c r="AA1034" s="93"/>
      <c r="AB1034" s="93"/>
      <c r="AC1034" s="93"/>
      <c r="AD1034" s="94"/>
      <c r="AE1034" s="94"/>
      <c r="AF1034" s="94"/>
      <c r="AG1034" s="94"/>
    </row>
    <row r="1035">
      <c r="P1035" s="93"/>
      <c r="Q1035" s="93"/>
      <c r="R1035" s="93"/>
      <c r="S1035" s="93"/>
      <c r="T1035" s="93"/>
      <c r="U1035" s="93"/>
      <c r="V1035" s="93"/>
      <c r="W1035" s="93"/>
      <c r="X1035" s="93"/>
      <c r="Y1035" s="93"/>
      <c r="Z1035" s="93"/>
      <c r="AA1035" s="93"/>
      <c r="AB1035" s="93"/>
      <c r="AC1035" s="93"/>
      <c r="AD1035" s="94"/>
      <c r="AE1035" s="94"/>
      <c r="AF1035" s="94"/>
      <c r="AG1035" s="94"/>
    </row>
    <row r="1036">
      <c r="P1036" s="93"/>
      <c r="Q1036" s="93"/>
      <c r="R1036" s="93"/>
      <c r="S1036" s="93"/>
      <c r="T1036" s="93"/>
      <c r="U1036" s="93"/>
      <c r="V1036" s="93"/>
      <c r="W1036" s="93"/>
      <c r="X1036" s="93"/>
      <c r="Y1036" s="93"/>
      <c r="Z1036" s="93"/>
      <c r="AA1036" s="93"/>
      <c r="AB1036" s="93"/>
      <c r="AC1036" s="93"/>
      <c r="AD1036" s="94"/>
      <c r="AE1036" s="94"/>
      <c r="AF1036" s="94"/>
      <c r="AG1036" s="94"/>
    </row>
    <row r="1037">
      <c r="P1037" s="93"/>
      <c r="Q1037" s="93"/>
      <c r="R1037" s="93"/>
      <c r="S1037" s="93"/>
      <c r="T1037" s="93"/>
      <c r="U1037" s="93"/>
      <c r="V1037" s="93"/>
      <c r="W1037" s="93"/>
      <c r="X1037" s="93"/>
      <c r="Y1037" s="93"/>
      <c r="Z1037" s="93"/>
      <c r="AA1037" s="93"/>
      <c r="AB1037" s="93"/>
      <c r="AC1037" s="93"/>
      <c r="AD1037" s="94"/>
      <c r="AE1037" s="94"/>
      <c r="AF1037" s="94"/>
      <c r="AG1037" s="94"/>
    </row>
    <row r="1038">
      <c r="P1038" s="93"/>
      <c r="Q1038" s="93"/>
      <c r="R1038" s="93"/>
      <c r="S1038" s="93"/>
      <c r="T1038" s="93"/>
      <c r="U1038" s="93"/>
      <c r="V1038" s="93"/>
      <c r="W1038" s="93"/>
      <c r="X1038" s="93"/>
      <c r="Y1038" s="93"/>
      <c r="Z1038" s="93"/>
      <c r="AA1038" s="93"/>
      <c r="AB1038" s="93"/>
      <c r="AC1038" s="93"/>
      <c r="AD1038" s="94"/>
      <c r="AE1038" s="94"/>
      <c r="AF1038" s="94"/>
      <c r="AG1038" s="94"/>
    </row>
    <row r="1039">
      <c r="P1039" s="93"/>
      <c r="Q1039" s="93"/>
      <c r="R1039" s="93"/>
      <c r="S1039" s="93"/>
      <c r="T1039" s="93"/>
      <c r="U1039" s="93"/>
      <c r="V1039" s="93"/>
      <c r="W1039" s="93"/>
      <c r="X1039" s="93"/>
      <c r="Y1039" s="93"/>
      <c r="Z1039" s="93"/>
      <c r="AA1039" s="93"/>
      <c r="AB1039" s="93"/>
      <c r="AC1039" s="93"/>
      <c r="AD1039" s="94"/>
      <c r="AE1039" s="94"/>
      <c r="AF1039" s="94"/>
      <c r="AG1039" s="94"/>
    </row>
    <row r="1040">
      <c r="P1040" s="93"/>
      <c r="Q1040" s="93"/>
      <c r="R1040" s="93"/>
      <c r="S1040" s="93"/>
      <c r="T1040" s="93"/>
      <c r="U1040" s="93"/>
      <c r="V1040" s="93"/>
      <c r="W1040" s="93"/>
      <c r="X1040" s="93"/>
      <c r="Y1040" s="93"/>
      <c r="Z1040" s="93"/>
      <c r="AA1040" s="93"/>
      <c r="AB1040" s="93"/>
      <c r="AC1040" s="93"/>
      <c r="AD1040" s="94"/>
      <c r="AE1040" s="94"/>
      <c r="AF1040" s="94"/>
      <c r="AG1040" s="94"/>
    </row>
    <row r="1041">
      <c r="P1041" s="93"/>
      <c r="Q1041" s="93"/>
      <c r="R1041" s="93"/>
      <c r="S1041" s="93"/>
      <c r="T1041" s="93"/>
      <c r="U1041" s="93"/>
      <c r="V1041" s="93"/>
      <c r="W1041" s="93"/>
      <c r="X1041" s="93"/>
      <c r="Y1041" s="93"/>
      <c r="Z1041" s="93"/>
      <c r="AA1041" s="93"/>
      <c r="AB1041" s="93"/>
      <c r="AC1041" s="93"/>
      <c r="AD1041" s="94"/>
      <c r="AE1041" s="94"/>
      <c r="AF1041" s="94"/>
      <c r="AG1041" s="94"/>
    </row>
    <row r="1042">
      <c r="P1042" s="93"/>
      <c r="Q1042" s="93"/>
      <c r="R1042" s="93"/>
      <c r="S1042" s="93"/>
      <c r="T1042" s="93"/>
      <c r="U1042" s="93"/>
      <c r="V1042" s="93"/>
      <c r="W1042" s="93"/>
      <c r="X1042" s="93"/>
      <c r="Y1042" s="93"/>
      <c r="Z1042" s="93"/>
      <c r="AA1042" s="93"/>
      <c r="AB1042" s="93"/>
      <c r="AC1042" s="93"/>
      <c r="AD1042" s="94"/>
      <c r="AE1042" s="94"/>
      <c r="AF1042" s="94"/>
      <c r="AG1042" s="94"/>
    </row>
    <row r="1043">
      <c r="P1043" s="93"/>
      <c r="Q1043" s="93"/>
      <c r="R1043" s="93"/>
      <c r="S1043" s="93"/>
      <c r="T1043" s="93"/>
      <c r="U1043" s="93"/>
      <c r="V1043" s="93"/>
      <c r="W1043" s="93"/>
      <c r="X1043" s="93"/>
      <c r="Y1043" s="93"/>
      <c r="Z1043" s="93"/>
      <c r="AA1043" s="93"/>
      <c r="AB1043" s="93"/>
      <c r="AC1043" s="93"/>
      <c r="AD1043" s="94"/>
      <c r="AE1043" s="94"/>
      <c r="AF1043" s="94"/>
      <c r="AG1043" s="94"/>
    </row>
    <row r="1044">
      <c r="P1044" s="93"/>
      <c r="Q1044" s="93"/>
      <c r="R1044" s="93"/>
      <c r="S1044" s="93"/>
      <c r="T1044" s="93"/>
      <c r="U1044" s="93"/>
      <c r="V1044" s="93"/>
      <c r="W1044" s="93"/>
      <c r="X1044" s="93"/>
      <c r="Y1044" s="93"/>
      <c r="Z1044" s="93"/>
      <c r="AA1044" s="93"/>
      <c r="AB1044" s="93"/>
      <c r="AC1044" s="93"/>
      <c r="AD1044" s="94"/>
      <c r="AE1044" s="94"/>
      <c r="AF1044" s="94"/>
      <c r="AG1044" s="94"/>
    </row>
    <row r="1045">
      <c r="P1045" s="93"/>
      <c r="Q1045" s="93"/>
      <c r="R1045" s="93"/>
      <c r="S1045" s="93"/>
      <c r="T1045" s="93"/>
      <c r="U1045" s="93"/>
      <c r="V1045" s="93"/>
      <c r="W1045" s="93"/>
      <c r="X1045" s="93"/>
      <c r="Y1045" s="93"/>
      <c r="Z1045" s="93"/>
      <c r="AA1045" s="93"/>
      <c r="AB1045" s="93"/>
      <c r="AC1045" s="93"/>
      <c r="AD1045" s="94"/>
      <c r="AE1045" s="94"/>
      <c r="AF1045" s="94"/>
      <c r="AG1045" s="94"/>
    </row>
    <row r="1046">
      <c r="P1046" s="93"/>
      <c r="Q1046" s="93"/>
      <c r="R1046" s="93"/>
      <c r="S1046" s="93"/>
      <c r="T1046" s="93"/>
      <c r="U1046" s="93"/>
      <c r="V1046" s="93"/>
      <c r="W1046" s="93"/>
      <c r="X1046" s="93"/>
      <c r="Y1046" s="93"/>
      <c r="Z1046" s="93"/>
      <c r="AA1046" s="93"/>
      <c r="AB1046" s="93"/>
      <c r="AC1046" s="93"/>
      <c r="AD1046" s="94"/>
      <c r="AE1046" s="94"/>
      <c r="AF1046" s="94"/>
      <c r="AG1046" s="94"/>
    </row>
    <row r="1047">
      <c r="P1047" s="93"/>
      <c r="Q1047" s="93"/>
      <c r="R1047" s="93"/>
      <c r="S1047" s="93"/>
      <c r="T1047" s="93"/>
      <c r="U1047" s="93"/>
      <c r="V1047" s="93"/>
      <c r="W1047" s="93"/>
      <c r="X1047" s="93"/>
      <c r="Y1047" s="93"/>
      <c r="Z1047" s="93"/>
      <c r="AA1047" s="93"/>
      <c r="AB1047" s="93"/>
      <c r="AC1047" s="93"/>
      <c r="AD1047" s="94"/>
      <c r="AE1047" s="94"/>
      <c r="AF1047" s="94"/>
      <c r="AG1047" s="94"/>
    </row>
    <row r="1048">
      <c r="P1048" s="93"/>
      <c r="Q1048" s="93"/>
      <c r="R1048" s="93"/>
      <c r="S1048" s="93"/>
      <c r="T1048" s="93"/>
      <c r="U1048" s="93"/>
      <c r="V1048" s="93"/>
      <c r="W1048" s="93"/>
      <c r="X1048" s="93"/>
      <c r="Y1048" s="93"/>
      <c r="Z1048" s="93"/>
      <c r="AA1048" s="93"/>
      <c r="AB1048" s="93"/>
      <c r="AC1048" s="93"/>
      <c r="AD1048" s="94"/>
      <c r="AE1048" s="94"/>
      <c r="AF1048" s="94"/>
      <c r="AG1048" s="94"/>
    </row>
    <row r="1049">
      <c r="P1049" s="93"/>
      <c r="Q1049" s="93"/>
      <c r="R1049" s="93"/>
      <c r="S1049" s="93"/>
      <c r="T1049" s="93"/>
      <c r="U1049" s="93"/>
      <c r="V1049" s="93"/>
      <c r="W1049" s="93"/>
      <c r="X1049" s="93"/>
      <c r="Y1049" s="93"/>
      <c r="Z1049" s="93"/>
      <c r="AA1049" s="93"/>
      <c r="AB1049" s="93"/>
      <c r="AC1049" s="93"/>
      <c r="AD1049" s="94"/>
      <c r="AE1049" s="94"/>
      <c r="AF1049" s="94"/>
      <c r="AG1049" s="94"/>
    </row>
    <row r="1050">
      <c r="P1050" s="93"/>
      <c r="Q1050" s="93"/>
      <c r="R1050" s="93"/>
      <c r="S1050" s="93"/>
      <c r="T1050" s="93"/>
      <c r="U1050" s="93"/>
      <c r="V1050" s="93"/>
      <c r="W1050" s="93"/>
      <c r="X1050" s="93"/>
      <c r="Y1050" s="93"/>
      <c r="Z1050" s="93"/>
      <c r="AA1050" s="93"/>
      <c r="AB1050" s="93"/>
      <c r="AC1050" s="93"/>
      <c r="AD1050" s="94"/>
      <c r="AE1050" s="94"/>
      <c r="AF1050" s="94"/>
      <c r="AG1050" s="94"/>
    </row>
    <row r="1051">
      <c r="P1051" s="93"/>
      <c r="Q1051" s="93"/>
      <c r="R1051" s="93"/>
      <c r="S1051" s="93"/>
      <c r="T1051" s="93"/>
      <c r="U1051" s="93"/>
      <c r="V1051" s="93"/>
      <c r="W1051" s="93"/>
      <c r="X1051" s="93"/>
      <c r="Y1051" s="93"/>
      <c r="Z1051" s="93"/>
      <c r="AA1051" s="93"/>
      <c r="AB1051" s="93"/>
      <c r="AC1051" s="93"/>
      <c r="AD1051" s="94"/>
      <c r="AE1051" s="94"/>
      <c r="AF1051" s="94"/>
      <c r="AG1051" s="94"/>
    </row>
    <row r="1052">
      <c r="P1052" s="93"/>
      <c r="Q1052" s="93"/>
      <c r="R1052" s="93"/>
      <c r="S1052" s="93"/>
      <c r="T1052" s="93"/>
      <c r="U1052" s="93"/>
      <c r="V1052" s="93"/>
      <c r="W1052" s="93"/>
      <c r="X1052" s="93"/>
      <c r="Y1052" s="93"/>
      <c r="Z1052" s="93"/>
      <c r="AA1052" s="93"/>
      <c r="AB1052" s="93"/>
      <c r="AC1052" s="93"/>
      <c r="AD1052" s="94"/>
      <c r="AE1052" s="94"/>
      <c r="AF1052" s="94"/>
      <c r="AG1052" s="94"/>
    </row>
    <row r="1053">
      <c r="P1053" s="93"/>
      <c r="Q1053" s="93"/>
      <c r="R1053" s="93"/>
      <c r="S1053" s="93"/>
      <c r="T1053" s="93"/>
      <c r="U1053" s="93"/>
      <c r="V1053" s="93"/>
      <c r="W1053" s="93"/>
      <c r="X1053" s="93"/>
      <c r="Y1053" s="93"/>
      <c r="Z1053" s="93"/>
      <c r="AA1053" s="93"/>
      <c r="AB1053" s="93"/>
      <c r="AC1053" s="93"/>
      <c r="AD1053" s="94"/>
      <c r="AE1053" s="94"/>
      <c r="AF1053" s="94"/>
      <c r="AG1053" s="94"/>
    </row>
    <row r="1054">
      <c r="P1054" s="93"/>
      <c r="Q1054" s="93"/>
      <c r="R1054" s="93"/>
      <c r="S1054" s="93"/>
      <c r="T1054" s="93"/>
      <c r="U1054" s="93"/>
      <c r="V1054" s="93"/>
      <c r="W1054" s="93"/>
      <c r="X1054" s="93"/>
      <c r="Y1054" s="93"/>
      <c r="Z1054" s="93"/>
      <c r="AA1054" s="93"/>
      <c r="AB1054" s="93"/>
      <c r="AC1054" s="93"/>
      <c r="AD1054" s="94"/>
      <c r="AE1054" s="94"/>
      <c r="AF1054" s="94"/>
      <c r="AG1054" s="94"/>
    </row>
    <row r="1055">
      <c r="P1055" s="93"/>
      <c r="Q1055" s="93"/>
      <c r="R1055" s="93"/>
      <c r="S1055" s="93"/>
      <c r="T1055" s="93"/>
      <c r="U1055" s="93"/>
      <c r="V1055" s="93"/>
      <c r="W1055" s="93"/>
      <c r="X1055" s="93"/>
      <c r="Y1055" s="93"/>
      <c r="Z1055" s="93"/>
      <c r="AA1055" s="93"/>
      <c r="AB1055" s="93"/>
      <c r="AC1055" s="93"/>
      <c r="AD1055" s="94"/>
      <c r="AE1055" s="94"/>
      <c r="AF1055" s="94"/>
      <c r="AG1055" s="94"/>
    </row>
    <row r="1056">
      <c r="P1056" s="93"/>
      <c r="Q1056" s="93"/>
      <c r="R1056" s="93"/>
      <c r="S1056" s="93"/>
      <c r="T1056" s="93"/>
      <c r="U1056" s="93"/>
      <c r="V1056" s="93"/>
      <c r="W1056" s="93"/>
      <c r="X1056" s="93"/>
      <c r="Y1056" s="93"/>
      <c r="Z1056" s="93"/>
      <c r="AA1056" s="93"/>
      <c r="AB1056" s="93"/>
      <c r="AC1056" s="93"/>
      <c r="AD1056" s="94"/>
      <c r="AE1056" s="94"/>
      <c r="AF1056" s="94"/>
      <c r="AG1056" s="94"/>
    </row>
    <row r="1057">
      <c r="P1057" s="93"/>
      <c r="Q1057" s="93"/>
      <c r="R1057" s="93"/>
      <c r="S1057" s="93"/>
      <c r="T1057" s="93"/>
      <c r="U1057" s="93"/>
      <c r="V1057" s="93"/>
      <c r="W1057" s="93"/>
      <c r="X1057" s="93"/>
      <c r="Y1057" s="93"/>
      <c r="Z1057" s="93"/>
      <c r="AA1057" s="93"/>
      <c r="AB1057" s="93"/>
      <c r="AC1057" s="93"/>
      <c r="AD1057" s="94"/>
      <c r="AE1057" s="94"/>
      <c r="AF1057" s="94"/>
      <c r="AG1057" s="94"/>
    </row>
    <row r="1058">
      <c r="P1058" s="93"/>
      <c r="Q1058" s="93"/>
      <c r="R1058" s="93"/>
      <c r="S1058" s="93"/>
      <c r="T1058" s="93"/>
      <c r="U1058" s="93"/>
      <c r="V1058" s="93"/>
      <c r="W1058" s="93"/>
      <c r="X1058" s="93"/>
      <c r="Y1058" s="93"/>
      <c r="Z1058" s="93"/>
      <c r="AA1058" s="93"/>
      <c r="AB1058" s="93"/>
      <c r="AC1058" s="93"/>
      <c r="AD1058" s="94"/>
      <c r="AE1058" s="94"/>
      <c r="AF1058" s="94"/>
      <c r="AG1058" s="94"/>
    </row>
    <row r="1059">
      <c r="P1059" s="93"/>
      <c r="Q1059" s="93"/>
      <c r="R1059" s="93"/>
      <c r="S1059" s="93"/>
      <c r="T1059" s="93"/>
      <c r="U1059" s="93"/>
      <c r="V1059" s="93"/>
      <c r="W1059" s="93"/>
      <c r="X1059" s="93"/>
      <c r="Y1059" s="93"/>
      <c r="Z1059" s="93"/>
      <c r="AA1059" s="93"/>
      <c r="AB1059" s="93"/>
      <c r="AC1059" s="93"/>
      <c r="AD1059" s="94"/>
      <c r="AE1059" s="94"/>
      <c r="AF1059" s="94"/>
      <c r="AG1059" s="94"/>
    </row>
    <row r="1060">
      <c r="P1060" s="93"/>
      <c r="Q1060" s="93"/>
      <c r="R1060" s="93"/>
      <c r="S1060" s="93"/>
      <c r="T1060" s="93"/>
      <c r="U1060" s="93"/>
      <c r="V1060" s="93"/>
      <c r="W1060" s="93"/>
      <c r="X1060" s="93"/>
      <c r="Y1060" s="93"/>
      <c r="Z1060" s="93"/>
      <c r="AA1060" s="93"/>
      <c r="AB1060" s="93"/>
      <c r="AC1060" s="93"/>
      <c r="AD1060" s="94"/>
      <c r="AE1060" s="94"/>
      <c r="AF1060" s="94"/>
      <c r="AG1060" s="94"/>
    </row>
    <row r="1061">
      <c r="P1061" s="93"/>
      <c r="Q1061" s="93"/>
      <c r="R1061" s="93"/>
      <c r="S1061" s="93"/>
      <c r="T1061" s="93"/>
      <c r="U1061" s="93"/>
      <c r="V1061" s="93"/>
      <c r="W1061" s="93"/>
      <c r="X1061" s="93"/>
      <c r="Y1061" s="93"/>
      <c r="Z1061" s="93"/>
      <c r="AA1061" s="93"/>
      <c r="AB1061" s="93"/>
      <c r="AC1061" s="93"/>
      <c r="AD1061" s="94"/>
      <c r="AE1061" s="94"/>
      <c r="AF1061" s="94"/>
      <c r="AG1061" s="94"/>
    </row>
    <row r="1062">
      <c r="P1062" s="93"/>
      <c r="Q1062" s="93"/>
      <c r="R1062" s="93"/>
      <c r="S1062" s="93"/>
      <c r="T1062" s="93"/>
      <c r="U1062" s="93"/>
      <c r="V1062" s="93"/>
      <c r="W1062" s="93"/>
      <c r="X1062" s="93"/>
      <c r="Y1062" s="93"/>
      <c r="Z1062" s="93"/>
      <c r="AA1062" s="93"/>
      <c r="AB1062" s="93"/>
      <c r="AC1062" s="93"/>
      <c r="AD1062" s="94"/>
      <c r="AE1062" s="94"/>
      <c r="AF1062" s="94"/>
      <c r="AG1062" s="94"/>
    </row>
    <row r="1063">
      <c r="P1063" s="93"/>
      <c r="Q1063" s="93"/>
      <c r="R1063" s="93"/>
      <c r="S1063" s="93"/>
      <c r="T1063" s="93"/>
      <c r="U1063" s="93"/>
      <c r="V1063" s="93"/>
      <c r="W1063" s="93"/>
      <c r="X1063" s="93"/>
      <c r="Y1063" s="93"/>
      <c r="Z1063" s="93"/>
      <c r="AA1063" s="93"/>
      <c r="AB1063" s="93"/>
      <c r="AC1063" s="93"/>
      <c r="AD1063" s="94"/>
      <c r="AE1063" s="94"/>
      <c r="AF1063" s="94"/>
      <c r="AG1063" s="94"/>
    </row>
    <row r="1064">
      <c r="P1064" s="93"/>
      <c r="Q1064" s="93"/>
      <c r="R1064" s="93"/>
      <c r="S1064" s="93"/>
      <c r="T1064" s="93"/>
      <c r="U1064" s="93"/>
      <c r="V1064" s="93"/>
      <c r="W1064" s="93"/>
      <c r="X1064" s="93"/>
      <c r="Y1064" s="93"/>
      <c r="Z1064" s="93"/>
      <c r="AA1064" s="93"/>
      <c r="AB1064" s="93"/>
      <c r="AC1064" s="93"/>
      <c r="AD1064" s="94"/>
      <c r="AE1064" s="94"/>
      <c r="AF1064" s="94"/>
      <c r="AG1064" s="94"/>
    </row>
    <row r="1065">
      <c r="P1065" s="93"/>
      <c r="Q1065" s="93"/>
      <c r="R1065" s="93"/>
      <c r="S1065" s="93"/>
      <c r="T1065" s="93"/>
      <c r="U1065" s="93"/>
      <c r="V1065" s="93"/>
      <c r="W1065" s="93"/>
      <c r="X1065" s="93"/>
      <c r="Y1065" s="93"/>
      <c r="Z1065" s="93"/>
      <c r="AA1065" s="93"/>
      <c r="AB1065" s="93"/>
      <c r="AC1065" s="93"/>
      <c r="AD1065" s="94"/>
      <c r="AE1065" s="94"/>
      <c r="AF1065" s="94"/>
      <c r="AG1065" s="94"/>
    </row>
    <row r="1066">
      <c r="P1066" s="93"/>
      <c r="Q1066" s="93"/>
      <c r="R1066" s="93"/>
      <c r="S1066" s="93"/>
      <c r="T1066" s="93"/>
      <c r="U1066" s="93"/>
      <c r="V1066" s="93"/>
      <c r="W1066" s="93"/>
      <c r="X1066" s="93"/>
      <c r="Y1066" s="93"/>
      <c r="Z1066" s="93"/>
      <c r="AA1066" s="93"/>
      <c r="AB1066" s="93"/>
      <c r="AC1066" s="93"/>
      <c r="AD1066" s="94"/>
      <c r="AE1066" s="94"/>
      <c r="AF1066" s="94"/>
      <c r="AG1066" s="94"/>
    </row>
    <row r="1067">
      <c r="P1067" s="93"/>
      <c r="Q1067" s="93"/>
      <c r="R1067" s="93"/>
      <c r="S1067" s="93"/>
      <c r="T1067" s="93"/>
      <c r="U1067" s="93"/>
      <c r="V1067" s="93"/>
      <c r="W1067" s="93"/>
      <c r="X1067" s="93"/>
      <c r="Y1067" s="93"/>
      <c r="Z1067" s="93"/>
      <c r="AA1067" s="93"/>
      <c r="AB1067" s="93"/>
      <c r="AC1067" s="93"/>
      <c r="AD1067" s="94"/>
      <c r="AE1067" s="94"/>
      <c r="AF1067" s="94"/>
      <c r="AG1067" s="94"/>
    </row>
    <row r="1068">
      <c r="P1068" s="93"/>
      <c r="Q1068" s="93"/>
      <c r="R1068" s="93"/>
      <c r="S1068" s="93"/>
      <c r="T1068" s="93"/>
      <c r="U1068" s="93"/>
      <c r="V1068" s="93"/>
      <c r="W1068" s="93"/>
      <c r="X1068" s="93"/>
      <c r="Y1068" s="93"/>
      <c r="Z1068" s="93"/>
      <c r="AA1068" s="93"/>
      <c r="AB1068" s="93"/>
      <c r="AC1068" s="93"/>
      <c r="AD1068" s="94"/>
      <c r="AE1068" s="94"/>
      <c r="AF1068" s="94"/>
      <c r="AG1068" s="94"/>
    </row>
    <row r="1069">
      <c r="P1069" s="93"/>
      <c r="Q1069" s="93"/>
      <c r="R1069" s="93"/>
      <c r="S1069" s="93"/>
      <c r="T1069" s="93"/>
      <c r="U1069" s="93"/>
      <c r="V1069" s="93"/>
      <c r="W1069" s="93"/>
      <c r="X1069" s="93"/>
      <c r="Y1069" s="93"/>
      <c r="Z1069" s="93"/>
      <c r="AA1069" s="93"/>
      <c r="AB1069" s="93"/>
      <c r="AC1069" s="93"/>
      <c r="AD1069" s="94"/>
      <c r="AE1069" s="94"/>
      <c r="AF1069" s="94"/>
      <c r="AG1069" s="94"/>
    </row>
    <row r="1070">
      <c r="P1070" s="93"/>
      <c r="Q1070" s="93"/>
      <c r="R1070" s="93"/>
      <c r="S1070" s="93"/>
      <c r="T1070" s="93"/>
      <c r="U1070" s="93"/>
      <c r="V1070" s="93"/>
      <c r="W1070" s="93"/>
      <c r="X1070" s="93"/>
      <c r="Y1070" s="93"/>
      <c r="Z1070" s="93"/>
      <c r="AA1070" s="93"/>
      <c r="AB1070" s="93"/>
      <c r="AC1070" s="93"/>
      <c r="AD1070" s="94"/>
      <c r="AE1070" s="94"/>
      <c r="AF1070" s="94"/>
      <c r="AG1070" s="94"/>
    </row>
    <row r="1071">
      <c r="P1071" s="93"/>
      <c r="Q1071" s="93"/>
      <c r="R1071" s="93"/>
      <c r="S1071" s="93"/>
      <c r="T1071" s="93"/>
      <c r="U1071" s="93"/>
      <c r="V1071" s="93"/>
      <c r="W1071" s="93"/>
      <c r="X1071" s="93"/>
      <c r="Y1071" s="93"/>
      <c r="Z1071" s="93"/>
      <c r="AA1071" s="93"/>
      <c r="AB1071" s="93"/>
      <c r="AC1071" s="93"/>
      <c r="AD1071" s="94"/>
      <c r="AE1071" s="94"/>
      <c r="AF1071" s="94"/>
      <c r="AG1071" s="94"/>
    </row>
    <row r="1072">
      <c r="P1072" s="93"/>
      <c r="Q1072" s="93"/>
      <c r="R1072" s="93"/>
      <c r="S1072" s="93"/>
      <c r="T1072" s="93"/>
      <c r="U1072" s="93"/>
      <c r="V1072" s="93"/>
      <c r="W1072" s="93"/>
      <c r="X1072" s="93"/>
      <c r="Y1072" s="93"/>
      <c r="Z1072" s="93"/>
      <c r="AA1072" s="93"/>
      <c r="AB1072" s="93"/>
      <c r="AC1072" s="93"/>
      <c r="AD1072" s="94"/>
      <c r="AE1072" s="94"/>
      <c r="AF1072" s="94"/>
      <c r="AG1072" s="94"/>
    </row>
    <row r="1073">
      <c r="P1073" s="93"/>
      <c r="Q1073" s="93"/>
      <c r="R1073" s="93"/>
      <c r="S1073" s="93"/>
      <c r="T1073" s="93"/>
      <c r="U1073" s="93"/>
      <c r="V1073" s="93"/>
      <c r="W1073" s="93"/>
      <c r="X1073" s="93"/>
      <c r="Y1073" s="93"/>
      <c r="Z1073" s="93"/>
      <c r="AA1073" s="93"/>
      <c r="AB1073" s="93"/>
      <c r="AC1073" s="93"/>
      <c r="AD1073" s="94"/>
      <c r="AE1073" s="94"/>
      <c r="AF1073" s="94"/>
      <c r="AG1073" s="94"/>
    </row>
    <row r="1074">
      <c r="P1074" s="93"/>
      <c r="Q1074" s="93"/>
      <c r="R1074" s="93"/>
      <c r="S1074" s="93"/>
      <c r="T1074" s="93"/>
      <c r="U1074" s="93"/>
      <c r="V1074" s="93"/>
      <c r="W1074" s="93"/>
      <c r="X1074" s="93"/>
      <c r="Y1074" s="93"/>
      <c r="Z1074" s="93"/>
      <c r="AA1074" s="93"/>
      <c r="AB1074" s="93"/>
      <c r="AC1074" s="93"/>
      <c r="AD1074" s="94"/>
      <c r="AE1074" s="94"/>
      <c r="AF1074" s="94"/>
      <c r="AG1074" s="94"/>
    </row>
    <row r="1075">
      <c r="P1075" s="93"/>
      <c r="Q1075" s="93"/>
      <c r="R1075" s="93"/>
      <c r="S1075" s="93"/>
      <c r="T1075" s="93"/>
      <c r="U1075" s="93"/>
      <c r="V1075" s="93"/>
      <c r="W1075" s="93"/>
      <c r="X1075" s="93"/>
      <c r="Y1075" s="93"/>
      <c r="Z1075" s="93"/>
      <c r="AA1075" s="93"/>
      <c r="AB1075" s="93"/>
      <c r="AC1075" s="93"/>
      <c r="AD1075" s="94"/>
      <c r="AE1075" s="94"/>
      <c r="AF1075" s="94"/>
      <c r="AG1075" s="94"/>
    </row>
    <row r="1076">
      <c r="P1076" s="93"/>
      <c r="Q1076" s="93"/>
      <c r="R1076" s="93"/>
      <c r="S1076" s="93"/>
      <c r="T1076" s="93"/>
      <c r="U1076" s="93"/>
      <c r="V1076" s="93"/>
      <c r="W1076" s="93"/>
      <c r="X1076" s="93"/>
      <c r="Y1076" s="93"/>
      <c r="Z1076" s="93"/>
      <c r="AA1076" s="93"/>
      <c r="AB1076" s="93"/>
      <c r="AC1076" s="93"/>
      <c r="AD1076" s="94"/>
      <c r="AE1076" s="94"/>
      <c r="AF1076" s="94"/>
      <c r="AG1076" s="94"/>
    </row>
    <row r="1077">
      <c r="P1077" s="93"/>
      <c r="Q1077" s="93"/>
      <c r="R1077" s="93"/>
      <c r="S1077" s="93"/>
      <c r="T1077" s="93"/>
      <c r="U1077" s="93"/>
      <c r="V1077" s="93"/>
      <c r="W1077" s="93"/>
      <c r="X1077" s="93"/>
      <c r="Y1077" s="93"/>
      <c r="Z1077" s="93"/>
      <c r="AA1077" s="93"/>
      <c r="AB1077" s="93"/>
      <c r="AC1077" s="93"/>
      <c r="AD1077" s="94"/>
      <c r="AE1077" s="94"/>
      <c r="AF1077" s="94"/>
      <c r="AG1077" s="94"/>
    </row>
    <row r="1078">
      <c r="P1078" s="93"/>
      <c r="Q1078" s="93"/>
      <c r="R1078" s="93"/>
      <c r="S1078" s="93"/>
      <c r="T1078" s="93"/>
      <c r="U1078" s="93"/>
      <c r="V1078" s="93"/>
      <c r="W1078" s="93"/>
      <c r="X1078" s="93"/>
      <c r="Y1078" s="93"/>
      <c r="Z1078" s="93"/>
      <c r="AA1078" s="93"/>
      <c r="AB1078" s="93"/>
      <c r="AC1078" s="93"/>
      <c r="AD1078" s="94"/>
      <c r="AE1078" s="94"/>
      <c r="AF1078" s="94"/>
      <c r="AG1078" s="94"/>
    </row>
    <row r="1079">
      <c r="P1079" s="93"/>
      <c r="Q1079" s="93"/>
      <c r="R1079" s="93"/>
      <c r="S1079" s="93"/>
      <c r="T1079" s="93"/>
      <c r="U1079" s="93"/>
      <c r="V1079" s="93"/>
      <c r="W1079" s="93"/>
      <c r="X1079" s="93"/>
      <c r="Y1079" s="93"/>
      <c r="Z1079" s="93"/>
      <c r="AA1079" s="93"/>
      <c r="AB1079" s="93"/>
      <c r="AC1079" s="93"/>
      <c r="AD1079" s="94"/>
      <c r="AE1079" s="94"/>
      <c r="AF1079" s="94"/>
      <c r="AG1079" s="94"/>
    </row>
    <row r="1080">
      <c r="P1080" s="93"/>
      <c r="Q1080" s="93"/>
      <c r="R1080" s="93"/>
      <c r="S1080" s="93"/>
      <c r="T1080" s="93"/>
      <c r="U1080" s="93"/>
      <c r="V1080" s="93"/>
      <c r="W1080" s="93"/>
      <c r="X1080" s="93"/>
      <c r="Y1080" s="93"/>
      <c r="Z1080" s="93"/>
      <c r="AA1080" s="93"/>
      <c r="AB1080" s="93"/>
      <c r="AC1080" s="93"/>
      <c r="AD1080" s="94"/>
      <c r="AE1080" s="94"/>
      <c r="AF1080" s="94"/>
      <c r="AG1080" s="94"/>
    </row>
    <row r="1081">
      <c r="P1081" s="93"/>
      <c r="Q1081" s="93"/>
      <c r="R1081" s="93"/>
      <c r="S1081" s="93"/>
      <c r="T1081" s="93"/>
      <c r="U1081" s="93"/>
      <c r="V1081" s="93"/>
      <c r="W1081" s="93"/>
      <c r="X1081" s="93"/>
      <c r="Y1081" s="93"/>
      <c r="Z1081" s="93"/>
      <c r="AA1081" s="93"/>
      <c r="AB1081" s="93"/>
      <c r="AC1081" s="93"/>
      <c r="AD1081" s="94"/>
      <c r="AE1081" s="94"/>
      <c r="AF1081" s="94"/>
      <c r="AG1081" s="94"/>
    </row>
    <row r="1082">
      <c r="P1082" s="93"/>
      <c r="Q1082" s="93"/>
      <c r="R1082" s="93"/>
      <c r="S1082" s="93"/>
      <c r="T1082" s="93"/>
      <c r="U1082" s="93"/>
      <c r="V1082" s="93"/>
      <c r="W1082" s="93"/>
      <c r="X1082" s="93"/>
      <c r="Y1082" s="93"/>
      <c r="Z1082" s="93"/>
      <c r="AA1082" s="93"/>
      <c r="AB1082" s="93"/>
      <c r="AC1082" s="93"/>
      <c r="AD1082" s="94"/>
      <c r="AE1082" s="94"/>
      <c r="AF1082" s="94"/>
      <c r="AG1082" s="94"/>
    </row>
    <row r="1083">
      <c r="P1083" s="93"/>
      <c r="Q1083" s="93"/>
      <c r="R1083" s="93"/>
      <c r="S1083" s="93"/>
      <c r="T1083" s="93"/>
      <c r="U1083" s="93"/>
      <c r="V1083" s="93"/>
      <c r="W1083" s="93"/>
      <c r="X1083" s="93"/>
      <c r="Y1083" s="93"/>
      <c r="Z1083" s="93"/>
      <c r="AA1083" s="93"/>
      <c r="AB1083" s="93"/>
      <c r="AC1083" s="93"/>
      <c r="AD1083" s="94"/>
      <c r="AE1083" s="94"/>
      <c r="AF1083" s="94"/>
      <c r="AG1083" s="94"/>
    </row>
    <row r="1084">
      <c r="P1084" s="93"/>
      <c r="Q1084" s="93"/>
      <c r="R1084" s="93"/>
      <c r="S1084" s="93"/>
      <c r="T1084" s="93"/>
      <c r="U1084" s="93"/>
      <c r="V1084" s="93"/>
      <c r="W1084" s="93"/>
      <c r="X1084" s="93"/>
      <c r="Y1084" s="93"/>
      <c r="Z1084" s="93"/>
      <c r="AA1084" s="93"/>
      <c r="AB1084" s="93"/>
      <c r="AC1084" s="93"/>
      <c r="AD1084" s="94"/>
      <c r="AE1084" s="94"/>
      <c r="AF1084" s="94"/>
      <c r="AG1084" s="94"/>
    </row>
    <row r="1085">
      <c r="P1085" s="93"/>
      <c r="Q1085" s="93"/>
      <c r="R1085" s="93"/>
      <c r="S1085" s="93"/>
      <c r="T1085" s="93"/>
      <c r="U1085" s="93"/>
      <c r="V1085" s="93"/>
      <c r="W1085" s="93"/>
      <c r="X1085" s="93"/>
      <c r="Y1085" s="93"/>
      <c r="Z1085" s="93"/>
      <c r="AA1085" s="93"/>
      <c r="AB1085" s="93"/>
      <c r="AC1085" s="93"/>
      <c r="AD1085" s="94"/>
      <c r="AE1085" s="94"/>
      <c r="AF1085" s="94"/>
      <c r="AG1085" s="94"/>
    </row>
    <row r="1086">
      <c r="P1086" s="93"/>
      <c r="Q1086" s="93"/>
      <c r="R1086" s="93"/>
      <c r="S1086" s="93"/>
      <c r="T1086" s="93"/>
      <c r="U1086" s="93"/>
      <c r="V1086" s="93"/>
      <c r="W1086" s="93"/>
      <c r="X1086" s="93"/>
      <c r="Y1086" s="93"/>
      <c r="Z1086" s="93"/>
      <c r="AA1086" s="93"/>
      <c r="AB1086" s="93"/>
      <c r="AC1086" s="93"/>
      <c r="AD1086" s="94"/>
      <c r="AE1086" s="94"/>
      <c r="AF1086" s="94"/>
      <c r="AG1086" s="94"/>
    </row>
    <row r="1087">
      <c r="P1087" s="93"/>
      <c r="Q1087" s="93"/>
      <c r="R1087" s="93"/>
      <c r="S1087" s="93"/>
      <c r="T1087" s="93"/>
      <c r="U1087" s="93"/>
      <c r="V1087" s="93"/>
      <c r="W1087" s="93"/>
      <c r="X1087" s="93"/>
      <c r="Y1087" s="93"/>
      <c r="Z1087" s="93"/>
      <c r="AA1087" s="93"/>
      <c r="AB1087" s="93"/>
      <c r="AC1087" s="93"/>
      <c r="AD1087" s="94"/>
      <c r="AE1087" s="94"/>
      <c r="AF1087" s="94"/>
      <c r="AG1087" s="94"/>
    </row>
    <row r="1088">
      <c r="P1088" s="93"/>
      <c r="Q1088" s="93"/>
      <c r="R1088" s="93"/>
      <c r="S1088" s="93"/>
      <c r="T1088" s="93"/>
      <c r="U1088" s="93"/>
      <c r="V1088" s="93"/>
      <c r="W1088" s="93"/>
      <c r="X1088" s="93"/>
      <c r="Y1088" s="93"/>
      <c r="Z1088" s="93"/>
      <c r="AA1088" s="93"/>
      <c r="AB1088" s="93"/>
      <c r="AC1088" s="93"/>
      <c r="AD1088" s="94"/>
      <c r="AE1088" s="94"/>
      <c r="AF1088" s="94"/>
      <c r="AG1088" s="94"/>
    </row>
    <row r="1089">
      <c r="P1089" s="93"/>
      <c r="Q1089" s="93"/>
      <c r="R1089" s="93"/>
      <c r="S1089" s="93"/>
      <c r="T1089" s="93"/>
      <c r="U1089" s="93"/>
      <c r="V1089" s="93"/>
      <c r="W1089" s="93"/>
      <c r="X1089" s="93"/>
      <c r="Y1089" s="93"/>
      <c r="Z1089" s="93"/>
      <c r="AA1089" s="93"/>
      <c r="AB1089" s="93"/>
      <c r="AC1089" s="93"/>
      <c r="AD1089" s="94"/>
      <c r="AE1089" s="94"/>
      <c r="AF1089" s="94"/>
      <c r="AG1089" s="9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8.13"/>
    <col customWidth="1" min="3" max="3" width="16.13"/>
    <col customWidth="1" min="4" max="4" width="20.25"/>
    <col customWidth="1" min="5" max="5" width="19.88"/>
    <col customWidth="1" min="6" max="6" width="21.38"/>
  </cols>
  <sheetData>
    <row r="1">
      <c r="A1" s="151" t="s">
        <v>4099</v>
      </c>
    </row>
    <row r="2">
      <c r="A2" s="152">
        <v>0.0</v>
      </c>
      <c r="B2" s="151" t="s">
        <v>4100</v>
      </c>
    </row>
    <row r="5">
      <c r="A5" s="153" t="s">
        <v>4063</v>
      </c>
      <c r="B5" s="153" t="s">
        <v>4057</v>
      </c>
      <c r="C5" s="153" t="s">
        <v>4052</v>
      </c>
      <c r="D5" s="153" t="s">
        <v>4064</v>
      </c>
      <c r="E5" s="153" t="s">
        <v>4051</v>
      </c>
      <c r="F5" s="153" t="s">
        <v>4054</v>
      </c>
      <c r="G5" s="151" t="s">
        <v>4065</v>
      </c>
    </row>
    <row r="6">
      <c r="A6" s="151" t="s">
        <v>4078</v>
      </c>
      <c r="J6" s="151" t="s">
        <v>50</v>
      </c>
    </row>
    <row r="7">
      <c r="A7" s="151" t="s">
        <v>4079</v>
      </c>
      <c r="J7" s="151" t="s">
        <v>43</v>
      </c>
    </row>
    <row r="8">
      <c r="A8" s="151" t="s">
        <v>4071</v>
      </c>
      <c r="J8" s="151" t="s">
        <v>90</v>
      </c>
    </row>
    <row r="9">
      <c r="A9" s="151" t="s">
        <v>2161</v>
      </c>
    </row>
    <row r="10">
      <c r="A10" s="151" t="s">
        <v>2763</v>
      </c>
    </row>
    <row r="11">
      <c r="A11" s="151" t="s">
        <v>4072</v>
      </c>
    </row>
    <row r="12">
      <c r="A12" s="151" t="s">
        <v>4073</v>
      </c>
    </row>
    <row r="13">
      <c r="A13" s="151" t="s">
        <v>4074</v>
      </c>
    </row>
    <row r="14">
      <c r="A14" s="151" t="s">
        <v>42</v>
      </c>
    </row>
    <row r="15">
      <c r="A15" s="151" t="s">
        <v>4076</v>
      </c>
    </row>
    <row r="16">
      <c r="A16" s="151" t="s">
        <v>4077</v>
      </c>
    </row>
    <row r="17">
      <c r="A17" s="151" t="s">
        <v>4071</v>
      </c>
    </row>
    <row r="18">
      <c r="B18" s="152"/>
    </row>
    <row r="19">
      <c r="B19" s="152"/>
    </row>
    <row r="20">
      <c r="B20" s="152"/>
    </row>
    <row r="21">
      <c r="B21" s="152"/>
    </row>
    <row r="22">
      <c r="B22" s="152"/>
    </row>
  </sheetData>
  <dataValidations>
    <dataValidation type="list" allowBlank="1" showErrorMessage="1" sqref="J6:J8">
      <formula1>"Booket til time,Ikke fått kontakt,Ikke interessert"</formula1>
    </dataValidation>
  </dataValidations>
  <drawing r:id="rId1"/>
</worksheet>
</file>